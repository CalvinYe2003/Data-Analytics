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15a10b067b15a82f/Documents/Data Analyst Project/Pokemon Gen 1-2 Statistics/"/>
    </mc:Choice>
  </mc:AlternateContent>
  <xr:revisionPtr revIDLastSave="2346" documentId="8_{5FD937D7-C935-47BA-A5CE-B8FB6935ADA2}" xr6:coauthVersionLast="47" xr6:coauthVersionMax="47" xr10:uidLastSave="{C7354211-4960-431A-B75C-ACF834F91A77}"/>
  <bookViews>
    <workbookView xWindow="-120" yWindow="-120" windowWidth="29040" windowHeight="15720" firstSheet="1" activeTab="1" xr2:uid="{D8027566-5FD7-4791-8997-5D4629F232D0}"/>
  </bookViews>
  <sheets>
    <sheet name="Summary Stats" sheetId="3" r:id="rId1"/>
    <sheet name="Dashboard" sheetId="10" r:id="rId2"/>
    <sheet name="Sheet2" sheetId="12" r:id="rId3"/>
    <sheet name="Pivot Analysis" sheetId="4" r:id="rId4"/>
    <sheet name="Charts " sheetId="9" r:id="rId5"/>
    <sheet name="Type Effectiveness Insights" sheetId="8" r:id="rId6"/>
    <sheet name="Correlation Analysis" sheetId="6" r:id="rId7"/>
    <sheet name="Top Performers" sheetId="7" r:id="rId8"/>
    <sheet name="Clean Data" sheetId="2" r:id="rId9"/>
    <sheet name="pokemon_stats_2025" sheetId="1" r:id="rId10"/>
  </sheets>
  <definedNames>
    <definedName name="_xlnm._FilterDatabase" localSheetId="8" hidden="1">'Clean Data'!$A$1:$T$251</definedName>
    <definedName name="_xlnm._FilterDatabase" localSheetId="5" hidden="1">'Type Effectiveness Insights'!#REF!</definedName>
    <definedName name="Slicer_Experience_Tiers">#N/A</definedName>
    <definedName name="Slicer_type_1">#N/A</definedName>
  </definedNames>
  <calcPr calcId="191029"/>
  <pivotCaches>
    <pivotCache cacheId="0" r:id="rId11"/>
    <pivotCache cacheId="1" r:id="rId12"/>
    <pivotCache cacheId="2" r:id="rId13"/>
    <pivotCache cacheId="3" r:id="rId14"/>
    <pivotCache cacheId="7" r:id="rId15"/>
  </pivotCaches>
  <fileRecoveryPr repairLoad="1"/>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2" l="1"/>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 i="2"/>
  <c r="H14" i="10"/>
  <c r="H12" i="10"/>
  <c r="H7" i="10"/>
  <c r="B7" i="10"/>
  <c r="T114" i="2"/>
  <c r="T203" i="2"/>
  <c r="T144" i="2"/>
  <c r="T41" i="2"/>
  <c r="T135" i="2"/>
  <c r="T132" i="2"/>
  <c r="T172" i="2"/>
  <c r="T40" i="2"/>
  <c r="T245" i="2"/>
  <c r="T151" i="2"/>
  <c r="T250" i="2"/>
  <c r="T251" i="2"/>
  <c r="T113" i="2"/>
  <c r="T116" i="2"/>
  <c r="T90" i="2"/>
  <c r="T207" i="2"/>
  <c r="T185" i="2"/>
  <c r="T222" i="2"/>
  <c r="T165" i="2"/>
  <c r="T246" i="2"/>
  <c r="T152" i="2"/>
  <c r="T249" i="2"/>
  <c r="T196" i="2"/>
  <c r="T37" i="2"/>
  <c r="T81" i="2"/>
  <c r="T200" i="2"/>
  <c r="T242" i="2"/>
  <c r="T198" i="2"/>
  <c r="T104" i="2"/>
  <c r="T131" i="2"/>
  <c r="T150" i="2"/>
  <c r="T175" i="2"/>
  <c r="T80" i="2"/>
  <c r="T232" i="2"/>
  <c r="T109" i="2"/>
  <c r="T211" i="2"/>
  <c r="T88" i="2"/>
  <c r="T187" i="2"/>
  <c r="T218" i="2"/>
  <c r="T233" i="2"/>
  <c r="T32" i="2"/>
  <c r="T69" i="2"/>
  <c r="T63" i="2"/>
  <c r="T182" i="2"/>
  <c r="T60" i="2"/>
  <c r="T145" i="2"/>
  <c r="T146" i="2"/>
  <c r="T147" i="2"/>
  <c r="T244" i="2"/>
  <c r="T163" i="2"/>
  <c r="T98" i="2"/>
  <c r="T227" i="2"/>
  <c r="T234" i="2"/>
  <c r="T161" i="2"/>
  <c r="T170" i="2"/>
  <c r="T19" i="2"/>
  <c r="T35" i="2"/>
  <c r="T89" i="2"/>
  <c r="T112" i="2"/>
  <c r="T68" i="2"/>
  <c r="T120" i="2"/>
  <c r="T72" i="2"/>
  <c r="T77" i="2"/>
  <c r="T56" i="2"/>
  <c r="T215" i="2"/>
  <c r="T74" i="2"/>
  <c r="T143" i="2"/>
  <c r="T4" i="2"/>
  <c r="T155" i="2"/>
  <c r="T10" i="2"/>
  <c r="T7" i="2"/>
  <c r="T158" i="2"/>
  <c r="T171" i="2"/>
  <c r="T193" i="2"/>
  <c r="T29" i="2"/>
  <c r="T43" i="2"/>
  <c r="T190" i="2"/>
  <c r="T206" i="2"/>
  <c r="T225" i="2"/>
  <c r="T46" i="2"/>
  <c r="T129" i="2"/>
  <c r="T183" i="2"/>
  <c r="T230" i="2"/>
  <c r="T209" i="2"/>
  <c r="T231" i="2"/>
  <c r="T235" i="2"/>
  <c r="T39" i="2"/>
  <c r="T184" i="2"/>
  <c r="T67" i="2"/>
  <c r="T36" i="2"/>
  <c r="T31" i="2"/>
  <c r="T181" i="2"/>
  <c r="T169" i="2"/>
  <c r="T186" i="2"/>
  <c r="T248" i="2"/>
  <c r="T50" i="2"/>
  <c r="T204" i="2"/>
  <c r="T140" i="2"/>
  <c r="T124" i="2"/>
  <c r="T213" i="2"/>
  <c r="T87" i="2"/>
  <c r="T62" i="2"/>
  <c r="T71" i="2"/>
  <c r="T194" i="2"/>
  <c r="T16" i="2"/>
  <c r="T138" i="2"/>
  <c r="T160" i="2"/>
  <c r="T223" i="2"/>
  <c r="T208" i="2"/>
  <c r="T115" i="2"/>
  <c r="T54" i="2"/>
  <c r="T212" i="2"/>
  <c r="T23" i="2"/>
  <c r="T58" i="2"/>
  <c r="T125" i="2"/>
  <c r="T228" i="2"/>
  <c r="T179" i="2"/>
  <c r="T111" i="2"/>
  <c r="T126" i="2"/>
  <c r="T127" i="2"/>
  <c r="T79" i="2"/>
  <c r="T128" i="2"/>
  <c r="T136" i="2"/>
  <c r="T137" i="2"/>
  <c r="T197" i="2"/>
  <c r="T18" i="2"/>
  <c r="T34" i="2"/>
  <c r="T149" i="2"/>
  <c r="T164" i="2"/>
  <c r="T210" i="2"/>
  <c r="T49" i="2"/>
  <c r="T103" i="2"/>
  <c r="T97" i="2"/>
  <c r="T217" i="2"/>
  <c r="T13" i="2"/>
  <c r="T45" i="2"/>
  <c r="T3" i="2"/>
  <c r="T48" i="2"/>
  <c r="T154" i="2"/>
  <c r="T199" i="2"/>
  <c r="T106" i="2"/>
  <c r="T220" i="2"/>
  <c r="T201" i="2"/>
  <c r="T25" i="2"/>
  <c r="T86" i="2"/>
  <c r="T27" i="2"/>
  <c r="T102" i="2"/>
  <c r="T142" i="2"/>
  <c r="T95" i="2"/>
  <c r="T122" i="2"/>
  <c r="T9" i="2"/>
  <c r="T6" i="2"/>
  <c r="T157" i="2"/>
  <c r="T195" i="2"/>
  <c r="T236" i="2"/>
  <c r="T30" i="2"/>
  <c r="T180" i="2"/>
  <c r="T134" i="2"/>
  <c r="T189" i="2"/>
  <c r="T59" i="2"/>
  <c r="T191" i="2"/>
  <c r="T76" i="2"/>
  <c r="T167" i="2"/>
  <c r="T177" i="2"/>
  <c r="T21" i="2"/>
  <c r="T216" i="2"/>
  <c r="T118" i="2"/>
  <c r="T100" i="2"/>
  <c r="T66" i="2"/>
  <c r="T84" i="2"/>
  <c r="T12" i="2"/>
  <c r="T174" i="2"/>
  <c r="T221" i="2"/>
  <c r="T205" i="2"/>
  <c r="T28" i="2"/>
  <c r="T70" i="2"/>
  <c r="T247" i="2"/>
  <c r="T159" i="2"/>
  <c r="T55" i="2"/>
  <c r="T105" i="2"/>
  <c r="T78" i="2"/>
  <c r="T107" i="2"/>
  <c r="T108" i="2"/>
  <c r="T238" i="2"/>
  <c r="T83" i="2"/>
  <c r="T92" i="2"/>
  <c r="T133" i="2"/>
  <c r="T202" i="2"/>
  <c r="T33" i="2"/>
  <c r="T11" i="2"/>
  <c r="T15" i="2"/>
  <c r="T239" i="2"/>
  <c r="T2" i="2"/>
  <c r="T153" i="2"/>
  <c r="T44" i="2"/>
  <c r="T119" i="2"/>
  <c r="T226" i="2"/>
  <c r="T229" i="2"/>
  <c r="T240" i="2"/>
  <c r="T241" i="2"/>
  <c r="T94" i="2"/>
  <c r="T8" i="2"/>
  <c r="T148" i="2"/>
  <c r="T14" i="2"/>
  <c r="T42" i="2"/>
  <c r="T168" i="2"/>
  <c r="T219" i="2"/>
  <c r="T17" i="2"/>
  <c r="T22" i="2"/>
  <c r="T166" i="2"/>
  <c r="T53" i="2"/>
  <c r="T61" i="2"/>
  <c r="T75" i="2"/>
  <c r="T57" i="2"/>
  <c r="T178" i="2"/>
  <c r="T101" i="2"/>
  <c r="T73" i="2"/>
  <c r="T110" i="2"/>
  <c r="T65" i="2"/>
  <c r="T123" i="2"/>
  <c r="T5" i="2"/>
  <c r="T156" i="2"/>
  <c r="T38" i="2"/>
  <c r="T237" i="2"/>
  <c r="T162" i="2"/>
  <c r="T176" i="2"/>
  <c r="T188" i="2"/>
  <c r="T47" i="2"/>
  <c r="T24" i="2"/>
  <c r="T224" i="2"/>
  <c r="T85" i="2"/>
  <c r="T26" i="2"/>
  <c r="T139" i="2"/>
  <c r="T96" i="2"/>
  <c r="T52" i="2"/>
  <c r="T192" i="2"/>
  <c r="T20" i="2"/>
  <c r="T117" i="2"/>
  <c r="T91" i="2"/>
  <c r="T93" i="2"/>
  <c r="T99" i="2"/>
  <c r="T121" i="2"/>
  <c r="T141" i="2"/>
  <c r="T64" i="2"/>
  <c r="T82" i="2"/>
  <c r="T130" i="2"/>
  <c r="T173" i="2"/>
  <c r="T214" i="2"/>
  <c r="T51" i="2"/>
  <c r="T243" i="2"/>
  <c r="S114" i="2"/>
  <c r="S203" i="2"/>
  <c r="S144" i="2"/>
  <c r="S41" i="2"/>
  <c r="S135" i="2"/>
  <c r="S132" i="2"/>
  <c r="S172" i="2"/>
  <c r="S40" i="2"/>
  <c r="S245" i="2"/>
  <c r="S151" i="2"/>
  <c r="S250" i="2"/>
  <c r="S251" i="2"/>
  <c r="S113" i="2"/>
  <c r="S116" i="2"/>
  <c r="S90" i="2"/>
  <c r="S207" i="2"/>
  <c r="S185" i="2"/>
  <c r="S222" i="2"/>
  <c r="S165" i="2"/>
  <c r="S246" i="2"/>
  <c r="S152" i="2"/>
  <c r="S249" i="2"/>
  <c r="S196" i="2"/>
  <c r="S37" i="2"/>
  <c r="S81" i="2"/>
  <c r="S200" i="2"/>
  <c r="S242" i="2"/>
  <c r="S198" i="2"/>
  <c r="S104" i="2"/>
  <c r="S131" i="2"/>
  <c r="S150" i="2"/>
  <c r="S175" i="2"/>
  <c r="S80" i="2"/>
  <c r="S232" i="2"/>
  <c r="S109" i="2"/>
  <c r="S211" i="2"/>
  <c r="S88" i="2"/>
  <c r="S187" i="2"/>
  <c r="S218" i="2"/>
  <c r="S233" i="2"/>
  <c r="S32" i="2"/>
  <c r="S69" i="2"/>
  <c r="S63" i="2"/>
  <c r="S182" i="2"/>
  <c r="S60" i="2"/>
  <c r="S145" i="2"/>
  <c r="S146" i="2"/>
  <c r="S147" i="2"/>
  <c r="S244" i="2"/>
  <c r="S163" i="2"/>
  <c r="S98" i="2"/>
  <c r="S227" i="2"/>
  <c r="S234" i="2"/>
  <c r="S161" i="2"/>
  <c r="S170" i="2"/>
  <c r="S19" i="2"/>
  <c r="S35" i="2"/>
  <c r="S89" i="2"/>
  <c r="S112" i="2"/>
  <c r="S68" i="2"/>
  <c r="S120" i="2"/>
  <c r="S72" i="2"/>
  <c r="S77" i="2"/>
  <c r="S56" i="2"/>
  <c r="S215" i="2"/>
  <c r="S74" i="2"/>
  <c r="S143" i="2"/>
  <c r="S4" i="2"/>
  <c r="S155" i="2"/>
  <c r="S10" i="2"/>
  <c r="S7" i="2"/>
  <c r="S158" i="2"/>
  <c r="S171" i="2"/>
  <c r="S193" i="2"/>
  <c r="S29" i="2"/>
  <c r="S43" i="2"/>
  <c r="S190" i="2"/>
  <c r="S206" i="2"/>
  <c r="S225" i="2"/>
  <c r="S46" i="2"/>
  <c r="S129" i="2"/>
  <c r="S183" i="2"/>
  <c r="S230" i="2"/>
  <c r="S209" i="2"/>
  <c r="S231" i="2"/>
  <c r="S235" i="2"/>
  <c r="S39" i="2"/>
  <c r="S184" i="2"/>
  <c r="S67" i="2"/>
  <c r="S36" i="2"/>
  <c r="S31" i="2"/>
  <c r="S181" i="2"/>
  <c r="S169" i="2"/>
  <c r="S186" i="2"/>
  <c r="S248" i="2"/>
  <c r="S50" i="2"/>
  <c r="S204" i="2"/>
  <c r="S140" i="2"/>
  <c r="S124" i="2"/>
  <c r="S213" i="2"/>
  <c r="S87" i="2"/>
  <c r="S62" i="2"/>
  <c r="S71" i="2"/>
  <c r="S194" i="2"/>
  <c r="S16" i="2"/>
  <c r="S138" i="2"/>
  <c r="S160" i="2"/>
  <c r="S223" i="2"/>
  <c r="S208" i="2"/>
  <c r="S115" i="2"/>
  <c r="S54" i="2"/>
  <c r="S212" i="2"/>
  <c r="S23" i="2"/>
  <c r="S58" i="2"/>
  <c r="S125" i="2"/>
  <c r="S228" i="2"/>
  <c r="S179" i="2"/>
  <c r="S111" i="2"/>
  <c r="S126" i="2"/>
  <c r="S127" i="2"/>
  <c r="S79" i="2"/>
  <c r="S128" i="2"/>
  <c r="S136" i="2"/>
  <c r="S137" i="2"/>
  <c r="S197" i="2"/>
  <c r="S18" i="2"/>
  <c r="S34" i="2"/>
  <c r="S149" i="2"/>
  <c r="S164" i="2"/>
  <c r="S210" i="2"/>
  <c r="S49" i="2"/>
  <c r="S103" i="2"/>
  <c r="S97" i="2"/>
  <c r="S217" i="2"/>
  <c r="S13" i="2"/>
  <c r="S45" i="2"/>
  <c r="S3" i="2"/>
  <c r="S48" i="2"/>
  <c r="S154" i="2"/>
  <c r="S199" i="2"/>
  <c r="S106" i="2"/>
  <c r="S220" i="2"/>
  <c r="S201" i="2"/>
  <c r="S25" i="2"/>
  <c r="S86" i="2"/>
  <c r="S27" i="2"/>
  <c r="S102" i="2"/>
  <c r="S142" i="2"/>
  <c r="S95" i="2"/>
  <c r="S122" i="2"/>
  <c r="S9" i="2"/>
  <c r="S6" i="2"/>
  <c r="S157" i="2"/>
  <c r="S195" i="2"/>
  <c r="S236" i="2"/>
  <c r="S30" i="2"/>
  <c r="S180" i="2"/>
  <c r="S134" i="2"/>
  <c r="S189" i="2"/>
  <c r="S59" i="2"/>
  <c r="S191" i="2"/>
  <c r="S76" i="2"/>
  <c r="S167" i="2"/>
  <c r="S177" i="2"/>
  <c r="S21" i="2"/>
  <c r="S216" i="2"/>
  <c r="S118" i="2"/>
  <c r="S100" i="2"/>
  <c r="S66" i="2"/>
  <c r="S84" i="2"/>
  <c r="S12" i="2"/>
  <c r="S174" i="2"/>
  <c r="S221" i="2"/>
  <c r="S205" i="2"/>
  <c r="S28" i="2"/>
  <c r="S70" i="2"/>
  <c r="S247" i="2"/>
  <c r="S159" i="2"/>
  <c r="S55" i="2"/>
  <c r="S105" i="2"/>
  <c r="S78" i="2"/>
  <c r="S107" i="2"/>
  <c r="S108" i="2"/>
  <c r="S238" i="2"/>
  <c r="S83" i="2"/>
  <c r="S92" i="2"/>
  <c r="S133" i="2"/>
  <c r="S202" i="2"/>
  <c r="S33" i="2"/>
  <c r="S11" i="2"/>
  <c r="S15" i="2"/>
  <c r="S239" i="2"/>
  <c r="S2" i="2"/>
  <c r="S153" i="2"/>
  <c r="S44" i="2"/>
  <c r="S119" i="2"/>
  <c r="S226" i="2"/>
  <c r="S229" i="2"/>
  <c r="S240" i="2"/>
  <c r="S241" i="2"/>
  <c r="S94" i="2"/>
  <c r="S8" i="2"/>
  <c r="S148" i="2"/>
  <c r="S14" i="2"/>
  <c r="S42" i="2"/>
  <c r="S168" i="2"/>
  <c r="S219" i="2"/>
  <c r="S17" i="2"/>
  <c r="S22" i="2"/>
  <c r="S166" i="2"/>
  <c r="S53" i="2"/>
  <c r="S61" i="2"/>
  <c r="S75" i="2"/>
  <c r="S57" i="2"/>
  <c r="S178" i="2"/>
  <c r="S101" i="2"/>
  <c r="S73" i="2"/>
  <c r="S110" i="2"/>
  <c r="S65" i="2"/>
  <c r="S123" i="2"/>
  <c r="S5" i="2"/>
  <c r="S156" i="2"/>
  <c r="S38" i="2"/>
  <c r="S237" i="2"/>
  <c r="S162" i="2"/>
  <c r="S176" i="2"/>
  <c r="S188" i="2"/>
  <c r="S47" i="2"/>
  <c r="S24" i="2"/>
  <c r="S224" i="2"/>
  <c r="S85" i="2"/>
  <c r="S26" i="2"/>
  <c r="S139" i="2"/>
  <c r="S96" i="2"/>
  <c r="S52" i="2"/>
  <c r="S192" i="2"/>
  <c r="S20" i="2"/>
  <c r="S117" i="2"/>
  <c r="S91" i="2"/>
  <c r="S93" i="2"/>
  <c r="S99" i="2"/>
  <c r="S121" i="2"/>
  <c r="S141" i="2"/>
  <c r="S64" i="2"/>
  <c r="S82" i="2"/>
  <c r="S130" i="2"/>
  <c r="S173" i="2"/>
  <c r="S214" i="2"/>
  <c r="S51" i="2"/>
  <c r="S243" i="2"/>
  <c r="R15" i="7"/>
  <c r="Q15" i="7"/>
  <c r="P15" i="7"/>
  <c r="O15" i="7"/>
  <c r="N15" i="7"/>
  <c r="R14" i="7"/>
  <c r="Q14" i="7"/>
  <c r="P14" i="7"/>
  <c r="O14" i="7"/>
  <c r="N14" i="7"/>
  <c r="R13" i="7"/>
  <c r="Q13" i="7"/>
  <c r="P13" i="7"/>
  <c r="O13" i="7"/>
  <c r="N13" i="7"/>
  <c r="R12" i="7"/>
  <c r="Q12" i="7"/>
  <c r="P12" i="7"/>
  <c r="O12" i="7"/>
  <c r="N12" i="7"/>
  <c r="R11" i="7"/>
  <c r="Q11" i="7"/>
  <c r="P11" i="7"/>
  <c r="O11" i="7"/>
  <c r="N11" i="7"/>
  <c r="R10" i="7"/>
  <c r="Q10" i="7"/>
  <c r="P10" i="7"/>
  <c r="O10" i="7"/>
  <c r="N10" i="7"/>
  <c r="R9" i="7"/>
  <c r="Q9" i="7"/>
  <c r="P9" i="7"/>
  <c r="O9" i="7"/>
  <c r="N9" i="7"/>
  <c r="R8" i="7"/>
  <c r="Q8" i="7"/>
  <c r="P8" i="7"/>
  <c r="O8" i="7"/>
  <c r="N8" i="7"/>
  <c r="R7" i="7"/>
  <c r="Q7" i="7"/>
  <c r="P7" i="7"/>
  <c r="O7" i="7"/>
  <c r="N7" i="7"/>
  <c r="G10" i="6"/>
  <c r="G9" i="6"/>
  <c r="B18" i="6" s="1"/>
  <c r="F9" i="6"/>
  <c r="B17" i="6" s="1"/>
  <c r="G8" i="6"/>
  <c r="F8" i="6"/>
  <c r="B16" i="6" s="1"/>
  <c r="E8" i="6"/>
  <c r="G7" i="6"/>
  <c r="F7" i="6"/>
  <c r="E7" i="6"/>
  <c r="D7" i="6"/>
  <c r="B15" i="6" s="1"/>
  <c r="G6" i="6"/>
  <c r="B20" i="6" s="1"/>
  <c r="F6" i="6"/>
  <c r="B14" i="6" s="1"/>
  <c r="E6" i="6"/>
  <c r="D6" i="6"/>
  <c r="C6" i="6"/>
  <c r="B7" i="6"/>
  <c r="B19" i="6"/>
  <c r="R3" i="2" l="1"/>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 i="2"/>
  <c r="F13" i="3"/>
  <c r="F12" i="3"/>
  <c r="E13" i="3"/>
  <c r="E12" i="3"/>
  <c r="F11" i="3"/>
  <c r="F10" i="3"/>
  <c r="F8" i="3"/>
  <c r="E8" i="3"/>
  <c r="F7" i="3"/>
  <c r="F6" i="3"/>
  <c r="F5" i="3"/>
  <c r="E11" i="3"/>
  <c r="E10" i="3"/>
  <c r="E7" i="3"/>
  <c r="E6" i="3"/>
  <c r="E5" i="3"/>
  <c r="B14" i="3"/>
  <c r="B13" i="3"/>
  <c r="B12" i="3"/>
  <c r="B11" i="3"/>
  <c r="B10" i="3"/>
  <c r="B9" i="3"/>
  <c r="B8" i="3"/>
  <c r="B7" i="3"/>
  <c r="B6" i="3"/>
  <c r="B5" i="3"/>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 i="2"/>
  <c r="B14" i="10" l="1"/>
  <c r="B12" i="10"/>
  <c r="E7" i="10"/>
  <c r="F9" i="3"/>
  <c r="E9" i="3"/>
  <c r="B15" i="3"/>
</calcChain>
</file>

<file path=xl/sharedStrings.xml><?xml version="1.0" encoding="utf-8"?>
<sst xmlns="http://schemas.openxmlformats.org/spreadsheetml/2006/main" count="2122" uniqueCount="419">
  <si>
    <t>pokedex_id</t>
  </si>
  <si>
    <t>name</t>
  </si>
  <si>
    <t>height</t>
  </si>
  <si>
    <t>weight</t>
  </si>
  <si>
    <t>base_experience</t>
  </si>
  <si>
    <t>type_1</t>
  </si>
  <si>
    <t>type_2</t>
  </si>
  <si>
    <t>hp</t>
  </si>
  <si>
    <t>attack</t>
  </si>
  <si>
    <t>defense</t>
  </si>
  <si>
    <t>special_attack</t>
  </si>
  <si>
    <t>special_defense</t>
  </si>
  <si>
    <t>speed</t>
  </si>
  <si>
    <t>Bulbasaur</t>
  </si>
  <si>
    <t>grass</t>
  </si>
  <si>
    <t>poison</t>
  </si>
  <si>
    <t>Ivysaur</t>
  </si>
  <si>
    <t>Venusaur</t>
  </si>
  <si>
    <t>Charmander</t>
  </si>
  <si>
    <t>fire</t>
  </si>
  <si>
    <t>None</t>
  </si>
  <si>
    <t>Charmeleon</t>
  </si>
  <si>
    <t>Charizard</t>
  </si>
  <si>
    <t>flying</t>
  </si>
  <si>
    <t>Squirtle</t>
  </si>
  <si>
    <t>water</t>
  </si>
  <si>
    <t>Wartortle</t>
  </si>
  <si>
    <t>Blastoise</t>
  </si>
  <si>
    <t>Caterpie</t>
  </si>
  <si>
    <t>bug</t>
  </si>
  <si>
    <t>Metapod</t>
  </si>
  <si>
    <t>Butterfree</t>
  </si>
  <si>
    <t>Weedle</t>
  </si>
  <si>
    <t>Kakuna</t>
  </si>
  <si>
    <t>Beedrill</t>
  </si>
  <si>
    <t>Pidgey</t>
  </si>
  <si>
    <t>normal</t>
  </si>
  <si>
    <t>Pidgeotto</t>
  </si>
  <si>
    <t>Pidgeot</t>
  </si>
  <si>
    <t>Rattata</t>
  </si>
  <si>
    <t>Raticate</t>
  </si>
  <si>
    <t>Spearow</t>
  </si>
  <si>
    <t>Fearow</t>
  </si>
  <si>
    <t>Ekans</t>
  </si>
  <si>
    <t>Arbok</t>
  </si>
  <si>
    <t>Pikachu</t>
  </si>
  <si>
    <t>electric</t>
  </si>
  <si>
    <t>Raichu</t>
  </si>
  <si>
    <t>Sandshrew</t>
  </si>
  <si>
    <t>ground</t>
  </si>
  <si>
    <t>Sandslash</t>
  </si>
  <si>
    <t>Nidoran-f</t>
  </si>
  <si>
    <t>Nidorina</t>
  </si>
  <si>
    <t>Nidoqueen</t>
  </si>
  <si>
    <t>Nidoran-m</t>
  </si>
  <si>
    <t>Nidorino</t>
  </si>
  <si>
    <t>Nidoking</t>
  </si>
  <si>
    <t>Clefairy</t>
  </si>
  <si>
    <t>fairy</t>
  </si>
  <si>
    <t>Clefable</t>
  </si>
  <si>
    <t>Vulpix</t>
  </si>
  <si>
    <t>Ninetales</t>
  </si>
  <si>
    <t>Jigglypuff</t>
  </si>
  <si>
    <t>Wigglytuff</t>
  </si>
  <si>
    <t>Zubat</t>
  </si>
  <si>
    <t>Golbat</t>
  </si>
  <si>
    <t>Oddish</t>
  </si>
  <si>
    <t>Gloom</t>
  </si>
  <si>
    <t>Vileplume</t>
  </si>
  <si>
    <t>Paras</t>
  </si>
  <si>
    <t>Parasect</t>
  </si>
  <si>
    <t>Venonat</t>
  </si>
  <si>
    <t>Venomoth</t>
  </si>
  <si>
    <t>Diglett</t>
  </si>
  <si>
    <t>Dugtrio</t>
  </si>
  <si>
    <t>Meowth</t>
  </si>
  <si>
    <t>Persian</t>
  </si>
  <si>
    <t>Psyduck</t>
  </si>
  <si>
    <t>Golduck</t>
  </si>
  <si>
    <t>Mankey</t>
  </si>
  <si>
    <t>fighting</t>
  </si>
  <si>
    <t>Primeape</t>
  </si>
  <si>
    <t>Growlithe</t>
  </si>
  <si>
    <t>Arcanine</t>
  </si>
  <si>
    <t>Poliwag</t>
  </si>
  <si>
    <t>Poliwhirl</t>
  </si>
  <si>
    <t>Poliwrath</t>
  </si>
  <si>
    <t>Abra</t>
  </si>
  <si>
    <t>psychic</t>
  </si>
  <si>
    <t>Kadabra</t>
  </si>
  <si>
    <t>Alakazam</t>
  </si>
  <si>
    <t>Machop</t>
  </si>
  <si>
    <t>Machoke</t>
  </si>
  <si>
    <t>Machamp</t>
  </si>
  <si>
    <t>Bellsprout</t>
  </si>
  <si>
    <t>Weepinbell</t>
  </si>
  <si>
    <t>Victreebel</t>
  </si>
  <si>
    <t>Tentacool</t>
  </si>
  <si>
    <t>Tentacruel</t>
  </si>
  <si>
    <t>Geodude</t>
  </si>
  <si>
    <t>rock</t>
  </si>
  <si>
    <t>Graveler</t>
  </si>
  <si>
    <t>Golem</t>
  </si>
  <si>
    <t>Ponyta</t>
  </si>
  <si>
    <t>Rapidash</t>
  </si>
  <si>
    <t>Slowpoke</t>
  </si>
  <si>
    <t>Slowbro</t>
  </si>
  <si>
    <t>Magnemite</t>
  </si>
  <si>
    <t>steel</t>
  </si>
  <si>
    <t>Magneton</t>
  </si>
  <si>
    <t>Farfetchd</t>
  </si>
  <si>
    <t>Doduo</t>
  </si>
  <si>
    <t>Dodrio</t>
  </si>
  <si>
    <t>Seel</t>
  </si>
  <si>
    <t>Dewgong</t>
  </si>
  <si>
    <t>ice</t>
  </si>
  <si>
    <t>Grimer</t>
  </si>
  <si>
    <t>Muk</t>
  </si>
  <si>
    <t>Shellder</t>
  </si>
  <si>
    <t>Cloyster</t>
  </si>
  <si>
    <t>Gastly</t>
  </si>
  <si>
    <t>ghost</t>
  </si>
  <si>
    <t>Haunter</t>
  </si>
  <si>
    <t>Gengar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</si>
  <si>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</si>
  <si>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</si>
  <si>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</si>
  <si>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</si>
  <si>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</si>
  <si>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</si>
  <si>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</si>
  <si>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</si>
  <si>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</si>
  <si>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</si>
  <si>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</si>
  <si>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</si>
  <si>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</si>
  <si>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</si>
  <si>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</si>
  <si>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</si>
  <si>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</si>
  <si>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</si>
  <si>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Chansey</t>
  </si>
  <si>
    <t>Tangela</t>
  </si>
  <si>
    <t>Kangaskhan</t>
  </si>
  <si>
    <t>Horsea</t>
  </si>
  <si>
    <t>Seadra</t>
  </si>
  <si>
    <t>Goldeen</t>
  </si>
  <si>
    <t>Seaking</t>
  </si>
  <si>
    <t>Staryu</t>
  </si>
  <si>
    <t>Starmie</t>
  </si>
  <si>
    <t>Mr-mime</t>
  </si>
  <si>
    <t>Scyther</t>
  </si>
  <si>
    <t>Jynx</t>
  </si>
  <si>
    <t>Electabuzz</t>
  </si>
  <si>
    <t>Magmar</t>
  </si>
  <si>
    <t>Pinsir</t>
  </si>
  <si>
    <t>Tauros</t>
  </si>
  <si>
    <t>Magikarp</t>
  </si>
  <si>
    <t>Gyarados</t>
  </si>
  <si>
    <t>Lapras</t>
  </si>
  <si>
    <t>Ditto</t>
  </si>
  <si>
    <t>Eevee</t>
  </si>
  <si>
    <t>Vaporeon</t>
  </si>
  <si>
    <t>Jolteon</t>
  </si>
  <si>
    <t>Flareon</t>
  </si>
  <si>
    <t>Porygon</t>
  </si>
  <si>
    <t>Omanyte</t>
  </si>
  <si>
    <t>Omastar</t>
  </si>
  <si>
    <t>Kabuto</t>
  </si>
  <si>
    <t>Kabutops</t>
  </si>
  <si>
    <t>Aerodactyl</t>
  </si>
  <si>
    <t>Snorlax</t>
  </si>
  <si>
    <t>Articuno</t>
  </si>
  <si>
    <t>Zapdos</t>
  </si>
  <si>
    <t>Moltres</t>
  </si>
  <si>
    <t>Dratini</t>
  </si>
  <si>
    <t>dragon</t>
  </si>
  <si>
    <t>Dragonair</t>
  </si>
  <si>
    <t>Dragonite</t>
  </si>
  <si>
    <t>Mewtwo</t>
  </si>
  <si>
    <t>Mew</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</si>
  <si>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</si>
  <si>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</si>
  <si>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</si>
  <si>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</si>
  <si>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</si>
  <si>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</si>
  <si>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</si>
  <si>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</si>
  <si>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</si>
  <si>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</si>
  <si>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</si>
  <si>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</si>
  <si>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</si>
  <si>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</si>
  <si>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</si>
  <si>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</si>
  <si>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</si>
  <si>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</si>
  <si>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</si>
  <si>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</si>
  <si>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</si>
  <si>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</si>
  <si>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</si>
  <si>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</si>
  <si>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</si>
  <si>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</si>
  <si>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</si>
  <si>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</si>
  <si>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</si>
  <si>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</si>
  <si>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Bellossom</t>
  </si>
  <si>
    <t>Marill</t>
  </si>
  <si>
    <t>Azumarill</t>
  </si>
  <si>
    <t>Sudowoodo</t>
  </si>
  <si>
    <t>Politoed</t>
  </si>
  <si>
    <t>Hoppip</t>
  </si>
  <si>
    <t>Skiploom</t>
  </si>
  <si>
    <t>Jumpluff</t>
  </si>
  <si>
    <t>Aipom</t>
  </si>
  <si>
    <t>Sunkern</t>
  </si>
  <si>
    <t>Sunflora</t>
  </si>
  <si>
    <t>Yanma</t>
  </si>
  <si>
    <t>Wooper</t>
  </si>
  <si>
    <t>Quagsire</t>
  </si>
  <si>
    <t>Espeon</t>
  </si>
  <si>
    <t>Umbreon</t>
  </si>
  <si>
    <t>dark</t>
  </si>
  <si>
    <t>Murkrow</t>
  </si>
  <si>
    <t>Slowking</t>
  </si>
  <si>
    <t>Misdreavus</t>
  </si>
  <si>
    <t>Unown</t>
  </si>
  <si>
    <t>Wobbuffet</t>
  </si>
  <si>
    <t>Girafarig</t>
  </si>
  <si>
    <t>Pineco</t>
  </si>
  <si>
    <t>Forretress</t>
  </si>
  <si>
    <t>Dunsparce</t>
  </si>
  <si>
    <t>Gligar</t>
  </si>
  <si>
    <t>Steelix</t>
  </si>
  <si>
    <t>Snubbull</t>
  </si>
  <si>
    <t>Granbull</t>
  </si>
  <si>
    <t>Qwilfish</t>
  </si>
  <si>
    <t>Scizor</t>
  </si>
  <si>
    <t>Shuckle</t>
  </si>
  <si>
    <t>Heracross</t>
  </si>
  <si>
    <t>Sneasel</t>
  </si>
  <si>
    <t>Teddiursa</t>
  </si>
  <si>
    <t>Ursaring</t>
  </si>
  <si>
    <t>Slugma</t>
  </si>
  <si>
    <t>Magcargo</t>
  </si>
  <si>
    <t>Swinub</t>
  </si>
  <si>
    <t>Piloswine</t>
  </si>
  <si>
    <t>Corsola</t>
  </si>
  <si>
    <t>Remoraid</t>
  </si>
  <si>
    <t>Octillery</t>
  </si>
  <si>
    <t>Delibird</t>
  </si>
  <si>
    <t>Mantine</t>
  </si>
  <si>
    <t>Skarmory</t>
  </si>
  <si>
    <t>Houndour</t>
  </si>
  <si>
    <t>Houndoom</t>
  </si>
  <si>
    <t>Kingdra</t>
  </si>
  <si>
    <t>Phanpy</t>
  </si>
  <si>
    <t>Donphan</t>
  </si>
  <si>
    <t>Porygon2</t>
  </si>
  <si>
    <t>Stantler</t>
  </si>
  <si>
    <t>Smeargle</t>
  </si>
  <si>
    <t>Tyrogue</t>
  </si>
  <si>
    <t>Hitmontop</t>
  </si>
  <si>
    <t>Smoochum</t>
  </si>
  <si>
    <t>Elekid</t>
  </si>
  <si>
    <t>Magby</t>
  </si>
  <si>
    <t>Miltank</t>
  </si>
  <si>
    <t>Blissey</t>
  </si>
  <si>
    <t>Raikou</t>
  </si>
  <si>
    <t>Entei</t>
  </si>
  <si>
    <t>Suicune</t>
  </si>
  <si>
    <t>Larvitar</t>
  </si>
  <si>
    <t>Pupitar</t>
  </si>
  <si>
    <t>Tyranitar</t>
  </si>
  <si>
    <t>Lugia</t>
  </si>
  <si>
    <t>Ho-oh</t>
  </si>
  <si>
    <t>Total Stats</t>
  </si>
  <si>
    <t>Average Stats</t>
  </si>
  <si>
    <t>BMI Metric (Weight/Height Ratio)</t>
  </si>
  <si>
    <t>Type Count</t>
  </si>
  <si>
    <t>Metric</t>
  </si>
  <si>
    <t>Total Pokemon</t>
  </si>
  <si>
    <t>Average Height</t>
  </si>
  <si>
    <t xml:space="preserve">Average Weight </t>
  </si>
  <si>
    <t>Pokemon Dataset Summary Statistics</t>
  </si>
  <si>
    <t>Average Base Experience</t>
  </si>
  <si>
    <t>Average HP</t>
  </si>
  <si>
    <t>Average Attack</t>
  </si>
  <si>
    <t>Average Defense</t>
  </si>
  <si>
    <t>Average Special Attack</t>
  </si>
  <si>
    <t>Average Special Defense</t>
  </si>
  <si>
    <t>Average Speed</t>
  </si>
  <si>
    <t>Average Total Stats</t>
  </si>
  <si>
    <t>Value</t>
  </si>
  <si>
    <t>Category</t>
  </si>
  <si>
    <t>Pokemon</t>
  </si>
  <si>
    <t>Highest HP</t>
  </si>
  <si>
    <t>Highest Attack</t>
  </si>
  <si>
    <t>Highest Defense</t>
  </si>
  <si>
    <t>Highest Speed</t>
  </si>
  <si>
    <t>Highest Total Stats</t>
  </si>
  <si>
    <t>Heaviest Pokemon</t>
  </si>
  <si>
    <t>Tallest Pokemon</t>
  </si>
  <si>
    <t>Highest Sp.Def</t>
  </si>
  <si>
    <t>Highest Sp.Att</t>
  </si>
  <si>
    <t>Row Labels</t>
  </si>
  <si>
    <t>Grand Total</t>
  </si>
  <si>
    <t>Average of Total Stats</t>
  </si>
  <si>
    <t>Average of speed</t>
  </si>
  <si>
    <t>Average of special_defense</t>
  </si>
  <si>
    <t>Average of special_attack</t>
  </si>
  <si>
    <t>Average of defense</t>
  </si>
  <si>
    <t>Average of attack</t>
  </si>
  <si>
    <t>Average of hp</t>
  </si>
  <si>
    <t>Pivot Table Analysis</t>
  </si>
  <si>
    <t>Average Stats By Primary Type</t>
  </si>
  <si>
    <t>Count of name</t>
  </si>
  <si>
    <t>Pokemon Count By Type</t>
  </si>
  <si>
    <t>Column Labels</t>
  </si>
  <si>
    <t>Dual Type Analysis</t>
  </si>
  <si>
    <t>Experience Tiers</t>
  </si>
  <si>
    <t>HIGH</t>
  </si>
  <si>
    <t>Legendary</t>
  </si>
  <si>
    <t>Low</t>
  </si>
  <si>
    <t>Medium</t>
  </si>
  <si>
    <t>Stat Pair</t>
  </si>
  <si>
    <t>Correlation</t>
  </si>
  <si>
    <t>Interpretation</t>
  </si>
  <si>
    <t>HP &lt;-&gt; Special Defense</t>
  </si>
  <si>
    <t>Attack &lt;-&gt; Defense</t>
  </si>
  <si>
    <t>Special Attack &lt;-&gt; Special Defense</t>
  </si>
  <si>
    <t>Speed &lt;-&gt; Defense</t>
  </si>
  <si>
    <t>HP &lt;-&gt; Speed</t>
  </si>
  <si>
    <t>Special Attack -&gt; Speed</t>
  </si>
  <si>
    <t>Defense &lt;-&gt; Special Defense</t>
  </si>
  <si>
    <t>Strength</t>
  </si>
  <si>
    <t>Moderate Positive</t>
  </si>
  <si>
    <t>Moderative Positive</t>
  </si>
  <si>
    <t>Positive</t>
  </si>
  <si>
    <t>Weak Negative</t>
  </si>
  <si>
    <t>No relationship - can have fast tanks or slow tanks</t>
  </si>
  <si>
    <t>Glass Cannon Effect - fast Pokemon sacrifice defense</t>
  </si>
  <si>
    <t>Fast Pokemon tend to have high special attack</t>
  </si>
  <si>
    <t>Physical stats correlate</t>
  </si>
  <si>
    <t>Tanky Pokemon have high special defense - defense arechetype</t>
  </si>
  <si>
    <t>Defensive stats cluster together</t>
  </si>
  <si>
    <t>Special stats are linked</t>
  </si>
  <si>
    <t xml:space="preserve">Correlation Analysis </t>
  </si>
  <si>
    <t>Top Performing Pokemon</t>
  </si>
  <si>
    <t>Top 10 by Total Stats</t>
  </si>
  <si>
    <t>Top 10 By Each Stat</t>
  </si>
  <si>
    <t>Sum of hp</t>
  </si>
  <si>
    <t>Top 10 By HP</t>
  </si>
  <si>
    <t>Top 10 By Attack</t>
  </si>
  <si>
    <t>Top 10 By Defense</t>
  </si>
  <si>
    <t>Top 10 By Special Attack</t>
  </si>
  <si>
    <t>Top 10 By Special Defense</t>
  </si>
  <si>
    <t>Top 10 By Speed</t>
  </si>
  <si>
    <t>Sum of attack</t>
  </si>
  <si>
    <t>Sum of defense</t>
  </si>
  <si>
    <t>Sum of special_attack</t>
  </si>
  <si>
    <t>Sum of special_defense</t>
  </si>
  <si>
    <t>Sum of speed</t>
  </si>
  <si>
    <t>Total Offensive Power</t>
  </si>
  <si>
    <t>Total Defensive Power</t>
  </si>
  <si>
    <t>Average of Total Offensive Power</t>
  </si>
  <si>
    <t>Average of Total Defensive Power</t>
  </si>
  <si>
    <t>Defense Statistics Per Type</t>
  </si>
  <si>
    <t>Offensive Statistics Per Type</t>
  </si>
  <si>
    <t>Average of BMI Metric (Weight/Height Ratio)</t>
  </si>
  <si>
    <t>Statistics for BMI Per Type</t>
  </si>
  <si>
    <t>Statistics for Speed Per Type</t>
  </si>
  <si>
    <t>Pokemon Type Effectiveness Insights/Statistics</t>
  </si>
  <si>
    <t>Defending→</t>
  </si>
  <si>
    <t>Normal</t>
  </si>
  <si>
    <t>Fire</t>
  </si>
  <si>
    <t>Water</t>
  </si>
  <si>
    <t>Grass</t>
  </si>
  <si>
    <t>Electric</t>
  </si>
  <si>
    <t>Ice</t>
  </si>
  <si>
    <t>Fighting</t>
  </si>
  <si>
    <t>Poison</t>
  </si>
  <si>
    <t>Ground</t>
  </si>
  <si>
    <t>Flying</t>
  </si>
  <si>
    <t>Psychic</t>
  </si>
  <si>
    <t>Bug</t>
  </si>
  <si>
    <t>Rock</t>
  </si>
  <si>
    <t>Ghost</t>
  </si>
  <si>
    <t>Dragon</t>
  </si>
  <si>
    <t>Dark</t>
  </si>
  <si>
    <t>Steel</t>
  </si>
  <si>
    <t>Fairy</t>
  </si>
  <si>
    <t>Attacking↓</t>
  </si>
  <si>
    <t>Type Chart</t>
  </si>
  <si>
    <t>Duel Type Analysis</t>
  </si>
  <si>
    <t>Average Stats Per Type</t>
  </si>
  <si>
    <t>Experience Stats</t>
  </si>
  <si>
    <t>Chart Analysis</t>
  </si>
  <si>
    <t>POKEMON STATS ANALYSIS DASHBOARD GEN 1-2</t>
  </si>
  <si>
    <t>Interactive Analysis of Pokemon Statistics From Generation 1-2</t>
  </si>
  <si>
    <t>Across Gen 1-2</t>
  </si>
  <si>
    <t>Average Base State Total</t>
  </si>
  <si>
    <t>Mean Stat Total</t>
  </si>
  <si>
    <t>Type Diversity</t>
  </si>
  <si>
    <t>Primary Types</t>
  </si>
  <si>
    <t>5.6% Of Total Pokemon</t>
  </si>
  <si>
    <t>Strongest Pokemon</t>
  </si>
  <si>
    <t>Fastest Pokemon</t>
  </si>
  <si>
    <t>FILTERS &amp; CONTROLS</t>
  </si>
  <si>
    <t>Generation</t>
  </si>
  <si>
    <t>Gen 2</t>
  </si>
  <si>
    <t>Sum of Total Stats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</si>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</sst>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1"/>
      <color theme="1"/>
      <name val="Aptos Narrow"/>
      <family val="2"/>
      <scheme val="minor"/>
    </font>
    <font>
      <b/>
      <sz val="16"/>
      <color theme="1"/>
      <name val="Aptos Narrow"/>
      <family val="2"/>
      <scheme val="minor"/>
    </font>
    <font>
      <i/>
      <sz val="11"/>
      <color theme="1"/>
      <name val="Aptos Narrow"/>
      <family val="2"/>
      <scheme val="minor"/>
    </font>
    <font>
      <b/>
      <sz val="14"/>
      <color theme="1"/>
      <name val="Aptos Narrow"/>
      <family val="2"/>
      <scheme val="minor"/>
    </font>
    <font>
      <b/>
      <i/>
      <sz val="18"/>
      <color theme="1"/>
      <name val="Aptos Narrow"/>
      <family val="2"/>
      <scheme val="minor"/>
    </font>
    <font>
      <b/>
      <i/>
      <u/>
      <sz val="11"/>
      <color theme="1"/>
      <name val="Aptos Narrow"/>
      <family val="2"/>
      <scheme val="minor"/>
    </font>
    <font>
      <b/>
      <i/>
      <sz val="11"/>
      <name val="Aptos Narrow"/>
      <family val="2"/>
      <scheme val="minor"/>
    </font>
    <font>
      <b/>
      <i/>
      <sz val="14"/>
      <color theme="1"/>
      <name val="Aptos Narrow"/>
      <family val="2"/>
      <scheme val="minor"/>
    </font>
    <font>
      <b/>
      <i/>
      <sz val="28"/>
      <color theme="1"/>
      <name val="Aptos Narrow"/>
      <family val="2"/>
      <scheme val="minor"/>
    </font>
    <font>
      <b/>
      <sz val="12"/>
      <color theme="0"/>
      <name val="Aptos Narrow"/>
      <family val="2"/>
      <scheme val="minor"/>
    </font>
    <font>
      <b/>
      <sz val="24"/>
      <color theme="0"/>
      <name val="Aptos Narrow"/>
      <family val="2"/>
      <scheme val="minor"/>
    </font>
    <font>
      <sz val="11"/>
      <color theme="1" tint="0.249977111117893"/>
      <name val="Aptos Narrow"/>
      <family val="2"/>
      <scheme val="minor"/>
    </font>
    <font>
      <b/>
      <sz val="22"/>
      <color theme="1"/>
      <name val="Aptos Narrow"/>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9" tint="0.39997558519241921"/>
        <bgColor indexed="64"/>
      </patternFill>
    </fill>
    <fill>
      <patternFill patternType="solid">
        <fgColor theme="2"/>
        <bgColor indexed="64"/>
      </patternFill>
    </fill>
    <fill>
      <patternFill patternType="solid">
        <fgColor theme="7"/>
        <bgColor indexed="64"/>
      </patternFill>
    </fill>
    <fill>
      <patternFill patternType="solid">
        <fgColor theme="0" tint="-0.249977111117893"/>
        <bgColor indexed="64"/>
      </patternFill>
    </fill>
    <fill>
      <patternFill patternType="solid">
        <fgColor theme="3"/>
        <bgColor indexed="64"/>
      </patternFill>
    </fill>
    <fill>
      <patternFill patternType="solid">
        <fgColor theme="0"/>
        <bgColor indexed="64"/>
      </patternFill>
    </fill>
    <fill>
      <patternFill patternType="solid">
        <fgColor theme="3" tint="0.74999237037263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rgb="FFFFFF00"/>
        <bgColor indexed="64"/>
      </patternFill>
    </fill>
    <fill>
      <patternFill patternType="solid">
        <fgColor rgb="FF7F7F7F"/>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4">
    <xf numFmtId="0" fontId="0" fillId="0" borderId="0" xfId="0"/>
    <xf numFmtId="0" fontId="18" fillId="0" borderId="0" xfId="0" applyFont="1"/>
    <xf numFmtId="1" fontId="0" fillId="0" borderId="0" xfId="0" applyNumberFormat="1"/>
    <xf numFmtId="164" fontId="0" fillId="0" borderId="0" xfId="0" applyNumberFormat="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16" fillId="0" borderId="11" xfId="0" applyFont="1" applyBorder="1"/>
    <xf numFmtId="0" fontId="16" fillId="0" borderId="12" xfId="0" applyFont="1" applyBorder="1"/>
    <xf numFmtId="0" fontId="20" fillId="0" borderId="13" xfId="0" applyFont="1" applyBorder="1"/>
    <xf numFmtId="0" fontId="20" fillId="0" borderId="15" xfId="0" applyFont="1" applyBorder="1"/>
    <xf numFmtId="0" fontId="0" fillId="0" borderId="17" xfId="0" applyBorder="1"/>
    <xf numFmtId="0" fontId="0" fillId="0" borderId="18" xfId="0" applyBorder="1"/>
    <xf numFmtId="0" fontId="16" fillId="0" borderId="17" xfId="0" applyFont="1" applyBorder="1"/>
    <xf numFmtId="0" fontId="0" fillId="0" borderId="13" xfId="0" pivotButton="1" applyBorder="1"/>
    <xf numFmtId="0" fontId="0" fillId="0" borderId="13" xfId="0" applyBorder="1" applyAlignment="1">
      <alignment horizontal="left"/>
    </xf>
    <xf numFmtId="164" fontId="0" fillId="0" borderId="14" xfId="0" applyNumberFormat="1" applyBorder="1"/>
    <xf numFmtId="0" fontId="0" fillId="0" borderId="15" xfId="0" applyBorder="1" applyAlignment="1">
      <alignment horizontal="left"/>
    </xf>
    <xf numFmtId="164" fontId="0" fillId="0" borderId="18" xfId="0" applyNumberFormat="1" applyBorder="1"/>
    <xf numFmtId="164" fontId="0" fillId="0" borderId="16" xfId="0" applyNumberFormat="1" applyBorder="1"/>
    <xf numFmtId="164" fontId="0" fillId="0" borderId="11" xfId="0" applyNumberFormat="1" applyBorder="1"/>
    <xf numFmtId="164" fontId="0" fillId="0" borderId="17" xfId="0" applyNumberFormat="1" applyBorder="1"/>
    <xf numFmtId="164" fontId="0" fillId="0" borderId="12" xfId="0" applyNumberFormat="1" applyBorder="1"/>
    <xf numFmtId="164" fontId="0" fillId="0" borderId="13" xfId="0" applyNumberFormat="1" applyBorder="1"/>
    <xf numFmtId="164" fontId="0" fillId="0" borderId="15" xfId="0" applyNumberFormat="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10" xfId="0" applyBorder="1" applyAlignment="1">
      <alignment horizontal="left"/>
    </xf>
    <xf numFmtId="0" fontId="0" fillId="0" borderId="10" xfId="0" pivotButton="1" applyBorder="1"/>
    <xf numFmtId="164" fontId="0" fillId="0" borderId="19" xfId="0" applyNumberFormat="1" applyBorder="1"/>
    <xf numFmtId="164" fontId="0" fillId="0" borderId="20" xfId="0" applyNumberFormat="1" applyBorder="1"/>
    <xf numFmtId="0" fontId="0" fillId="0" borderId="14" xfId="0" applyBorder="1" applyAlignment="1">
      <alignment horizontal="center" vertical="center"/>
    </xf>
    <xf numFmtId="0" fontId="20" fillId="0" borderId="22" xfId="0" applyFont="1" applyBorder="1" applyAlignment="1">
      <alignment horizontal="center"/>
    </xf>
    <xf numFmtId="0" fontId="20" fillId="0" borderId="23" xfId="0" applyFont="1" applyBorder="1" applyAlignment="1">
      <alignment horizontal="center"/>
    </xf>
    <xf numFmtId="0" fontId="20" fillId="0" borderId="24" xfId="0" applyFont="1" applyBorder="1" applyAlignment="1">
      <alignment horizontal="center"/>
    </xf>
    <xf numFmtId="0" fontId="23" fillId="0" borderId="26" xfId="0" applyFont="1" applyBorder="1"/>
    <xf numFmtId="0" fontId="0" fillId="0" borderId="26" xfId="0" applyBorder="1"/>
    <xf numFmtId="0" fontId="0" fillId="0" borderId="27" xfId="0" applyBorder="1"/>
    <xf numFmtId="0" fontId="23" fillId="0" borderId="10" xfId="0" applyFont="1" applyBorder="1"/>
    <xf numFmtId="0" fontId="0" fillId="0" borderId="20" xfId="0" applyBorder="1"/>
    <xf numFmtId="0" fontId="0" fillId="0" borderId="21" xfId="0" applyBorder="1"/>
    <xf numFmtId="0" fontId="0" fillId="0" borderId="25" xfId="0" applyBorder="1"/>
    <xf numFmtId="1" fontId="0" fillId="0" borderId="18" xfId="0" applyNumberFormat="1" applyBorder="1"/>
    <xf numFmtId="0" fontId="18" fillId="0" borderId="25" xfId="0" applyFont="1" applyBorder="1"/>
    <xf numFmtId="0" fontId="18" fillId="0" borderId="26" xfId="0" applyFont="1" applyBorder="1"/>
    <xf numFmtId="0" fontId="0" fillId="0" borderId="21" xfId="0" pivotButton="1" applyBorder="1"/>
    <xf numFmtId="0" fontId="0" fillId="0" borderId="19" xfId="0" applyBorder="1"/>
    <xf numFmtId="0" fontId="0" fillId="0" borderId="10" xfId="0" applyBorder="1"/>
    <xf numFmtId="0" fontId="19" fillId="0" borderId="0" xfId="0" applyFont="1"/>
    <xf numFmtId="164" fontId="18" fillId="0" borderId="0" xfId="0" applyNumberFormat="1" applyFont="1"/>
    <xf numFmtId="1" fontId="0" fillId="0" borderId="14" xfId="0" applyNumberFormat="1" applyBorder="1"/>
    <xf numFmtId="1" fontId="0" fillId="0" borderId="19" xfId="0" applyNumberFormat="1" applyBorder="1"/>
    <xf numFmtId="1" fontId="0" fillId="0" borderId="20" xfId="0" applyNumberFormat="1" applyBorder="1"/>
    <xf numFmtId="0" fontId="18" fillId="33" borderId="26" xfId="0" applyFont="1" applyFill="1" applyBorder="1" applyAlignment="1">
      <alignment horizontal="center"/>
    </xf>
    <xf numFmtId="0" fontId="18" fillId="33" borderId="27" xfId="0" applyFont="1" applyFill="1" applyBorder="1" applyAlignment="1">
      <alignment horizontal="center"/>
    </xf>
    <xf numFmtId="0" fontId="18" fillId="34" borderId="20" xfId="0" applyFont="1" applyFill="1" applyBorder="1" applyAlignment="1">
      <alignment horizontal="center"/>
    </xf>
    <xf numFmtId="0" fontId="18" fillId="34" borderId="21" xfId="0" applyFont="1" applyFill="1" applyBorder="1" applyAlignment="1">
      <alignment horizontal="center"/>
    </xf>
    <xf numFmtId="0" fontId="18" fillId="35" borderId="10" xfId="0" applyFont="1" applyFill="1" applyBorder="1" applyAlignment="1">
      <alignment horizontal="center" wrapText="1"/>
    </xf>
    <xf numFmtId="164" fontId="0" fillId="0" borderId="10" xfId="0" applyNumberFormat="1" applyBorder="1"/>
    <xf numFmtId="0" fontId="0" fillId="0" borderId="13" xfId="0"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37" borderId="0" xfId="0" applyFill="1"/>
    <xf numFmtId="0" fontId="0" fillId="0" borderId="0" xfId="0" pivotButton="1"/>
    <xf numFmtId="0" fontId="0" fillId="0" borderId="0" xfId="0" applyAlignment="1">
      <alignment horizontal="left"/>
    </xf>
    <xf numFmtId="0" fontId="0" fillId="0" borderId="27" xfId="0" applyBorder="1" applyAlignment="1">
      <alignment horizontal="center" vertical="center"/>
    </xf>
    <xf numFmtId="0" fontId="0" fillId="0" borderId="11" xfId="0" applyBorder="1"/>
    <xf numFmtId="0" fontId="27" fillId="45" borderId="0" xfId="0" applyFont="1" applyFill="1" applyAlignment="1">
      <alignment horizontal="center"/>
    </xf>
    <xf numFmtId="0" fontId="28" fillId="38" borderId="13" xfId="0" applyFont="1" applyFill="1" applyBorder="1" applyAlignment="1">
      <alignment horizontal="center"/>
    </xf>
    <xf numFmtId="0" fontId="28" fillId="38" borderId="0" xfId="0" applyFont="1" applyFill="1" applyAlignment="1">
      <alignment horizontal="center"/>
    </xf>
    <xf numFmtId="0" fontId="29" fillId="39" borderId="0" xfId="0" applyFont="1" applyFill="1" applyAlignment="1">
      <alignment horizontal="center"/>
    </xf>
    <xf numFmtId="0" fontId="16" fillId="40" borderId="11" xfId="0" applyFont="1" applyFill="1" applyBorder="1" applyAlignment="1">
      <alignment horizontal="center" vertical="center"/>
    </xf>
    <xf numFmtId="0" fontId="16" fillId="40" borderId="17" xfId="0" applyFont="1" applyFill="1" applyBorder="1" applyAlignment="1">
      <alignment horizontal="center" vertical="center"/>
    </xf>
    <xf numFmtId="0" fontId="16" fillId="40" borderId="12" xfId="0" applyFont="1" applyFill="1" applyBorder="1" applyAlignment="1">
      <alignment horizontal="center" vertical="center"/>
    </xf>
    <xf numFmtId="0" fontId="30" fillId="39" borderId="13" xfId="0" applyFont="1" applyFill="1" applyBorder="1" applyAlignment="1">
      <alignment horizontal="center" vertical="center"/>
    </xf>
    <xf numFmtId="0" fontId="30" fillId="39" borderId="0" xfId="0" applyFont="1" applyFill="1" applyAlignment="1">
      <alignment horizontal="center" vertical="center"/>
    </xf>
    <xf numFmtId="0" fontId="30" fillId="39" borderId="14" xfId="0" applyFont="1" applyFill="1" applyBorder="1" applyAlignment="1">
      <alignment horizontal="center" vertical="center"/>
    </xf>
    <xf numFmtId="0" fontId="20" fillId="39" borderId="15" xfId="0" applyFont="1" applyFill="1" applyBorder="1" applyAlignment="1">
      <alignment horizontal="center" vertical="center"/>
    </xf>
    <xf numFmtId="0" fontId="0" fillId="39" borderId="18" xfId="0" applyFill="1" applyBorder="1" applyAlignment="1">
      <alignment horizontal="center" vertical="center"/>
    </xf>
    <xf numFmtId="0" fontId="0" fillId="39" borderId="16" xfId="0" applyFill="1" applyBorder="1" applyAlignment="1">
      <alignment horizontal="center" vertical="center"/>
    </xf>
    <xf numFmtId="0" fontId="16" fillId="34" borderId="11" xfId="0" applyFont="1" applyFill="1" applyBorder="1" applyAlignment="1">
      <alignment horizontal="center" vertical="center"/>
    </xf>
    <xf numFmtId="0" fontId="16" fillId="34" borderId="17" xfId="0" applyFont="1" applyFill="1" applyBorder="1" applyAlignment="1">
      <alignment horizontal="center" vertical="center"/>
    </xf>
    <xf numFmtId="0" fontId="16" fillId="34" borderId="12" xfId="0" applyFont="1" applyFill="1" applyBorder="1" applyAlignment="1">
      <alignment horizontal="center" vertical="center"/>
    </xf>
    <xf numFmtId="1" fontId="30" fillId="39" borderId="13" xfId="0" applyNumberFormat="1" applyFont="1" applyFill="1" applyBorder="1" applyAlignment="1">
      <alignment horizontal="center" vertical="center"/>
    </xf>
    <xf numFmtId="0" fontId="16" fillId="43" borderId="11" xfId="0" applyFont="1" applyFill="1" applyBorder="1" applyAlignment="1">
      <alignment horizontal="center" vertical="center"/>
    </xf>
    <xf numFmtId="0" fontId="16" fillId="43" borderId="17" xfId="0" applyFont="1" applyFill="1" applyBorder="1" applyAlignment="1">
      <alignment horizontal="center" vertical="center"/>
    </xf>
    <xf numFmtId="0" fontId="16" fillId="43" borderId="12" xfId="0" applyFont="1" applyFill="1" applyBorder="1" applyAlignment="1">
      <alignment horizontal="center" vertical="center"/>
    </xf>
    <xf numFmtId="0" fontId="20" fillId="39" borderId="15" xfId="0" applyFont="1" applyFill="1" applyBorder="1" applyAlignment="1">
      <alignment horizontal="center"/>
    </xf>
    <xf numFmtId="0" fontId="20" fillId="39" borderId="18" xfId="0" applyFont="1" applyFill="1" applyBorder="1" applyAlignment="1">
      <alignment horizontal="center"/>
    </xf>
    <xf numFmtId="0" fontId="20" fillId="39" borderId="16" xfId="0" applyFont="1" applyFill="1" applyBorder="1" applyAlignment="1">
      <alignment horizontal="center"/>
    </xf>
    <xf numFmtId="0" fontId="16" fillId="44" borderId="11" xfId="0" applyFont="1" applyFill="1" applyBorder="1" applyAlignment="1">
      <alignment horizontal="center" vertical="center"/>
    </xf>
    <xf numFmtId="0" fontId="16" fillId="44" borderId="17" xfId="0" applyFont="1" applyFill="1" applyBorder="1" applyAlignment="1">
      <alignment horizontal="center" vertical="center"/>
    </xf>
    <xf numFmtId="0" fontId="16" fillId="44" borderId="12" xfId="0" applyFont="1" applyFill="1" applyBorder="1" applyAlignment="1">
      <alignment horizontal="center" vertical="center"/>
    </xf>
    <xf numFmtId="0" fontId="16" fillId="41" borderId="11" xfId="0" applyFont="1" applyFill="1" applyBorder="1" applyAlignment="1">
      <alignment horizontal="center" vertical="center"/>
    </xf>
    <xf numFmtId="0" fontId="16" fillId="41" borderId="17" xfId="0" applyFont="1" applyFill="1" applyBorder="1" applyAlignment="1">
      <alignment horizontal="center" vertical="center"/>
    </xf>
    <xf numFmtId="0" fontId="16" fillId="41" borderId="12" xfId="0" applyFont="1" applyFill="1" applyBorder="1" applyAlignment="1">
      <alignment horizontal="center" vertical="center"/>
    </xf>
    <xf numFmtId="0" fontId="20" fillId="39" borderId="18" xfId="0" applyFont="1" applyFill="1" applyBorder="1" applyAlignment="1">
      <alignment horizontal="center" vertical="center"/>
    </xf>
    <xf numFmtId="0" fontId="20" fillId="39" borderId="16" xfId="0" applyFont="1" applyFill="1" applyBorder="1" applyAlignment="1">
      <alignment horizontal="center" vertical="center"/>
    </xf>
    <xf numFmtId="0" fontId="16" fillId="42" borderId="11" xfId="0" applyFont="1" applyFill="1" applyBorder="1" applyAlignment="1">
      <alignment horizontal="center" vertical="center"/>
    </xf>
    <xf numFmtId="0" fontId="16" fillId="42" borderId="17" xfId="0" applyFont="1" applyFill="1" applyBorder="1" applyAlignment="1">
      <alignment horizontal="center" vertical="center"/>
    </xf>
    <xf numFmtId="0" fontId="16" fillId="42" borderId="12" xfId="0" applyFont="1" applyFill="1" applyBorder="1" applyAlignment="1">
      <alignment horizontal="center" vertical="center"/>
    </xf>
    <xf numFmtId="0" fontId="19" fillId="33" borderId="11" xfId="0" applyFont="1" applyFill="1" applyBorder="1" applyAlignment="1">
      <alignment horizontal="center"/>
    </xf>
    <xf numFmtId="0" fontId="19" fillId="33" borderId="17"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19" fillId="33" borderId="0" xfId="0" applyFont="1" applyFill="1" applyAlignment="1">
      <alignment horizontal="center"/>
    </xf>
    <xf numFmtId="0" fontId="19" fillId="33" borderId="14" xfId="0" applyFont="1" applyFill="1" applyBorder="1" applyAlignment="1">
      <alignment horizontal="center"/>
    </xf>
    <xf numFmtId="0" fontId="21" fillId="36" borderId="11" xfId="0" applyFont="1" applyFill="1" applyBorder="1" applyAlignment="1">
      <alignment horizontal="center" vertical="center"/>
    </xf>
    <xf numFmtId="0" fontId="21" fillId="36" borderId="17" xfId="0" applyFont="1" applyFill="1" applyBorder="1" applyAlignment="1">
      <alignment horizontal="center" vertical="center"/>
    </xf>
    <xf numFmtId="0" fontId="21" fillId="36" borderId="12" xfId="0" applyFont="1" applyFill="1" applyBorder="1" applyAlignment="1">
      <alignment horizontal="center" vertical="center"/>
    </xf>
    <xf numFmtId="0" fontId="21" fillId="36" borderId="13" xfId="0" applyFont="1" applyFill="1" applyBorder="1" applyAlignment="1">
      <alignment horizontal="center" vertical="center"/>
    </xf>
    <xf numFmtId="0" fontId="21" fillId="36" borderId="0" xfId="0" applyFont="1" applyFill="1" applyAlignment="1">
      <alignment horizontal="center" vertical="center"/>
    </xf>
    <xf numFmtId="0" fontId="21" fillId="36" borderId="14" xfId="0" applyFont="1" applyFill="1" applyBorder="1" applyAlignment="1">
      <alignment horizontal="center" vertical="center"/>
    </xf>
    <xf numFmtId="0" fontId="16" fillId="36" borderId="11" xfId="0" applyFont="1" applyFill="1" applyBorder="1" applyAlignment="1">
      <alignment horizontal="center" vertical="center"/>
    </xf>
    <xf numFmtId="0" fontId="16" fillId="36" borderId="12" xfId="0" applyFont="1" applyFill="1" applyBorder="1" applyAlignment="1">
      <alignment horizontal="center" vertical="center"/>
    </xf>
    <xf numFmtId="0" fontId="16" fillId="36" borderId="15" xfId="0" applyFont="1" applyFill="1" applyBorder="1" applyAlignment="1">
      <alignment horizontal="center" vertical="center"/>
    </xf>
    <xf numFmtId="0" fontId="16" fillId="36" borderId="16" xfId="0" applyFont="1" applyFill="1" applyBorder="1" applyAlignment="1">
      <alignment horizontal="center" vertical="center"/>
    </xf>
    <xf numFmtId="0" fontId="19" fillId="36" borderId="11" xfId="0" applyFont="1" applyFill="1" applyBorder="1" applyAlignment="1">
      <alignment horizontal="center" vertical="center"/>
    </xf>
    <xf numFmtId="0" fontId="0" fillId="36" borderId="17" xfId="0" applyFill="1" applyBorder="1" applyAlignment="1">
      <alignment horizontal="center" vertical="center"/>
    </xf>
    <xf numFmtId="0" fontId="0" fillId="36" borderId="12" xfId="0" applyFill="1" applyBorder="1" applyAlignment="1">
      <alignment horizontal="center" vertical="center"/>
    </xf>
    <xf numFmtId="0" fontId="0" fillId="36" borderId="15" xfId="0" applyFill="1" applyBorder="1" applyAlignment="1">
      <alignment horizontal="center" vertical="center"/>
    </xf>
    <xf numFmtId="0" fontId="0" fillId="36" borderId="18" xfId="0" applyFill="1" applyBorder="1" applyAlignment="1">
      <alignment horizontal="center" vertical="center"/>
    </xf>
    <xf numFmtId="0" fontId="0" fillId="36" borderId="16" xfId="0" applyFill="1" applyBorder="1" applyAlignment="1">
      <alignment horizontal="center" vertical="center"/>
    </xf>
    <xf numFmtId="0" fontId="19" fillId="36" borderId="17" xfId="0" applyFont="1" applyFill="1" applyBorder="1" applyAlignment="1">
      <alignment horizontal="center" vertical="center"/>
    </xf>
    <xf numFmtId="0" fontId="19" fillId="36" borderId="12" xfId="0" applyFont="1" applyFill="1" applyBorder="1" applyAlignment="1">
      <alignment horizontal="center" vertical="center"/>
    </xf>
    <xf numFmtId="0" fontId="19" fillId="36" borderId="15" xfId="0" applyFont="1" applyFill="1" applyBorder="1" applyAlignment="1">
      <alignment horizontal="center" vertical="center"/>
    </xf>
    <xf numFmtId="0" fontId="19" fillId="36" borderId="18" xfId="0" applyFont="1" applyFill="1" applyBorder="1" applyAlignment="1">
      <alignment horizontal="center" vertical="center"/>
    </xf>
    <xf numFmtId="0" fontId="19" fillId="36" borderId="16" xfId="0" applyFont="1" applyFill="1" applyBorder="1" applyAlignment="1">
      <alignment horizontal="center" vertical="center"/>
    </xf>
    <xf numFmtId="0" fontId="22" fillId="33" borderId="11" xfId="0" applyFont="1" applyFill="1" applyBorder="1" applyAlignment="1">
      <alignment horizontal="center"/>
    </xf>
    <xf numFmtId="0" fontId="22" fillId="33" borderId="17" xfId="0" applyFont="1" applyFill="1" applyBorder="1" applyAlignment="1">
      <alignment horizontal="center"/>
    </xf>
    <xf numFmtId="0" fontId="22" fillId="33" borderId="12" xfId="0" applyFont="1" applyFill="1" applyBorder="1" applyAlignment="1">
      <alignment horizontal="center"/>
    </xf>
    <xf numFmtId="0" fontId="22" fillId="33" borderId="15" xfId="0" applyFont="1" applyFill="1" applyBorder="1" applyAlignment="1">
      <alignment horizontal="center"/>
    </xf>
    <xf numFmtId="0" fontId="22" fillId="33" borderId="18" xfId="0" applyFont="1" applyFill="1" applyBorder="1" applyAlignment="1">
      <alignment horizontal="center"/>
    </xf>
    <xf numFmtId="0" fontId="22" fillId="33" borderId="16" xfId="0" applyFont="1" applyFill="1" applyBorder="1" applyAlignment="1">
      <alignment horizontal="center"/>
    </xf>
    <xf numFmtId="0" fontId="25" fillId="36" borderId="11" xfId="0" applyFont="1" applyFill="1" applyBorder="1" applyAlignment="1">
      <alignment horizontal="center" vertical="center"/>
    </xf>
    <xf numFmtId="0" fontId="25" fillId="36" borderId="17" xfId="0" applyFont="1" applyFill="1" applyBorder="1" applyAlignment="1">
      <alignment horizontal="center" vertical="center"/>
    </xf>
    <xf numFmtId="0" fontId="25" fillId="36" borderId="12" xfId="0" applyFont="1" applyFill="1" applyBorder="1" applyAlignment="1">
      <alignment horizontal="center" vertical="center"/>
    </xf>
    <xf numFmtId="0" fontId="25" fillId="36" borderId="15" xfId="0" applyFont="1" applyFill="1" applyBorder="1" applyAlignment="1">
      <alignment horizontal="center" vertical="center"/>
    </xf>
    <xf numFmtId="0" fontId="25" fillId="36" borderId="18" xfId="0" applyFont="1" applyFill="1" applyBorder="1" applyAlignment="1">
      <alignment horizontal="center" vertical="center"/>
    </xf>
    <xf numFmtId="0" fontId="25" fillId="36" borderId="16" xfId="0" applyFont="1" applyFill="1" applyBorder="1" applyAlignment="1">
      <alignment horizontal="center" vertical="center"/>
    </xf>
    <xf numFmtId="0" fontId="18" fillId="36" borderId="17" xfId="0" applyFont="1" applyFill="1" applyBorder="1" applyAlignment="1">
      <alignment horizontal="center" vertical="center"/>
    </xf>
    <xf numFmtId="0" fontId="18" fillId="36" borderId="12" xfId="0" applyFont="1" applyFill="1" applyBorder="1" applyAlignment="1">
      <alignment horizontal="center" vertical="center"/>
    </xf>
    <xf numFmtId="0" fontId="18" fillId="36" borderId="15" xfId="0" applyFont="1" applyFill="1" applyBorder="1" applyAlignment="1">
      <alignment horizontal="center" vertical="center"/>
    </xf>
    <xf numFmtId="0" fontId="18" fillId="36" borderId="18" xfId="0" applyFont="1" applyFill="1" applyBorder="1" applyAlignment="1">
      <alignment horizontal="center" vertical="center"/>
    </xf>
    <xf numFmtId="0" fontId="18" fillId="36" borderId="16" xfId="0" applyFont="1" applyFill="1" applyBorder="1" applyAlignment="1">
      <alignment horizontal="center" vertical="center"/>
    </xf>
    <xf numFmtId="0" fontId="26" fillId="36" borderId="11" xfId="0" applyFont="1" applyFill="1" applyBorder="1" applyAlignment="1">
      <alignment horizontal="center" vertical="center"/>
    </xf>
    <xf numFmtId="0" fontId="26" fillId="36" borderId="17" xfId="0" applyFont="1" applyFill="1" applyBorder="1" applyAlignment="1">
      <alignment horizontal="center" vertical="center"/>
    </xf>
    <xf numFmtId="0" fontId="26" fillId="36" borderId="12" xfId="0" applyFont="1" applyFill="1" applyBorder="1" applyAlignment="1">
      <alignment horizontal="center" vertical="center"/>
    </xf>
    <xf numFmtId="0" fontId="26" fillId="36" borderId="13" xfId="0" applyFont="1" applyFill="1" applyBorder="1" applyAlignment="1">
      <alignment horizontal="center" vertical="center"/>
    </xf>
    <xf numFmtId="0" fontId="26" fillId="36" borderId="0" xfId="0" applyFont="1" applyFill="1" applyAlignment="1">
      <alignment horizontal="center" vertical="center"/>
    </xf>
    <xf numFmtId="0" fontId="26" fillId="36" borderId="14" xfId="0" applyFont="1" applyFill="1" applyBorder="1" applyAlignment="1">
      <alignment horizontal="center" vertical="center"/>
    </xf>
    <xf numFmtId="0" fontId="26" fillId="36" borderId="15" xfId="0" applyFont="1" applyFill="1" applyBorder="1" applyAlignment="1">
      <alignment horizontal="center" vertical="center"/>
    </xf>
    <xf numFmtId="0" fontId="26" fillId="36" borderId="18" xfId="0" applyFont="1" applyFill="1" applyBorder="1" applyAlignment="1">
      <alignment horizontal="center" vertical="center"/>
    </xf>
    <xf numFmtId="0" fontId="26" fillId="36" borderId="16" xfId="0" applyFont="1" applyFill="1" applyBorder="1" applyAlignment="1">
      <alignment horizontal="center" vertical="center"/>
    </xf>
    <xf numFmtId="0" fontId="22" fillId="36" borderId="11" xfId="0" applyFont="1" applyFill="1" applyBorder="1" applyAlignment="1">
      <alignment horizontal="center" vertical="center"/>
    </xf>
    <xf numFmtId="0" fontId="22" fillId="36" borderId="17" xfId="0" applyFont="1" applyFill="1" applyBorder="1" applyAlignment="1">
      <alignment horizontal="center" vertical="center"/>
    </xf>
    <xf numFmtId="0" fontId="22" fillId="36" borderId="12" xfId="0" applyFont="1" applyFill="1" applyBorder="1" applyAlignment="1">
      <alignment horizontal="center" vertical="center"/>
    </xf>
    <xf numFmtId="0" fontId="22" fillId="36" borderId="15" xfId="0" applyFont="1" applyFill="1" applyBorder="1" applyAlignment="1">
      <alignment horizontal="center" vertical="center"/>
    </xf>
    <xf numFmtId="0" fontId="22" fillId="36" borderId="18" xfId="0" applyFont="1" applyFill="1" applyBorder="1" applyAlignment="1">
      <alignment horizontal="center" vertical="center"/>
    </xf>
    <xf numFmtId="0" fontId="22" fillId="36" borderId="16" xfId="0" applyFont="1" applyFill="1" applyBorder="1" applyAlignment="1">
      <alignment horizontal="center" vertic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17" xfId="0" applyFont="1" applyFill="1" applyBorder="1" applyAlignment="1">
      <alignment horizontal="center" vertical="center"/>
    </xf>
    <xf numFmtId="0" fontId="18" fillId="33" borderId="15" xfId="0" applyFont="1" applyFill="1" applyBorder="1" applyAlignment="1">
      <alignment horizontal="center" vertical="center"/>
    </xf>
    <xf numFmtId="0" fontId="18" fillId="33" borderId="18" xfId="0" applyFont="1" applyFill="1" applyBorder="1" applyAlignment="1">
      <alignment horizontal="center" vertical="center"/>
    </xf>
    <xf numFmtId="0" fontId="18" fillId="33" borderId="16" xfId="0" applyFont="1" applyFill="1" applyBorder="1" applyAlignment="1">
      <alignment horizontal="center" vertical="center"/>
    </xf>
    <xf numFmtId="0" fontId="24" fillId="33" borderId="11" xfId="0" applyFont="1" applyFill="1" applyBorder="1" applyAlignment="1">
      <alignment horizontal="center" vertical="center"/>
    </xf>
    <xf numFmtId="0" fontId="24" fillId="33" borderId="17" xfId="0" applyFont="1" applyFill="1" applyBorder="1" applyAlignment="1">
      <alignment horizontal="center" vertical="center"/>
    </xf>
    <xf numFmtId="0" fontId="24" fillId="33" borderId="12" xfId="0" applyFont="1" applyFill="1" applyBorder="1" applyAlignment="1">
      <alignment horizontal="center" vertical="center"/>
    </xf>
    <xf numFmtId="0" fontId="24" fillId="33" borderId="13" xfId="0" applyFont="1" applyFill="1" applyBorder="1" applyAlignment="1">
      <alignment horizontal="center" vertical="center"/>
    </xf>
    <xf numFmtId="0" fontId="24" fillId="33" borderId="0" xfId="0" applyFont="1" applyFill="1" applyAlignment="1">
      <alignment horizontal="center" vertical="center"/>
    </xf>
    <xf numFmtId="0" fontId="24" fillId="33" borderId="14" xfId="0" applyFont="1" applyFill="1" applyBorder="1" applyAlignment="1">
      <alignment horizontal="center" vertical="center"/>
    </xf>
    <xf numFmtId="0" fontId="18" fillId="33" borderId="0" xfId="0" applyFont="1" applyFill="1" applyAlignment="1">
      <alignment horizontal="center" vertical="center"/>
    </xf>
    <xf numFmtId="0" fontId="19" fillId="33" borderId="11" xfId="0" applyFont="1" applyFill="1" applyBorder="1" applyAlignment="1">
      <alignment horizontal="center" vertical="center"/>
    </xf>
    <xf numFmtId="0" fontId="19" fillId="33" borderId="17"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0" xfId="0" applyFont="1" applyFill="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xf numFmtId="0" fontId="19" fillId="33" borderId="18" xfId="0" applyFont="1" applyFill="1" applyBorder="1" applyAlignment="1">
      <alignment horizontal="center" vertical="center"/>
    </xf>
    <xf numFmtId="0" fontId="19" fillId="33" borderId="16" xfId="0" applyFont="1" applyFill="1" applyBorder="1" applyAlignment="1">
      <alignment horizontal="center" vertical="center"/>
    </xf>
    <xf numFmtId="0" fontId="0" fillId="33" borderId="17" xfId="0" applyFill="1" applyBorder="1" applyAlignment="1">
      <alignment horizontal="center" vertical="center"/>
    </xf>
    <xf numFmtId="0" fontId="0" fillId="33" borderId="12" xfId="0" applyFill="1" applyBorder="1" applyAlignment="1">
      <alignment horizontal="center" vertical="center"/>
    </xf>
    <xf numFmtId="0" fontId="0" fillId="33" borderId="15" xfId="0" applyFill="1" applyBorder="1" applyAlignment="1">
      <alignment horizontal="center" vertical="center"/>
    </xf>
    <xf numFmtId="0" fontId="0" fillId="33" borderId="18" xfId="0" applyFill="1" applyBorder="1" applyAlignment="1">
      <alignment horizontal="center" vertical="center"/>
    </xf>
    <xf numFmtId="0" fontId="0" fillId="33" borderId="16" xfId="0" applyFill="1" applyBorder="1" applyAlignment="1">
      <alignment horizontal="center" vertical="center"/>
    </xf>
    <xf numFmtId="0" fontId="16" fillId="33" borderId="11" xfId="0" applyFont="1" applyFill="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font>
      <fill>
        <patternFill>
          <bgColor theme="9" tint="-0.24994659260841701"/>
        </patternFill>
      </fill>
    </dxf>
    <dxf>
      <font>
        <b/>
        <i val="0"/>
      </font>
      <fill>
        <patternFill>
          <bgColor rgb="FFFFC000"/>
        </patternFill>
      </fill>
    </dxf>
    <dxf>
      <font>
        <b/>
        <i val="0"/>
      </font>
      <fill>
        <patternFill>
          <bgColor rgb="FFC00000"/>
        </patternFill>
      </fill>
    </dxf>
    <dxf>
      <font>
        <b/>
        <i val="0"/>
      </font>
      <fill>
        <patternFill>
          <bgColor theme="0" tint="-0.24994659260841701"/>
        </patternFill>
      </fill>
    </dxf>
    <dxf>
      <numFmt numFmtId="164" formatCode="0.0"/>
    </dxf>
    <dxf>
      <numFmt numFmtId="164" formatCode="0.0"/>
    </dxf>
    <dxf>
      <numFmt numFmtId="1" formatCode="0"/>
    </dxf>
    <dxf>
      <font>
        <b/>
        <i/>
        <strike val="0"/>
        <condense val="0"/>
        <extend val="0"/>
        <outline val="0"/>
        <shadow val="0"/>
        <u val="none"/>
        <vertAlign val="baseline"/>
        <sz val="11"/>
        <color theme="1"/>
        <name val="Aptos Narrow"/>
        <family val="2"/>
        <scheme val="minor"/>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horizont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numFmt numFmtId="1" formatCode="0"/>
    </dxf>
  </dxfs>
  <tableStyles count="0" defaultTableStyle="TableStyleMedium2" defaultPivotStyle="PivotStyleLight16"/>
  <colors>
    <mruColors>
      <color rgb="FF7F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[pokemon_stats_2025.xlsx]Sheet2!PivotTable1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Pokemon Count By Type</a:t>
            </a:r>
          </a:p>
        </c:rich>
      </c:tx>
      <c:layout>
        <c:manualLayout>
          <c:xMode val="edge"/>
          <c:yMode val="edge"/>
          <c:x val="0.43320932294907277"/>
          <c:y val="2.89399480802604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532243415077202E-2"/>
              <c:y val="2.185792349726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697547683923772E-2"/>
              <c:y val="-7.28597449908925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028156221616579E-2"/>
              <c:y val="-9.10746812386157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532243415077202E-2"/>
              <c:y val="2.185792349726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431425976385105E-2"/>
              <c:y val="1.092896174863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330608537693005E-3"/>
              <c:y val="4.37158469945355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3"/>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1.092896174863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4"/>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899182561307902E-2"/>
              <c:y val="-1.45719489981785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38-451E-AE51-6483B7E130D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38-451E-AE51-6483B7E130D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238-451E-AE51-6483B7E130D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238-451E-AE51-6483B7E130D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238-451E-AE51-6483B7E130D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238-451E-AE51-6483B7E130D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238-451E-AE51-6483B7E130D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238-451E-AE51-6483B7E130D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238-451E-AE51-6483B7E130D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238-451E-AE51-6483B7E130D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238-451E-AE51-6483B7E130D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238-451E-AE51-6483B7E130D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238-451E-AE51-6483B7E130D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238-451E-AE51-6483B7E130D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238-451E-AE51-6483B7E130D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238-451E-AE51-6483B7E130D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238-451E-AE51-6483B7E130DD}"/>
              </c:ext>
            </c:extLst>
          </c:dPt>
          <c:dLbls>
            <c:dLbl>
              <c:idx val="0"/>
              <c:layout>
                <c:manualLayout>
                  <c:x val="-1.4532243415077202E-2"/>
                  <c:y val="2.185792349726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38-451E-AE51-6483B7E130DD}"/>
                </c:ext>
              </c:extLst>
            </c:dLbl>
            <c:dLbl>
              <c:idx val="1"/>
              <c:layout>
                <c:manualLayout>
                  <c:x val="-3.2697547683923772E-2"/>
                  <c:y val="-7.285974499089253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38-451E-AE51-6483B7E130DD}"/>
                </c:ext>
              </c:extLst>
            </c:dLbl>
            <c:dLbl>
              <c:idx val="2"/>
              <c:layout>
                <c:manualLayout>
                  <c:x val="6.9028156221616579E-2"/>
                  <c:y val="-9.107468123861570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38-451E-AE51-6483B7E130DD}"/>
                </c:ext>
              </c:extLst>
            </c:dLbl>
            <c:dLbl>
              <c:idx val="3"/>
              <c:layout>
                <c:manualLayout>
                  <c:x val="-1.4532243415077202E-2"/>
                  <c:y val="2.1857923497267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238-451E-AE51-6483B7E130DD}"/>
                </c:ext>
              </c:extLst>
            </c:dLbl>
            <c:dLbl>
              <c:idx val="5"/>
              <c:layout>
                <c:manualLayout>
                  <c:x val="-2.5431425976385105E-2"/>
                  <c:y val="1.0928961748633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238-451E-AE51-6483B7E130DD}"/>
                </c:ext>
              </c:extLst>
            </c:dLbl>
            <c:dLbl>
              <c:idx val="12"/>
              <c:layout>
                <c:manualLayout>
                  <c:x val="3.6330608537693005E-3"/>
                  <c:y val="4.37158469945355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D238-451E-AE51-6483B7E130DD}"/>
                </c:ext>
              </c:extLst>
            </c:dLbl>
            <c:dLbl>
              <c:idx val="13"/>
              <c:layout>
                <c:manualLayout>
                  <c:x val="0"/>
                  <c:y val="1.0928961748633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B-D238-451E-AE51-6483B7E130DD}"/>
                </c:ext>
              </c:extLst>
            </c:dLbl>
            <c:dLbl>
              <c:idx val="15"/>
              <c:layout>
                <c:manualLayout>
                  <c:x val="1.0899182561307902E-2"/>
                  <c:y val="-1.457194899817857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F-D238-451E-AE51-6483B7E130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Sheet2!$A$19:$A$36</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Sheet2!$B$19:$B$36</c:f>
              <c:numCache>
                <c:formatCode>General</c:formatCode>
                <c:ptCount val="17"/>
                <c:pt idx="0">
                  <c:v>22</c:v>
                </c:pt>
                <c:pt idx="1">
                  <c:v>5</c:v>
                </c:pt>
                <c:pt idx="2">
                  <c:v>3</c:v>
                </c:pt>
                <c:pt idx="3">
                  <c:v>15</c:v>
                </c:pt>
                <c:pt idx="4">
                  <c:v>7</c:v>
                </c:pt>
                <c:pt idx="5">
                  <c:v>9</c:v>
                </c:pt>
                <c:pt idx="6">
                  <c:v>20</c:v>
                </c:pt>
                <c:pt idx="7">
                  <c:v>4</c:v>
                </c:pt>
                <c:pt idx="8">
                  <c:v>21</c:v>
                </c:pt>
                <c:pt idx="9">
                  <c:v>11</c:v>
                </c:pt>
                <c:pt idx="10">
                  <c:v>6</c:v>
                </c:pt>
                <c:pt idx="11">
                  <c:v>37</c:v>
                </c:pt>
                <c:pt idx="12">
                  <c:v>15</c:v>
                </c:pt>
                <c:pt idx="13">
                  <c:v>14</c:v>
                </c:pt>
                <c:pt idx="14">
                  <c:v>13</c:v>
                </c:pt>
                <c:pt idx="15">
                  <c:v>2</c:v>
                </c:pt>
                <c:pt idx="16">
                  <c:v>46</c:v>
                </c:pt>
              </c:numCache>
            </c:numRef>
          </c:val>
          <c:extLst>
            <c:ext xmlns:c16="http://schemas.microsoft.com/office/drawing/2014/chart" uri="{C3380CC4-5D6E-409C-BE32-E72D297353CC}">
              <c16:uniqueId val="{00000022-D238-451E-AE51-6483B7E130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2587912205797165"/>
          <c:y val="0.19870458815598871"/>
          <c:w val="0.16322169538072046"/>
          <c:h val="0.667689284741046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[pokemon_stats_2025.xlsx]Sheet2!PivotTable2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Stats By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Sheet2!$T$4</c:f>
              <c:strCache>
                <c:ptCount val="1"/>
                <c:pt idx="0">
                  <c:v>Average of attack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Sheet2!$S$5:$S$22</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Sheet2!$T$5:$T$22</c:f>
              <c:numCache>
                <c:formatCode>0</c:formatCode>
                <c:ptCount val="17"/>
                <c:pt idx="0">
                  <c:v>66.13636363636364</c:v>
                </c:pt>
                <c:pt idx="1">
                  <c:v>79</c:v>
                </c:pt>
                <c:pt idx="2">
                  <c:v>94</c:v>
                </c:pt>
                <c:pt idx="3">
                  <c:v>61.06666666666667</c:v>
                </c:pt>
                <c:pt idx="4">
                  <c:v>57.142857142857146</c:v>
                </c:pt>
                <c:pt idx="5">
                  <c:v>94.444444444444443</c:v>
                </c:pt>
                <c:pt idx="6">
                  <c:v>80.849999999999994</c:v>
                </c:pt>
                <c:pt idx="7">
                  <c:v>52.5</c:v>
                </c:pt>
                <c:pt idx="8">
                  <c:v>64.80952380952381</c:v>
                </c:pt>
                <c:pt idx="9">
                  <c:v>84.545454545454547</c:v>
                </c:pt>
                <c:pt idx="10">
                  <c:v>61.666666666666664</c:v>
                </c:pt>
                <c:pt idx="11">
                  <c:v>66.540540540540547</c:v>
                </c:pt>
                <c:pt idx="12">
                  <c:v>76.13333333333334</c:v>
                </c:pt>
                <c:pt idx="13">
                  <c:v>61.857142857142854</c:v>
                </c:pt>
                <c:pt idx="14">
                  <c:v>86.307692307692307</c:v>
                </c:pt>
                <c:pt idx="15">
                  <c:v>82.5</c:v>
                </c:pt>
                <c:pt idx="16">
                  <c:v>69.413043478260875</c:v>
                </c:pt>
              </c:numCache>
            </c:numRef>
          </c:val>
          <c:extLst>
            <c:ext xmlns:c16="http://schemas.microsoft.com/office/drawing/2014/chart" uri="{C3380CC4-5D6E-409C-BE32-E72D297353CC}">
              <c16:uniqueId val="{00000000-9A75-4567-8E21-D4E737EF79F7}"/>
            </c:ext>
          </c:extLst>
        </c:ser>
        <c:ser>
          <c:idx val="1"/>
          <c:order val="1"/>
          <c:tx>
            <c:strRef>
              <c:f>Sheet2!$U$4</c:f>
              <c:strCache>
                <c:ptCount val="1"/>
                <c:pt idx="0">
                  <c:v>Average of defense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Sheet2!$S$5:$S$22</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Sheet2!$U$5:$U$22</c:f>
              <c:numCache>
                <c:formatCode>0</c:formatCode>
                <c:ptCount val="17"/>
                <c:pt idx="0">
                  <c:v>70.681818181818187</c:v>
                </c:pt>
                <c:pt idx="1">
                  <c:v>57.4</c:v>
                </c:pt>
                <c:pt idx="2">
                  <c:v>68.333333333333329</c:v>
                </c:pt>
                <c:pt idx="3">
                  <c:v>59.266666666666666</c:v>
                </c:pt>
                <c:pt idx="4">
                  <c:v>60.571428571428569</c:v>
                </c:pt>
                <c:pt idx="5">
                  <c:v>61.888888888888886</c:v>
                </c:pt>
                <c:pt idx="6">
                  <c:v>65.099999999999994</c:v>
                </c:pt>
                <c:pt idx="7">
                  <c:v>48.75</c:v>
                </c:pt>
                <c:pt idx="8">
                  <c:v>67.61904761904762</c:v>
                </c:pt>
                <c:pt idx="9">
                  <c:v>88.63636363636364</c:v>
                </c:pt>
                <c:pt idx="10">
                  <c:v>52.5</c:v>
                </c:pt>
                <c:pt idx="11">
                  <c:v>53.729729729729726</c:v>
                </c:pt>
                <c:pt idx="12">
                  <c:v>67.86666666666666</c:v>
                </c:pt>
                <c:pt idx="13">
                  <c:v>62.214285714285715</c:v>
                </c:pt>
                <c:pt idx="14">
                  <c:v>102.69230769230769</c:v>
                </c:pt>
                <c:pt idx="15">
                  <c:v>170</c:v>
                </c:pt>
                <c:pt idx="16">
                  <c:v>75.978260869565219</c:v>
                </c:pt>
              </c:numCache>
            </c:numRef>
          </c:val>
          <c:extLst>
            <c:ext xmlns:c16="http://schemas.microsoft.com/office/drawing/2014/chart" uri="{C3380CC4-5D6E-409C-BE32-E72D297353CC}">
              <c16:uniqueId val="{00000001-9A75-4567-8E21-D4E737EF79F7}"/>
            </c:ext>
          </c:extLst>
        </c:ser>
        <c:ser>
          <c:idx val="2"/>
          <c:order val="2"/>
          <c:tx>
            <c:strRef>
              <c:f>Sheet2!$V$4</c:f>
              <c:strCache>
                <c:ptCount val="1"/>
                <c:pt idx="0">
                  <c:v>Average of special_attack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Sheet2!$S$5:$S$22</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Sheet2!$V$5:$V$22</c:f>
              <c:numCache>
                <c:formatCode>0</c:formatCode>
                <c:ptCount val="17"/>
                <c:pt idx="0">
                  <c:v>47.272727272727273</c:v>
                </c:pt>
                <c:pt idx="1">
                  <c:v>74</c:v>
                </c:pt>
                <c:pt idx="2">
                  <c:v>73.333333333333329</c:v>
                </c:pt>
                <c:pt idx="3">
                  <c:v>86.333333333333329</c:v>
                </c:pt>
                <c:pt idx="4">
                  <c:v>60</c:v>
                </c:pt>
                <c:pt idx="5">
                  <c:v>42.777777777777779</c:v>
                </c:pt>
                <c:pt idx="6">
                  <c:v>84.7</c:v>
                </c:pt>
                <c:pt idx="7">
                  <c:v>107.5</c:v>
                </c:pt>
                <c:pt idx="8">
                  <c:v>76.666666666666671</c:v>
                </c:pt>
                <c:pt idx="9">
                  <c:v>40.909090909090907</c:v>
                </c:pt>
                <c:pt idx="10">
                  <c:v>75</c:v>
                </c:pt>
                <c:pt idx="11">
                  <c:v>54.45945945945946</c:v>
                </c:pt>
                <c:pt idx="12">
                  <c:v>58</c:v>
                </c:pt>
                <c:pt idx="13">
                  <c:v>94.285714285714292</c:v>
                </c:pt>
                <c:pt idx="14">
                  <c:v>60</c:v>
                </c:pt>
                <c:pt idx="15">
                  <c:v>47.5</c:v>
                </c:pt>
                <c:pt idx="16">
                  <c:v>66.173913043478265</c:v>
                </c:pt>
              </c:numCache>
            </c:numRef>
          </c:val>
          <c:extLst>
            <c:ext xmlns:c16="http://schemas.microsoft.com/office/drawing/2014/chart" uri="{C3380CC4-5D6E-409C-BE32-E72D297353CC}">
              <c16:uniqueId val="{00000002-9A75-4567-8E21-D4E737EF79F7}"/>
            </c:ext>
          </c:extLst>
        </c:ser>
        <c:ser>
          <c:idx val="3"/>
          <c:order val="3"/>
          <c:tx>
            <c:strRef>
              <c:f>Sheet2!$W$4</c:f>
              <c:strCache>
                <c:ptCount val="1"/>
                <c:pt idx="0">
                  <c:v>Average of special_defense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Sheet2!$S$5:$S$22</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Sheet2!$W$5:$W$22</c:f>
              <c:numCache>
                <c:formatCode>0</c:formatCode>
                <c:ptCount val="17"/>
                <c:pt idx="0">
                  <c:v>68.63636363636364</c:v>
                </c:pt>
                <c:pt idx="1">
                  <c:v>75.400000000000006</c:v>
                </c:pt>
                <c:pt idx="2">
                  <c:v>73.333333333333329</c:v>
                </c:pt>
                <c:pt idx="3">
                  <c:v>69.666666666666671</c:v>
                </c:pt>
                <c:pt idx="4">
                  <c:v>68.571428571428569</c:v>
                </c:pt>
                <c:pt idx="5">
                  <c:v>73.333333333333329</c:v>
                </c:pt>
                <c:pt idx="6">
                  <c:v>76.2</c:v>
                </c:pt>
                <c:pt idx="7">
                  <c:v>62.5</c:v>
                </c:pt>
                <c:pt idx="8">
                  <c:v>69.285714285714292</c:v>
                </c:pt>
                <c:pt idx="9">
                  <c:v>51.81818181818182</c:v>
                </c:pt>
                <c:pt idx="10">
                  <c:v>70</c:v>
                </c:pt>
                <c:pt idx="11">
                  <c:v>62.405405405405403</c:v>
                </c:pt>
                <c:pt idx="12">
                  <c:v>62.866666666666667</c:v>
                </c:pt>
                <c:pt idx="13">
                  <c:v>86.071428571428569</c:v>
                </c:pt>
                <c:pt idx="14">
                  <c:v>60.384615384615387</c:v>
                </c:pt>
                <c:pt idx="15">
                  <c:v>67.5</c:v>
                </c:pt>
                <c:pt idx="16">
                  <c:v>70.108695652173907</c:v>
                </c:pt>
              </c:numCache>
            </c:numRef>
          </c:val>
          <c:extLst>
            <c:ext xmlns:c16="http://schemas.microsoft.com/office/drawing/2014/chart" uri="{C3380CC4-5D6E-409C-BE32-E72D297353CC}">
              <c16:uniqueId val="{00000003-9A75-4567-8E21-D4E737EF79F7}"/>
            </c:ext>
          </c:extLst>
        </c:ser>
        <c:ser>
          <c:idx val="4"/>
          <c:order val="4"/>
          <c:tx>
            <c:strRef>
              <c:f>Sheet2!$X$4</c:f>
              <c:strCache>
                <c:ptCount val="1"/>
                <c:pt idx="0">
                  <c:v>Average of speed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Sheet2!$S$5:$S$22</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Sheet2!$X$5:$X$22</c:f>
              <c:numCache>
                <c:formatCode>0</c:formatCode>
                <c:ptCount val="17"/>
                <c:pt idx="0">
                  <c:v>54.545454545454547</c:v>
                </c:pt>
                <c:pt idx="1">
                  <c:v>86.2</c:v>
                </c:pt>
                <c:pt idx="2">
                  <c:v>66.666666666666671</c:v>
                </c:pt>
                <c:pt idx="3">
                  <c:v>87</c:v>
                </c:pt>
                <c:pt idx="4">
                  <c:v>35</c:v>
                </c:pt>
                <c:pt idx="5">
                  <c:v>63.111111111111114</c:v>
                </c:pt>
                <c:pt idx="6">
                  <c:v>78.8</c:v>
                </c:pt>
                <c:pt idx="7">
                  <c:v>92.5</c:v>
                </c:pt>
                <c:pt idx="8">
                  <c:v>55.238095238095241</c:v>
                </c:pt>
                <c:pt idx="9">
                  <c:v>58.18181818181818</c:v>
                </c:pt>
                <c:pt idx="10">
                  <c:v>70</c:v>
                </c:pt>
                <c:pt idx="11">
                  <c:v>66.621621621621628</c:v>
                </c:pt>
                <c:pt idx="12">
                  <c:v>63.533333333333331</c:v>
                </c:pt>
                <c:pt idx="13">
                  <c:v>86.428571428571431</c:v>
                </c:pt>
                <c:pt idx="14">
                  <c:v>54.46153846153846</c:v>
                </c:pt>
                <c:pt idx="15">
                  <c:v>50</c:v>
                </c:pt>
                <c:pt idx="16">
                  <c:v>63.456521739130437</c:v>
                </c:pt>
              </c:numCache>
            </c:numRef>
          </c:val>
          <c:extLst>
            <c:ext xmlns:c16="http://schemas.microsoft.com/office/drawing/2014/chart" uri="{C3380CC4-5D6E-409C-BE32-E72D297353CC}">
              <c16:uniqueId val="{00000004-9A75-4567-8E21-D4E737EF79F7}"/>
            </c:ext>
          </c:extLst>
        </c:ser>
        <c:ser>
          <c:idx val="5"/>
          <c:order val="5"/>
          <c:tx>
            <c:strRef>
              <c:f>Sheet2!$Y$4</c:f>
              <c:strCache>
                <c:ptCount val="1"/>
                <c:pt idx="0">
                  <c:v>Average of hp</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Sheet2!$S$5:$S$22</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Sheet2!$Y$5:$Y$22</c:f>
              <c:numCache>
                <c:formatCode>0</c:formatCode>
                <c:ptCount val="17"/>
                <c:pt idx="0">
                  <c:v>55.909090909090907</c:v>
                </c:pt>
                <c:pt idx="1">
                  <c:v>66</c:v>
                </c:pt>
                <c:pt idx="2">
                  <c:v>64.333333333333329</c:v>
                </c:pt>
                <c:pt idx="3">
                  <c:v>57.333333333333336</c:v>
                </c:pt>
                <c:pt idx="4">
                  <c:v>65</c:v>
                </c:pt>
                <c:pt idx="5">
                  <c:v>58.888888888888886</c:v>
                </c:pt>
                <c:pt idx="6">
                  <c:v>65.349999999999994</c:v>
                </c:pt>
                <c:pt idx="7">
                  <c:v>48.75</c:v>
                </c:pt>
                <c:pt idx="8">
                  <c:v>62.38095238095238</c:v>
                </c:pt>
                <c:pt idx="9">
                  <c:v>64.545454545454547</c:v>
                </c:pt>
                <c:pt idx="10">
                  <c:v>65.833333333333329</c:v>
                </c:pt>
                <c:pt idx="11">
                  <c:v>82.13513513513513</c:v>
                </c:pt>
                <c:pt idx="12">
                  <c:v>65.86666666666666</c:v>
                </c:pt>
                <c:pt idx="13">
                  <c:v>73.214285714285708</c:v>
                </c:pt>
                <c:pt idx="14">
                  <c:v>59.615384615384613</c:v>
                </c:pt>
                <c:pt idx="15">
                  <c:v>70</c:v>
                </c:pt>
                <c:pt idx="16">
                  <c:v>69.826086956521735</c:v>
                </c:pt>
              </c:numCache>
            </c:numRef>
          </c:val>
          <c:extLst>
            <c:ext xmlns:c16="http://schemas.microsoft.com/office/drawing/2014/chart" uri="{C3380CC4-5D6E-409C-BE32-E72D297353CC}">
              <c16:uniqueId val="{00000005-9A75-4567-8E21-D4E737EF79F7}"/>
            </c:ext>
          </c:extLst>
        </c:ser>
        <c:dLbls>
          <c:showLegendKey val="0"/>
          <c:showVal val="0"/>
          <c:showCatName val="0"/>
          <c:showSerName val="0"/>
          <c:showPercent val="0"/>
          <c:showBubbleSize val="0"/>
        </c:dLbls>
        <c:gapWidth val="100"/>
        <c:overlap val="-24"/>
        <c:axId val="79271616"/>
        <c:axId val="79271136"/>
      </c:barChart>
      <c:catAx>
        <c:axId val="79271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271136"/>
        <c:crosses val="autoZero"/>
        <c:auto val="1"/>
        <c:lblAlgn val="ctr"/>
        <c:lblOffset val="100"/>
        <c:noMultiLvlLbl val="0"/>
      </c:catAx>
      <c:valAx>
        <c:axId val="7927113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271616"/>
        <c:crosses val="autoZero"/>
        <c:crossBetween val="between"/>
      </c:valAx>
      <c:spPr>
        <a:noFill/>
        <a:ln>
          <a:noFill/>
        </a:ln>
        <a:effectLst/>
      </c:spPr>
    </c:plotArea>
    <c:legend>
      <c:legendPos val="r"/>
      <c:layout>
        <c:manualLayout>
          <c:xMode val="edge"/>
          <c:yMode val="edge"/>
          <c:x val="0.66471609798775155"/>
          <c:y val="0.27105603602828338"/>
          <c:w val="0.31861723534558178"/>
          <c:h val="0.556576452533597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[pokemon_stats_2025.xlsx]Sheet2!PivotTable3</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Duel Type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Mod val="60000"/>
                <a:lumOff val="40000"/>
              </a:schemeClr>
            </a:solidFill>
            <a:ln>
              <a:noFill/>
            </a:ln>
            <a:effectLst>
              <a:glow rad="63500">
                <a:schemeClr val="accent4">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Mod val="60000"/>
                <a:lumOff val="40000"/>
              </a:schemeClr>
            </a:solidFill>
            <a:ln>
              <a:noFill/>
            </a:ln>
            <a:effectLst>
              <a:glow rad="63500">
                <a:schemeClr val="accent6">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80000"/>
                <a:lumOff val="20000"/>
                <a:lumMod val="60000"/>
                <a:lumOff val="40000"/>
              </a:schemeClr>
            </a:solidFill>
            <a:ln>
              <a:noFill/>
            </a:ln>
            <a:effectLst>
              <a:glow rad="63500">
                <a:schemeClr val="accent2">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80000"/>
                <a:lumOff val="20000"/>
                <a:lumMod val="60000"/>
                <a:lumOff val="40000"/>
              </a:schemeClr>
            </a:solidFill>
            <a:ln>
              <a:noFill/>
            </a:ln>
            <a:effectLst>
              <a:glow rad="63500">
                <a:schemeClr val="accent4">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Sheet2!$B$39:$B$40</c:f>
              <c:strCache>
                <c:ptCount val="1"/>
                <c:pt idx="0">
                  <c:v>dark</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Sheet2!$B$41:$B$58</c:f>
              <c:numCache>
                <c:formatCode>General</c:formatCode>
                <c:ptCount val="17"/>
                <c:pt idx="14">
                  <c:v>1</c:v>
                </c:pt>
              </c:numCache>
            </c:numRef>
          </c:val>
          <c:extLst>
            <c:ext xmlns:c16="http://schemas.microsoft.com/office/drawing/2014/chart" uri="{C3380CC4-5D6E-409C-BE32-E72D297353CC}">
              <c16:uniqueId val="{00000000-CC98-48A6-AE3C-F62A55E6F7FD}"/>
            </c:ext>
          </c:extLst>
        </c:ser>
        <c:ser>
          <c:idx val="1"/>
          <c:order val="1"/>
          <c:tx>
            <c:strRef>
              <c:f>Sheet2!$C$39:$C$40</c:f>
              <c:strCache>
                <c:ptCount val="1"/>
                <c:pt idx="0">
                  <c:v>dragon</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Sheet2!$C$41:$C$58</c:f>
              <c:numCache>
                <c:formatCode>General</c:formatCode>
                <c:ptCount val="17"/>
                <c:pt idx="16">
                  <c:v>1</c:v>
                </c:pt>
              </c:numCache>
            </c:numRef>
          </c:val>
          <c:extLst>
            <c:ext xmlns:c16="http://schemas.microsoft.com/office/drawing/2014/chart" uri="{C3380CC4-5D6E-409C-BE32-E72D297353CC}">
              <c16:uniqueId val="{00000001-CC98-48A6-AE3C-F62A55E6F7FD}"/>
            </c:ext>
          </c:extLst>
        </c:ser>
        <c:ser>
          <c:idx val="2"/>
          <c:order val="2"/>
          <c:tx>
            <c:strRef>
              <c:f>Sheet2!$D$39:$D$40</c:f>
              <c:strCache>
                <c:ptCount val="1"/>
                <c:pt idx="0">
                  <c:v>electric</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Sheet2!$D$41:$D$58</c:f>
              <c:numCache>
                <c:formatCode>General</c:formatCode>
                <c:ptCount val="17"/>
                <c:pt idx="16">
                  <c:v>2</c:v>
                </c:pt>
              </c:numCache>
            </c:numRef>
          </c:val>
          <c:extLst>
            <c:ext xmlns:c16="http://schemas.microsoft.com/office/drawing/2014/chart" uri="{C3380CC4-5D6E-409C-BE32-E72D297353CC}">
              <c16:uniqueId val="{00000011-CC98-48A6-AE3C-F62A55E6F7FD}"/>
            </c:ext>
          </c:extLst>
        </c:ser>
        <c:ser>
          <c:idx val="3"/>
          <c:order val="3"/>
          <c:tx>
            <c:strRef>
              <c:f>Sheet2!$E$39:$E$40</c:f>
              <c:strCache>
                <c:ptCount val="1"/>
                <c:pt idx="0">
                  <c:v>fairy</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Sheet2!$E$41:$E$58</c:f>
              <c:numCache>
                <c:formatCode>General</c:formatCode>
                <c:ptCount val="17"/>
                <c:pt idx="11">
                  <c:v>3</c:v>
                </c:pt>
                <c:pt idx="13">
                  <c:v>1</c:v>
                </c:pt>
                <c:pt idx="16">
                  <c:v>2</c:v>
                </c:pt>
              </c:numCache>
            </c:numRef>
          </c:val>
          <c:extLst>
            <c:ext xmlns:c16="http://schemas.microsoft.com/office/drawing/2014/chart" uri="{C3380CC4-5D6E-409C-BE32-E72D297353CC}">
              <c16:uniqueId val="{00000000-A713-47EE-9894-88352575CB47}"/>
            </c:ext>
          </c:extLst>
        </c:ser>
        <c:ser>
          <c:idx val="4"/>
          <c:order val="4"/>
          <c:tx>
            <c:strRef>
              <c:f>Sheet2!$F$39:$F$40</c:f>
              <c:strCache>
                <c:ptCount val="1"/>
                <c:pt idx="0">
                  <c:v>fighting</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Sheet2!$F$41:$F$58</c:f>
              <c:numCache>
                <c:formatCode>General</c:formatCode>
                <c:ptCount val="17"/>
                <c:pt idx="0">
                  <c:v>1</c:v>
                </c:pt>
                <c:pt idx="16">
                  <c:v>1</c:v>
                </c:pt>
              </c:numCache>
            </c:numRef>
          </c:val>
          <c:extLst>
            <c:ext xmlns:c16="http://schemas.microsoft.com/office/drawing/2014/chart" uri="{C3380CC4-5D6E-409C-BE32-E72D297353CC}">
              <c16:uniqueId val="{00000001-A713-47EE-9894-88352575CB47}"/>
            </c:ext>
          </c:extLst>
        </c:ser>
        <c:ser>
          <c:idx val="5"/>
          <c:order val="5"/>
          <c:tx>
            <c:strRef>
              <c:f>Sheet2!$G$39:$G$40</c:f>
              <c:strCache>
                <c:ptCount val="1"/>
                <c:pt idx="0">
                  <c:v>fire</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Sheet2!$G$41:$G$58</c:f>
              <c:numCache>
                <c:formatCode>General</c:formatCode>
                <c:ptCount val="17"/>
                <c:pt idx="1">
                  <c:v>2</c:v>
                </c:pt>
              </c:numCache>
            </c:numRef>
          </c:val>
          <c:extLst>
            <c:ext xmlns:c16="http://schemas.microsoft.com/office/drawing/2014/chart" uri="{C3380CC4-5D6E-409C-BE32-E72D297353CC}">
              <c16:uniqueId val="{00000002-A713-47EE-9894-88352575CB47}"/>
            </c:ext>
          </c:extLst>
        </c:ser>
        <c:ser>
          <c:idx val="6"/>
          <c:order val="6"/>
          <c:tx>
            <c:strRef>
              <c:f>Sheet2!$H$39:$H$40</c:f>
              <c:strCache>
                <c:ptCount val="1"/>
                <c:pt idx="0">
                  <c:v>flying</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Sheet2!$H$41:$H$58</c:f>
              <c:numCache>
                <c:formatCode>General</c:formatCode>
                <c:ptCount val="17"/>
                <c:pt idx="0">
                  <c:v>5</c:v>
                </c:pt>
                <c:pt idx="1">
                  <c:v>1</c:v>
                </c:pt>
                <c:pt idx="2">
                  <c:v>1</c:v>
                </c:pt>
                <c:pt idx="3">
                  <c:v>1</c:v>
                </c:pt>
                <c:pt idx="4">
                  <c:v>1</c:v>
                </c:pt>
                <c:pt idx="6">
                  <c:v>3</c:v>
                </c:pt>
                <c:pt idx="8">
                  <c:v>3</c:v>
                </c:pt>
                <c:pt idx="9">
                  <c:v>1</c:v>
                </c:pt>
                <c:pt idx="10">
                  <c:v>2</c:v>
                </c:pt>
                <c:pt idx="11">
                  <c:v>10</c:v>
                </c:pt>
                <c:pt idx="12">
                  <c:v>3</c:v>
                </c:pt>
                <c:pt idx="13">
                  <c:v>3</c:v>
                </c:pt>
                <c:pt idx="14">
                  <c:v>1</c:v>
                </c:pt>
                <c:pt idx="15">
                  <c:v>1</c:v>
                </c:pt>
                <c:pt idx="16">
                  <c:v>2</c:v>
                </c:pt>
              </c:numCache>
            </c:numRef>
          </c:val>
          <c:extLst>
            <c:ext xmlns:c16="http://schemas.microsoft.com/office/drawing/2014/chart" uri="{C3380CC4-5D6E-409C-BE32-E72D297353CC}">
              <c16:uniqueId val="{00000003-A713-47EE-9894-88352575CB47}"/>
            </c:ext>
          </c:extLst>
        </c:ser>
        <c:ser>
          <c:idx val="7"/>
          <c:order val="7"/>
          <c:tx>
            <c:strRef>
              <c:f>Sheet2!$I$39:$I$40</c:f>
              <c:strCache>
                <c:ptCount val="1"/>
                <c:pt idx="0">
                  <c:v>grass</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Sheet2!$I$41:$I$58</c:f>
              <c:numCache>
                <c:formatCode>General</c:formatCode>
                <c:ptCount val="17"/>
                <c:pt idx="0">
                  <c:v>2</c:v>
                </c:pt>
              </c:numCache>
            </c:numRef>
          </c:val>
          <c:extLst>
            <c:ext xmlns:c16="http://schemas.microsoft.com/office/drawing/2014/chart" uri="{C3380CC4-5D6E-409C-BE32-E72D297353CC}">
              <c16:uniqueId val="{00000004-A713-47EE-9894-88352575CB47}"/>
            </c:ext>
          </c:extLst>
        </c:ser>
        <c:ser>
          <c:idx val="8"/>
          <c:order val="8"/>
          <c:tx>
            <c:strRef>
              <c:f>Sheet2!$J$39:$J$40</c:f>
              <c:strCache>
                <c:ptCount val="1"/>
                <c:pt idx="0">
                  <c:v>ground</c:v>
                </c:pt>
              </c:strCache>
            </c:strRef>
          </c:tx>
          <c:spPr>
            <a:noFill/>
            <a:ln w="9525" cap="flat" cmpd="sng" algn="ctr">
              <a:solidFill>
                <a:schemeClr val="accent3">
                  <a:lumMod val="60000"/>
                </a:schemeClr>
              </a:solidFill>
              <a:miter lim="800000"/>
            </a:ln>
            <a:effectLst>
              <a:glow rad="63500">
                <a:schemeClr val="accent3">
                  <a:lumMod val="60000"/>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Sheet2!$J$41:$J$58</c:f>
              <c:numCache>
                <c:formatCode>General</c:formatCode>
                <c:ptCount val="17"/>
                <c:pt idx="10">
                  <c:v>2</c:v>
                </c:pt>
                <c:pt idx="12">
                  <c:v>2</c:v>
                </c:pt>
                <c:pt idx="14">
                  <c:v>6</c:v>
                </c:pt>
                <c:pt idx="15">
                  <c:v>1</c:v>
                </c:pt>
                <c:pt idx="16">
                  <c:v>2</c:v>
                </c:pt>
              </c:numCache>
            </c:numRef>
          </c:val>
          <c:extLst>
            <c:ext xmlns:c16="http://schemas.microsoft.com/office/drawing/2014/chart" uri="{C3380CC4-5D6E-409C-BE32-E72D297353CC}">
              <c16:uniqueId val="{00000005-A713-47EE-9894-88352575CB47}"/>
            </c:ext>
          </c:extLst>
        </c:ser>
        <c:ser>
          <c:idx val="9"/>
          <c:order val="9"/>
          <c:tx>
            <c:strRef>
              <c:f>Sheet2!$K$39:$K$40</c:f>
              <c:strCache>
                <c:ptCount val="1"/>
                <c:pt idx="0">
                  <c:v>ice</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Sheet2!$K$41:$K$58</c:f>
              <c:numCache>
                <c:formatCode>General</c:formatCode>
                <c:ptCount val="17"/>
                <c:pt idx="1">
                  <c:v>1</c:v>
                </c:pt>
                <c:pt idx="16">
                  <c:v>3</c:v>
                </c:pt>
              </c:numCache>
            </c:numRef>
          </c:val>
          <c:extLst>
            <c:ext xmlns:c16="http://schemas.microsoft.com/office/drawing/2014/chart" uri="{C3380CC4-5D6E-409C-BE32-E72D297353CC}">
              <c16:uniqueId val="{00000006-A713-47EE-9894-88352575CB47}"/>
            </c:ext>
          </c:extLst>
        </c:ser>
        <c:ser>
          <c:idx val="10"/>
          <c:order val="10"/>
          <c:tx>
            <c:strRef>
              <c:f>Sheet2!$L$39:$L$40</c:f>
              <c:strCache>
                <c:ptCount val="1"/>
                <c:pt idx="0">
                  <c:v>None</c:v>
                </c:pt>
              </c:strCache>
            </c:strRef>
          </c:tx>
          <c:spPr>
            <a:noFill/>
            <a:ln w="9525" cap="flat" cmpd="sng" algn="ctr">
              <a:solidFill>
                <a:schemeClr val="accent5">
                  <a:lumMod val="60000"/>
                </a:schemeClr>
              </a:solidFill>
              <a:miter lim="800000"/>
            </a:ln>
            <a:effectLst>
              <a:glow rad="63500">
                <a:schemeClr val="accent5">
                  <a:lumMod val="60000"/>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Sheet2!$L$41:$L$58</c:f>
              <c:numCache>
                <c:formatCode>General</c:formatCode>
                <c:ptCount val="17"/>
                <c:pt idx="0">
                  <c:v>4</c:v>
                </c:pt>
                <c:pt idx="1">
                  <c:v>1</c:v>
                </c:pt>
                <c:pt idx="2">
                  <c:v>2</c:v>
                </c:pt>
                <c:pt idx="3">
                  <c:v>12</c:v>
                </c:pt>
                <c:pt idx="4">
                  <c:v>6</c:v>
                </c:pt>
                <c:pt idx="5">
                  <c:v>9</c:v>
                </c:pt>
                <c:pt idx="6">
                  <c:v>16</c:v>
                </c:pt>
                <c:pt idx="7">
                  <c:v>1</c:v>
                </c:pt>
                <c:pt idx="8">
                  <c:v>7</c:v>
                </c:pt>
                <c:pt idx="9">
                  <c:v>8</c:v>
                </c:pt>
                <c:pt idx="11">
                  <c:v>23</c:v>
                </c:pt>
                <c:pt idx="12">
                  <c:v>10</c:v>
                </c:pt>
                <c:pt idx="13">
                  <c:v>10</c:v>
                </c:pt>
                <c:pt idx="14">
                  <c:v>1</c:v>
                </c:pt>
                <c:pt idx="16">
                  <c:v>25</c:v>
                </c:pt>
              </c:numCache>
            </c:numRef>
          </c:val>
          <c:extLst>
            <c:ext xmlns:c16="http://schemas.microsoft.com/office/drawing/2014/chart" uri="{C3380CC4-5D6E-409C-BE32-E72D297353CC}">
              <c16:uniqueId val="{00000007-A713-47EE-9894-88352575CB47}"/>
            </c:ext>
          </c:extLst>
        </c:ser>
        <c:ser>
          <c:idx val="11"/>
          <c:order val="11"/>
          <c:tx>
            <c:strRef>
              <c:f>Sheet2!$M$39:$M$40</c:f>
              <c:strCache>
                <c:ptCount val="1"/>
                <c:pt idx="0">
                  <c:v>poison</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Sheet2!$M$41:$M$58</c:f>
              <c:numCache>
                <c:formatCode>General</c:formatCode>
                <c:ptCount val="17"/>
                <c:pt idx="0">
                  <c:v>7</c:v>
                </c:pt>
                <c:pt idx="7">
                  <c:v>3</c:v>
                </c:pt>
                <c:pt idx="8">
                  <c:v>9</c:v>
                </c:pt>
                <c:pt idx="16">
                  <c:v>3</c:v>
                </c:pt>
              </c:numCache>
            </c:numRef>
          </c:val>
          <c:extLst>
            <c:ext xmlns:c16="http://schemas.microsoft.com/office/drawing/2014/chart" uri="{C3380CC4-5D6E-409C-BE32-E72D297353CC}">
              <c16:uniqueId val="{00000008-A713-47EE-9894-88352575CB47}"/>
            </c:ext>
          </c:extLst>
        </c:ser>
        <c:ser>
          <c:idx val="12"/>
          <c:order val="12"/>
          <c:tx>
            <c:strRef>
              <c:f>Sheet2!$N$39:$N$40</c:f>
              <c:strCache>
                <c:ptCount val="1"/>
                <c:pt idx="0">
                  <c:v>psychic</c:v>
                </c:pt>
              </c:strCache>
            </c:strRef>
          </c:tx>
          <c:spPr>
            <a:noFill/>
            <a:ln w="9525" cap="flat" cmpd="sng" algn="ctr">
              <a:solidFill>
                <a:schemeClr val="accent1">
                  <a:lumMod val="80000"/>
                  <a:lumOff val="20000"/>
                </a:schemeClr>
              </a:solidFill>
              <a:miter lim="800000"/>
            </a:ln>
            <a:effectLst>
              <a:glow rad="63500">
                <a:schemeClr val="accent1">
                  <a:lumMod val="80000"/>
                  <a:lumOff val="20000"/>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Sheet2!$N$41:$N$58</c:f>
              <c:numCache>
                <c:formatCode>General</c:formatCode>
                <c:ptCount val="17"/>
                <c:pt idx="8">
                  <c:v>2</c:v>
                </c:pt>
                <c:pt idx="10">
                  <c:v>2</c:v>
                </c:pt>
                <c:pt idx="11">
                  <c:v>1</c:v>
                </c:pt>
                <c:pt idx="16">
                  <c:v>4</c:v>
                </c:pt>
              </c:numCache>
            </c:numRef>
          </c:val>
          <c:extLst>
            <c:ext xmlns:c16="http://schemas.microsoft.com/office/drawing/2014/chart" uri="{C3380CC4-5D6E-409C-BE32-E72D297353CC}">
              <c16:uniqueId val="{00000009-A713-47EE-9894-88352575CB47}"/>
            </c:ext>
          </c:extLst>
        </c:ser>
        <c:ser>
          <c:idx val="13"/>
          <c:order val="13"/>
          <c:tx>
            <c:strRef>
              <c:f>Sheet2!$O$39:$O$40</c:f>
              <c:strCache>
                <c:ptCount val="1"/>
                <c:pt idx="0">
                  <c:v>rock</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Sheet2!$O$41:$O$58</c:f>
              <c:numCache>
                <c:formatCode>General</c:formatCode>
                <c:ptCount val="17"/>
                <c:pt idx="0">
                  <c:v>1</c:v>
                </c:pt>
                <c:pt idx="6">
                  <c:v>1</c:v>
                </c:pt>
                <c:pt idx="9">
                  <c:v>2</c:v>
                </c:pt>
                <c:pt idx="16">
                  <c:v>1</c:v>
                </c:pt>
              </c:numCache>
            </c:numRef>
          </c:val>
          <c:extLst>
            <c:ext xmlns:c16="http://schemas.microsoft.com/office/drawing/2014/chart" uri="{C3380CC4-5D6E-409C-BE32-E72D297353CC}">
              <c16:uniqueId val="{0000000A-A713-47EE-9894-88352575CB47}"/>
            </c:ext>
          </c:extLst>
        </c:ser>
        <c:ser>
          <c:idx val="14"/>
          <c:order val="14"/>
          <c:tx>
            <c:strRef>
              <c:f>Sheet2!$P$39:$P$40</c:f>
              <c:strCache>
                <c:ptCount val="1"/>
                <c:pt idx="0">
                  <c:v>steel</c:v>
                </c:pt>
              </c:strCache>
            </c:strRef>
          </c:tx>
          <c:spPr>
            <a:noFill/>
            <a:ln w="9525" cap="flat" cmpd="sng" algn="ctr">
              <a:solidFill>
                <a:schemeClr val="accent3">
                  <a:lumMod val="80000"/>
                  <a:lumOff val="20000"/>
                </a:schemeClr>
              </a:solidFill>
              <a:miter lim="800000"/>
            </a:ln>
            <a:effectLst>
              <a:glow rad="63500">
                <a:schemeClr val="accent3">
                  <a:lumMod val="80000"/>
                  <a:lumOff val="20000"/>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Sheet2!$P$41:$P$58</c:f>
              <c:numCache>
                <c:formatCode>General</c:formatCode>
                <c:ptCount val="17"/>
                <c:pt idx="0">
                  <c:v>2</c:v>
                </c:pt>
                <c:pt idx="3">
                  <c:v>2</c:v>
                </c:pt>
              </c:numCache>
            </c:numRef>
          </c:val>
          <c:extLst>
            <c:ext xmlns:c16="http://schemas.microsoft.com/office/drawing/2014/chart" uri="{C3380CC4-5D6E-409C-BE32-E72D297353CC}">
              <c16:uniqueId val="{0000000B-A713-47EE-9894-88352575CB47}"/>
            </c:ext>
          </c:extLst>
        </c:ser>
        <c:ser>
          <c:idx val="15"/>
          <c:order val="15"/>
          <c:tx>
            <c:strRef>
              <c:f>Sheet2!$Q$39:$Q$40</c:f>
              <c:strCache>
                <c:ptCount val="1"/>
                <c:pt idx="0">
                  <c:v>water</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Sheet2!$A$41:$A$58</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Sheet2!$Q$41:$Q$58</c:f>
              <c:numCache>
                <c:formatCode>General</c:formatCode>
                <c:ptCount val="17"/>
                <c:pt idx="14">
                  <c:v>4</c:v>
                </c:pt>
              </c:numCache>
            </c:numRef>
          </c:val>
          <c:extLst>
            <c:ext xmlns:c16="http://schemas.microsoft.com/office/drawing/2014/chart" uri="{C3380CC4-5D6E-409C-BE32-E72D297353CC}">
              <c16:uniqueId val="{0000000C-A713-47EE-9894-88352575CB47}"/>
            </c:ext>
          </c:extLst>
        </c:ser>
        <c:dLbls>
          <c:showLegendKey val="0"/>
          <c:showVal val="0"/>
          <c:showCatName val="0"/>
          <c:showSerName val="0"/>
          <c:showPercent val="0"/>
          <c:showBubbleSize val="0"/>
        </c:dLbls>
        <c:gapWidth val="315"/>
        <c:overlap val="-40"/>
        <c:axId val="327809248"/>
        <c:axId val="327809728"/>
      </c:barChart>
      <c:catAx>
        <c:axId val="3278092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Pokemon Types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7809728"/>
        <c:crosses val="autoZero"/>
        <c:auto val="1"/>
        <c:lblAlgn val="ctr"/>
        <c:lblOffset val="100"/>
        <c:noMultiLvlLbl val="0"/>
      </c:catAx>
      <c:valAx>
        <c:axId val="3278097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#of Pokemon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780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[pokemon_stats_2025.xlsx]Sheet2!PivotTable4</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Experience Tiers</a:t>
            </a:r>
          </a:p>
        </c:rich>
      </c:tx>
      <c:layout>
        <c:manualLayout>
          <c:xMode val="edge"/>
          <c:yMode val="edge"/>
          <c:x val="0.50035813280349295"/>
          <c:y val="9.755747744646672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Mod val="60000"/>
                <a:lumOff val="40000"/>
              </a:schemeClr>
            </a:solidFill>
            <a:ln>
              <a:noFill/>
            </a:ln>
            <a:effectLst>
              <a:glow rad="63500">
                <a:schemeClr val="accent2">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Sheet2!$B$61</c:f>
              <c:strCache>
                <c:ptCount val="1"/>
                <c:pt idx="0">
                  <c:v>Count of name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Sheet2!$A$62:$A$66</c:f>
              <c:strCache>
                <c:ptCount val="4"/>
                <c:pt idx="0">
                  <c:v>HIGH</c:v>
                </c:pt>
                <c:pt idx="1">
                  <c:v>Legendary</c:v>
                </c:pt>
                <c:pt idx="2">
                  <c:v>Low</c:v>
                </c:pt>
                <c:pt idx="3">
                  <c:v>Medium</c:v>
                </c:pt>
              </c:strCache>
            </c:strRef>
          </c:cat>
          <c:val>
            <c:numRef>
              <c:f>Sheet2!$B$62:$B$66</c:f>
              <c:numCache>
                <c:formatCode>0</c:formatCode>
                <c:ptCount val="4"/>
                <c:pt idx="0">
                  <c:v>24</c:v>
                </c:pt>
                <c:pt idx="1">
                  <c:v>14</c:v>
                </c:pt>
                <c:pt idx="2">
                  <c:v>97</c:v>
                </c:pt>
                <c:pt idx="3">
                  <c:v>115</c:v>
                </c:pt>
              </c:numCache>
            </c:numRef>
          </c:val>
          <c:extLst>
            <c:ext xmlns:c16="http://schemas.microsoft.com/office/drawing/2014/chart" uri="{C3380CC4-5D6E-409C-BE32-E72D297353CC}">
              <c16:uniqueId val="{00000000-DCBE-43FF-817C-647FED3E70E0}"/>
            </c:ext>
          </c:extLst>
        </c:ser>
        <c:ser>
          <c:idx val="1"/>
          <c:order val="1"/>
          <c:tx>
            <c:strRef>
              <c:f>Sheet2!$C$61</c:f>
              <c:strCache>
                <c:ptCount val="1"/>
                <c:pt idx="0">
                  <c:v>Average of hp</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Sheet2!$A$62:$A$66</c:f>
              <c:strCache>
                <c:ptCount val="4"/>
                <c:pt idx="0">
                  <c:v>HIGH</c:v>
                </c:pt>
                <c:pt idx="1">
                  <c:v>Legendary</c:v>
                </c:pt>
                <c:pt idx="2">
                  <c:v>Low</c:v>
                </c:pt>
                <c:pt idx="3">
                  <c:v>Medium</c:v>
                </c:pt>
              </c:strCache>
            </c:strRef>
          </c:cat>
          <c:val>
            <c:numRef>
              <c:f>Sheet2!$C$62:$C$66</c:f>
              <c:numCache>
                <c:formatCode>0</c:formatCode>
                <c:ptCount val="4"/>
                <c:pt idx="0">
                  <c:v>79.541666666666671</c:v>
                </c:pt>
                <c:pt idx="1">
                  <c:v>120.64285714285714</c:v>
                </c:pt>
                <c:pt idx="2">
                  <c:v>48.422680412371136</c:v>
                </c:pt>
                <c:pt idx="3">
                  <c:v>73.03478260869565</c:v>
                </c:pt>
              </c:numCache>
            </c:numRef>
          </c:val>
          <c:extLst>
            <c:ext xmlns:c16="http://schemas.microsoft.com/office/drawing/2014/chart" uri="{C3380CC4-5D6E-409C-BE32-E72D297353CC}">
              <c16:uniqueId val="{00000001-DCBE-43FF-817C-647FED3E70E0}"/>
            </c:ext>
          </c:extLst>
        </c:ser>
        <c:ser>
          <c:idx val="2"/>
          <c:order val="2"/>
          <c:tx>
            <c:strRef>
              <c:f>Sheet2!$D$61</c:f>
              <c:strCache>
                <c:ptCount val="1"/>
                <c:pt idx="0">
                  <c:v>Average of attack</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Sheet2!$A$62:$A$66</c:f>
              <c:strCache>
                <c:ptCount val="4"/>
                <c:pt idx="0">
                  <c:v>HIGH</c:v>
                </c:pt>
                <c:pt idx="1">
                  <c:v>Legendary</c:v>
                </c:pt>
                <c:pt idx="2">
                  <c:v>Low</c:v>
                </c:pt>
                <c:pt idx="3">
                  <c:v>Medium</c:v>
                </c:pt>
              </c:strCache>
            </c:strRef>
          </c:cat>
          <c:val>
            <c:numRef>
              <c:f>Sheet2!$D$62:$D$66</c:f>
              <c:numCache>
                <c:formatCode>0</c:formatCode>
                <c:ptCount val="4"/>
                <c:pt idx="0">
                  <c:v>86.208333333333329</c:v>
                </c:pt>
                <c:pt idx="1">
                  <c:v>90.214285714285708</c:v>
                </c:pt>
                <c:pt idx="2">
                  <c:v>53.329896907216494</c:v>
                </c:pt>
                <c:pt idx="3">
                  <c:v>80.269565217391303</c:v>
                </c:pt>
              </c:numCache>
            </c:numRef>
          </c:val>
          <c:extLst>
            <c:ext xmlns:c16="http://schemas.microsoft.com/office/drawing/2014/chart" uri="{C3380CC4-5D6E-409C-BE32-E72D297353CC}">
              <c16:uniqueId val="{00000002-DCBE-43FF-817C-647FED3E70E0}"/>
            </c:ext>
          </c:extLst>
        </c:ser>
        <c:ser>
          <c:idx val="3"/>
          <c:order val="3"/>
          <c:tx>
            <c:strRef>
              <c:f>Sheet2!$E$61</c:f>
              <c:strCache>
                <c:ptCount val="1"/>
                <c:pt idx="0">
                  <c:v>Average of defense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Sheet2!$A$62:$A$66</c:f>
              <c:strCache>
                <c:ptCount val="4"/>
                <c:pt idx="0">
                  <c:v>HIGH</c:v>
                </c:pt>
                <c:pt idx="1">
                  <c:v>Legendary</c:v>
                </c:pt>
                <c:pt idx="2">
                  <c:v>Low</c:v>
                </c:pt>
                <c:pt idx="3">
                  <c:v>Medium</c:v>
                </c:pt>
              </c:strCache>
            </c:strRef>
          </c:cat>
          <c:val>
            <c:numRef>
              <c:f>Sheet2!$E$62:$E$66</c:f>
              <c:numCache>
                <c:formatCode>0</c:formatCode>
                <c:ptCount val="4"/>
                <c:pt idx="0">
                  <c:v>81.916666666666671</c:v>
                </c:pt>
                <c:pt idx="1">
                  <c:v>84.285714285714292</c:v>
                </c:pt>
                <c:pt idx="2">
                  <c:v>52.618556701030926</c:v>
                </c:pt>
                <c:pt idx="3">
                  <c:v>77.573913043478257</c:v>
                </c:pt>
              </c:numCache>
            </c:numRef>
          </c:val>
          <c:extLst>
            <c:ext xmlns:c16="http://schemas.microsoft.com/office/drawing/2014/chart" uri="{C3380CC4-5D6E-409C-BE32-E72D297353CC}">
              <c16:uniqueId val="{00000003-DCBE-43FF-817C-647FED3E70E0}"/>
            </c:ext>
          </c:extLst>
        </c:ser>
        <c:ser>
          <c:idx val="4"/>
          <c:order val="4"/>
          <c:tx>
            <c:strRef>
              <c:f>Sheet2!$F$61</c:f>
              <c:strCache>
                <c:ptCount val="1"/>
                <c:pt idx="0">
                  <c:v>Average of special_attack</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Sheet2!$A$62:$A$66</c:f>
              <c:strCache>
                <c:ptCount val="4"/>
                <c:pt idx="0">
                  <c:v>HIGH</c:v>
                </c:pt>
                <c:pt idx="1">
                  <c:v>Legendary</c:v>
                </c:pt>
                <c:pt idx="2">
                  <c:v>Low</c:v>
                </c:pt>
                <c:pt idx="3">
                  <c:v>Medium</c:v>
                </c:pt>
              </c:strCache>
            </c:strRef>
          </c:cat>
          <c:val>
            <c:numRef>
              <c:f>Sheet2!$F$62:$F$66</c:f>
              <c:numCache>
                <c:formatCode>0</c:formatCode>
                <c:ptCount val="4"/>
                <c:pt idx="0">
                  <c:v>90</c:v>
                </c:pt>
                <c:pt idx="1">
                  <c:v>99.928571428571431</c:v>
                </c:pt>
                <c:pt idx="2">
                  <c:v>48.907216494845358</c:v>
                </c:pt>
                <c:pt idx="3">
                  <c:v>71.173913043478265</c:v>
                </c:pt>
              </c:numCache>
            </c:numRef>
          </c:val>
          <c:extLst>
            <c:ext xmlns:c16="http://schemas.microsoft.com/office/drawing/2014/chart" uri="{C3380CC4-5D6E-409C-BE32-E72D297353CC}">
              <c16:uniqueId val="{00000004-DCBE-43FF-817C-647FED3E70E0}"/>
            </c:ext>
          </c:extLst>
        </c:ser>
        <c:ser>
          <c:idx val="5"/>
          <c:order val="5"/>
          <c:tx>
            <c:strRef>
              <c:f>Sheet2!$G$61</c:f>
              <c:strCache>
                <c:ptCount val="1"/>
                <c:pt idx="0">
                  <c:v>Average of special_defense</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Sheet2!$A$62:$A$66</c:f>
              <c:strCache>
                <c:ptCount val="4"/>
                <c:pt idx="0">
                  <c:v>HIGH</c:v>
                </c:pt>
                <c:pt idx="1">
                  <c:v>Legendary</c:v>
                </c:pt>
                <c:pt idx="2">
                  <c:v>Low</c:v>
                </c:pt>
                <c:pt idx="3">
                  <c:v>Medium</c:v>
                </c:pt>
              </c:strCache>
            </c:strRef>
          </c:cat>
          <c:val>
            <c:numRef>
              <c:f>Sheet2!$G$62:$G$66</c:f>
              <c:numCache>
                <c:formatCode>0</c:formatCode>
                <c:ptCount val="4"/>
                <c:pt idx="0">
                  <c:v>87</c:v>
                </c:pt>
                <c:pt idx="1">
                  <c:v>109.14285714285714</c:v>
                </c:pt>
                <c:pt idx="2">
                  <c:v>47.27835051546392</c:v>
                </c:pt>
                <c:pt idx="3">
                  <c:v>77.486956521739131</c:v>
                </c:pt>
              </c:numCache>
            </c:numRef>
          </c:val>
          <c:extLst>
            <c:ext xmlns:c16="http://schemas.microsoft.com/office/drawing/2014/chart" uri="{C3380CC4-5D6E-409C-BE32-E72D297353CC}">
              <c16:uniqueId val="{00000005-DCBE-43FF-817C-647FED3E70E0}"/>
            </c:ext>
          </c:extLst>
        </c:ser>
        <c:ser>
          <c:idx val="6"/>
          <c:order val="6"/>
          <c:tx>
            <c:strRef>
              <c:f>Sheet2!$H$61</c:f>
              <c:strCache>
                <c:ptCount val="1"/>
                <c:pt idx="0">
                  <c:v>Average of speed</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Sheet2!$A$62:$A$66</c:f>
              <c:strCache>
                <c:ptCount val="4"/>
                <c:pt idx="0">
                  <c:v>HIGH</c:v>
                </c:pt>
                <c:pt idx="1">
                  <c:v>Legendary</c:v>
                </c:pt>
                <c:pt idx="2">
                  <c:v>Low</c:v>
                </c:pt>
                <c:pt idx="3">
                  <c:v>Medium</c:v>
                </c:pt>
              </c:strCache>
            </c:strRef>
          </c:cat>
          <c:val>
            <c:numRef>
              <c:f>Sheet2!$H$62:$H$66</c:f>
              <c:numCache>
                <c:formatCode>0</c:formatCode>
                <c:ptCount val="4"/>
                <c:pt idx="0">
                  <c:v>82</c:v>
                </c:pt>
                <c:pt idx="1">
                  <c:v>89.357142857142861</c:v>
                </c:pt>
                <c:pt idx="2">
                  <c:v>53.216494845360828</c:v>
                </c:pt>
                <c:pt idx="3">
                  <c:v>70.339130434782604</c:v>
                </c:pt>
              </c:numCache>
            </c:numRef>
          </c:val>
          <c:extLst>
            <c:ext xmlns:c16="http://schemas.microsoft.com/office/drawing/2014/chart" uri="{C3380CC4-5D6E-409C-BE32-E72D297353CC}">
              <c16:uniqueId val="{00000006-DCBE-43FF-817C-647FED3E70E0}"/>
            </c:ext>
          </c:extLst>
        </c:ser>
        <c:ser>
          <c:idx val="7"/>
          <c:order val="7"/>
          <c:tx>
            <c:strRef>
              <c:f>Sheet2!$I$61</c:f>
              <c:strCache>
                <c:ptCount val="1"/>
                <c:pt idx="0">
                  <c:v>Average of Total Stats</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Sheet2!$A$62:$A$66</c:f>
              <c:strCache>
                <c:ptCount val="4"/>
                <c:pt idx="0">
                  <c:v>HIGH</c:v>
                </c:pt>
                <c:pt idx="1">
                  <c:v>Legendary</c:v>
                </c:pt>
                <c:pt idx="2">
                  <c:v>Low</c:v>
                </c:pt>
                <c:pt idx="3">
                  <c:v>Medium</c:v>
                </c:pt>
              </c:strCache>
            </c:strRef>
          </c:cat>
          <c:val>
            <c:numRef>
              <c:f>Sheet2!$I$62:$I$66</c:f>
              <c:numCache>
                <c:formatCode>0</c:formatCode>
                <c:ptCount val="4"/>
                <c:pt idx="0">
                  <c:v>506.66666666666669</c:v>
                </c:pt>
                <c:pt idx="1">
                  <c:v>593.57142857142856</c:v>
                </c:pt>
                <c:pt idx="2">
                  <c:v>303.77319587628864</c:v>
                </c:pt>
                <c:pt idx="3">
                  <c:v>449.87826086956522</c:v>
                </c:pt>
              </c:numCache>
            </c:numRef>
          </c:val>
          <c:extLst>
            <c:ext xmlns:c16="http://schemas.microsoft.com/office/drawing/2014/chart" uri="{C3380CC4-5D6E-409C-BE32-E72D297353CC}">
              <c16:uniqueId val="{00000007-DCBE-43FF-817C-647FED3E70E0}"/>
            </c:ext>
          </c:extLst>
        </c:ser>
        <c:dLbls>
          <c:showLegendKey val="0"/>
          <c:showVal val="0"/>
          <c:showCatName val="0"/>
          <c:showSerName val="0"/>
          <c:showPercent val="0"/>
          <c:showBubbleSize val="0"/>
        </c:dLbls>
        <c:gapWidth val="315"/>
        <c:overlap val="-40"/>
        <c:axId val="2101852608"/>
        <c:axId val="2101854528"/>
      </c:barChart>
      <c:catAx>
        <c:axId val="2101852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1854528"/>
        <c:crosses val="autoZero"/>
        <c:auto val="1"/>
        <c:lblAlgn val="ctr"/>
        <c:lblOffset val="100"/>
        <c:noMultiLvlLbl val="0"/>
      </c:catAx>
      <c:valAx>
        <c:axId val="21018545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185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[pokemon_stats_2025.xlsx]Sheet2!PivotTable7</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Strongest Pokemon By Type</a:t>
            </a:r>
          </a:p>
        </c:rich>
      </c:tx>
      <c:layout>
        <c:manualLayout>
          <c:xMode val="edge"/>
          <c:yMode val="edge"/>
          <c:x val="0.33961612120137047"/>
          <c:y val="0.12295858850976961"/>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Sheet2!$A$4:$A$16</c:f>
              <c:strCache>
                <c:ptCount val="12"/>
                <c:pt idx="0">
                  <c:v>Articuno</c:v>
                </c:pt>
                <c:pt idx="1">
                  <c:v>Dragonite</c:v>
                </c:pt>
                <c:pt idx="2">
                  <c:v>Entei</c:v>
                </c:pt>
                <c:pt idx="3">
                  <c:v>Ho-oh</c:v>
                </c:pt>
                <c:pt idx="4">
                  <c:v>Lugia</c:v>
                </c:pt>
                <c:pt idx="5">
                  <c:v>Mew</c:v>
                </c:pt>
                <c:pt idx="6">
                  <c:v>Mewtwo</c:v>
                </c:pt>
                <c:pt idx="7">
                  <c:v>Moltres</c:v>
                </c:pt>
                <c:pt idx="8">
                  <c:v>Raikou</c:v>
                </c:pt>
                <c:pt idx="9">
                  <c:v>Suicune</c:v>
                </c:pt>
                <c:pt idx="10">
                  <c:v>Tyranitar</c:v>
                </c:pt>
                <c:pt idx="11">
                  <c:v>Zapdos</c:v>
                </c:pt>
              </c:strCache>
            </c:strRef>
          </c:cat>
          <c:val>
            <c:numRef>
              <c:f>Sheet2!$B$4:$B$16</c:f>
              <c:numCache>
                <c:formatCode>General</c:formatCode>
                <c:ptCount val="12"/>
                <c:pt idx="0">
                  <c:v>580</c:v>
                </c:pt>
                <c:pt idx="1">
                  <c:v>600</c:v>
                </c:pt>
                <c:pt idx="2">
                  <c:v>580</c:v>
                </c:pt>
                <c:pt idx="3">
                  <c:v>680</c:v>
                </c:pt>
                <c:pt idx="4">
                  <c:v>680</c:v>
                </c:pt>
                <c:pt idx="5">
                  <c:v>600</c:v>
                </c:pt>
                <c:pt idx="6">
                  <c:v>680</c:v>
                </c:pt>
                <c:pt idx="7">
                  <c:v>580</c:v>
                </c:pt>
                <c:pt idx="8">
                  <c:v>580</c:v>
                </c:pt>
                <c:pt idx="9">
                  <c:v>580</c:v>
                </c:pt>
                <c:pt idx="10">
                  <c:v>600</c:v>
                </c:pt>
                <c:pt idx="11">
                  <c:v>580</c:v>
                </c:pt>
              </c:numCache>
            </c:numRef>
          </c:val>
          <c:extLst>
            <c:ext xmlns:c16="http://schemas.microsoft.com/office/drawing/2014/chart" uri="{C3380CC4-5D6E-409C-BE32-E72D297353CC}">
              <c16:uniqueId val="{00000000-DC3A-4DFB-87EA-09A016123E0B}"/>
            </c:ext>
          </c:extLst>
        </c:ser>
        <c:dLbls>
          <c:dLblPos val="outEnd"/>
          <c:showLegendKey val="0"/>
          <c:showVal val="1"/>
          <c:showCatName val="0"/>
          <c:showSerName val="0"/>
          <c:showPercent val="0"/>
          <c:showBubbleSize val="0"/>
        </c:dLbls>
        <c:gapWidth val="182"/>
        <c:overlap val="-50"/>
        <c:axId val="39309424"/>
        <c:axId val="39309904"/>
      </c:barChart>
      <c:catAx>
        <c:axId val="3930942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309904"/>
        <c:crosses val="autoZero"/>
        <c:auto val="1"/>
        <c:lblAlgn val="ctr"/>
        <c:lblOffset val="100"/>
        <c:noMultiLvlLbl val="0"/>
      </c:catAx>
      <c:valAx>
        <c:axId val="393099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30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[pokemon_stats_2025.xlsx]Pivot Analysis!PivotTable4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Pokemon Count By Type</a:t>
            </a:r>
          </a:p>
        </c:rich>
      </c:tx>
      <c:layout>
        <c:manualLayout>
          <c:xMode val="edge"/>
          <c:yMode val="edge"/>
          <c:x val="0.57086789151356077"/>
          <c:y val="4.99052201808107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dLbl>
          <c:idx val="0"/>
          <c:layout>
            <c:manualLayout>
              <c:x val="2.3529411764705882E-2"/>
              <c:y val="-2.50783699059561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5.4901960784313725E-2"/>
              <c:y val="-1.25391849529780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5317147856518"/>
          <c:y val="0.24476633129192185"/>
          <c:w val="0.41147353455818025"/>
          <c:h val="0.68578922426363376"/>
        </c:manualLayout>
      </c:layout>
      <c:pieChart>
        <c:varyColors val="1"/>
        <c:ser>
          <c:idx val="0"/>
          <c:order val="0"/>
          <c:tx>
            <c:strRef>
              <c:f>'Pivot Analysis'!$B$29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A0-433E-9D57-0000DBFD34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A0-433E-9D57-0000DBFD34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A0-433E-9D57-0000DBFD34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A0-433E-9D57-0000DBFD34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A0-433E-9D57-0000DBFD34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BA0-433E-9D57-0000DBFD345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BA0-433E-9D57-0000DBFD345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BA0-433E-9D57-0000DBFD345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BA0-433E-9D57-0000DBFD345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BA0-433E-9D57-0000DBFD345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BA0-433E-9D57-0000DBFD345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BA0-433E-9D57-0000DBFD345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BA0-433E-9D57-0000DBFD345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BA0-433E-9D57-0000DBFD345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BA0-433E-9D57-0000DBFD345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BA0-433E-9D57-0000DBFD345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BA0-433E-9D57-0000DBFD3456}"/>
              </c:ext>
            </c:extLst>
          </c:dPt>
          <c:dLbls>
            <c:dLbl>
              <c:idx val="15"/>
              <c:layout>
                <c:manualLayout>
                  <c:x val="2.3529411764705882E-2"/>
                  <c:y val="-2.507836990595613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6BA0-433E-9D57-0000DBFD3456}"/>
                </c:ext>
              </c:extLst>
            </c:dLbl>
            <c:dLbl>
              <c:idx val="16"/>
              <c:layout>
                <c:manualLayout>
                  <c:x val="5.4901960784313725E-2"/>
                  <c:y val="-1.253918495297805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6BA0-433E-9D57-0000DBFD34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Analysis'!$A$30:$A$47</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Analysis'!$B$30:$B$47</c:f>
              <c:numCache>
                <c:formatCode>0.0</c:formatCode>
                <c:ptCount val="17"/>
                <c:pt idx="0">
                  <c:v>46</c:v>
                </c:pt>
                <c:pt idx="1">
                  <c:v>37</c:v>
                </c:pt>
                <c:pt idx="2">
                  <c:v>22</c:v>
                </c:pt>
                <c:pt idx="3">
                  <c:v>21</c:v>
                </c:pt>
                <c:pt idx="4">
                  <c:v>20</c:v>
                </c:pt>
                <c:pt idx="5">
                  <c:v>15</c:v>
                </c:pt>
                <c:pt idx="6">
                  <c:v>15</c:v>
                </c:pt>
                <c:pt idx="7">
                  <c:v>14</c:v>
                </c:pt>
                <c:pt idx="8">
                  <c:v>13</c:v>
                </c:pt>
                <c:pt idx="9">
                  <c:v>11</c:v>
                </c:pt>
                <c:pt idx="10">
                  <c:v>9</c:v>
                </c:pt>
                <c:pt idx="11">
                  <c:v>7</c:v>
                </c:pt>
                <c:pt idx="12">
                  <c:v>6</c:v>
                </c:pt>
                <c:pt idx="13">
                  <c:v>5</c:v>
                </c:pt>
                <c:pt idx="14">
                  <c:v>4</c:v>
                </c:pt>
                <c:pt idx="15">
                  <c:v>3</c:v>
                </c:pt>
                <c:pt idx="16">
                  <c:v>2</c:v>
                </c:pt>
              </c:numCache>
            </c:numRef>
          </c:val>
          <c:extLst>
            <c:ext xmlns:c16="http://schemas.microsoft.com/office/drawing/2014/chart" uri="{C3380CC4-5D6E-409C-BE32-E72D297353CC}">
              <c16:uniqueId val="{00000022-6BA0-433E-9D57-0000DBFD345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[pokemon_stats_2025.xlsx]Pivot 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Duel</a:t>
            </a:r>
            <a:r>
              <a:rPr lang="en-US" b="1" baseline="0"/>
              <a:t> Type Analysis</a:t>
            </a:r>
            <a:endParaRPr lang="en-US" b="1"/>
          </a:p>
        </c:rich>
      </c:tx>
      <c:layout>
        <c:manualLayout>
          <c:xMode val="edge"/>
          <c:yMode val="edge"/>
          <c:x val="0.3460207786526683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53937007874015"/>
          <c:y val="0.26328484981044037"/>
          <c:w val="0.6917751531058618"/>
          <c:h val="0.46052055993000873"/>
        </c:manualLayout>
      </c:layout>
      <c:barChart>
        <c:barDir val="col"/>
        <c:grouping val="clustered"/>
        <c:varyColors val="0"/>
        <c:ser>
          <c:idx val="0"/>
          <c:order val="0"/>
          <c:tx>
            <c:strRef>
              <c:f>'Pivot Analysis'!$E$29:$E$30</c:f>
              <c:strCache>
                <c:ptCount val="1"/>
                <c:pt idx="0">
                  <c:v>dark</c:v>
                </c:pt>
              </c:strCache>
            </c:strRef>
          </c:tx>
          <c:spPr>
            <a:solidFill>
              <a:schemeClr val="accent1"/>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Analysis'!$E$31:$E$48</c:f>
              <c:numCache>
                <c:formatCode>0.0</c:formatCode>
                <c:ptCount val="17"/>
                <c:pt idx="8">
                  <c:v>1</c:v>
                </c:pt>
              </c:numCache>
            </c:numRef>
          </c:val>
          <c:extLst>
            <c:ext xmlns:c16="http://schemas.microsoft.com/office/drawing/2014/chart" uri="{C3380CC4-5D6E-409C-BE32-E72D297353CC}">
              <c16:uniqueId val="{00000000-E763-407B-AA71-EFF211850724}"/>
            </c:ext>
          </c:extLst>
        </c:ser>
        <c:ser>
          <c:idx val="1"/>
          <c:order val="1"/>
          <c:tx>
            <c:strRef>
              <c:f>'Pivot Analysis'!$F$29:$F$30</c:f>
              <c:strCache>
                <c:ptCount val="1"/>
                <c:pt idx="0">
                  <c:v>dragon</c:v>
                </c:pt>
              </c:strCache>
            </c:strRef>
          </c:tx>
          <c:spPr>
            <a:solidFill>
              <a:schemeClr val="accent2"/>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Analysis'!$F$31:$F$48</c:f>
              <c:numCache>
                <c:formatCode>0.0</c:formatCode>
                <c:ptCount val="17"/>
                <c:pt idx="0">
                  <c:v>1</c:v>
                </c:pt>
              </c:numCache>
            </c:numRef>
          </c:val>
          <c:extLst>
            <c:ext xmlns:c16="http://schemas.microsoft.com/office/drawing/2014/chart" uri="{C3380CC4-5D6E-409C-BE32-E72D297353CC}">
              <c16:uniqueId val="{0000002C-5232-4CF4-9383-F9820E4525EB}"/>
            </c:ext>
          </c:extLst>
        </c:ser>
        <c:ser>
          <c:idx val="2"/>
          <c:order val="2"/>
          <c:tx>
            <c:strRef>
              <c:f>'Pivot Analysis'!$G$29:$G$30</c:f>
              <c:strCache>
                <c:ptCount val="1"/>
                <c:pt idx="0">
                  <c:v>electric</c:v>
                </c:pt>
              </c:strCache>
            </c:strRef>
          </c:tx>
          <c:spPr>
            <a:solidFill>
              <a:schemeClr val="accent3"/>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Analysis'!$G$31:$G$48</c:f>
              <c:numCache>
                <c:formatCode>0.0</c:formatCode>
                <c:ptCount val="17"/>
                <c:pt idx="0">
                  <c:v>2</c:v>
                </c:pt>
              </c:numCache>
            </c:numRef>
          </c:val>
          <c:extLst>
            <c:ext xmlns:c16="http://schemas.microsoft.com/office/drawing/2014/chart" uri="{C3380CC4-5D6E-409C-BE32-E72D297353CC}">
              <c16:uniqueId val="{0000002D-5232-4CF4-9383-F9820E4525EB}"/>
            </c:ext>
          </c:extLst>
        </c:ser>
        <c:ser>
          <c:idx val="3"/>
          <c:order val="3"/>
          <c:tx>
            <c:strRef>
              <c:f>'Pivot Analysis'!$H$29:$H$30</c:f>
              <c:strCache>
                <c:ptCount val="1"/>
                <c:pt idx="0">
                  <c:v>fairy</c:v>
                </c:pt>
              </c:strCache>
            </c:strRef>
          </c:tx>
          <c:spPr>
            <a:solidFill>
              <a:schemeClr val="accent4"/>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Analysis'!$H$31:$H$48</c:f>
              <c:numCache>
                <c:formatCode>0.0</c:formatCode>
                <c:ptCount val="17"/>
                <c:pt idx="0">
                  <c:v>2</c:v>
                </c:pt>
                <c:pt idx="1">
                  <c:v>3</c:v>
                </c:pt>
                <c:pt idx="7">
                  <c:v>1</c:v>
                </c:pt>
              </c:numCache>
            </c:numRef>
          </c:val>
          <c:extLst>
            <c:ext xmlns:c16="http://schemas.microsoft.com/office/drawing/2014/chart" uri="{C3380CC4-5D6E-409C-BE32-E72D297353CC}">
              <c16:uniqueId val="{0000002E-5232-4CF4-9383-F9820E4525EB}"/>
            </c:ext>
          </c:extLst>
        </c:ser>
        <c:ser>
          <c:idx val="4"/>
          <c:order val="4"/>
          <c:tx>
            <c:strRef>
              <c:f>'Pivot Analysis'!$I$29:$I$30</c:f>
              <c:strCache>
                <c:ptCount val="1"/>
                <c:pt idx="0">
                  <c:v>fighting</c:v>
                </c:pt>
              </c:strCache>
            </c:strRef>
          </c:tx>
          <c:spPr>
            <a:solidFill>
              <a:schemeClr val="accent5"/>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Analysis'!$I$31:$I$48</c:f>
              <c:numCache>
                <c:formatCode>0.0</c:formatCode>
                <c:ptCount val="17"/>
                <c:pt idx="0">
                  <c:v>1</c:v>
                </c:pt>
                <c:pt idx="2">
                  <c:v>1</c:v>
                </c:pt>
              </c:numCache>
            </c:numRef>
          </c:val>
          <c:extLst>
            <c:ext xmlns:c16="http://schemas.microsoft.com/office/drawing/2014/chart" uri="{C3380CC4-5D6E-409C-BE32-E72D297353CC}">
              <c16:uniqueId val="{0000002F-5232-4CF4-9383-F9820E4525EB}"/>
            </c:ext>
          </c:extLst>
        </c:ser>
        <c:ser>
          <c:idx val="5"/>
          <c:order val="5"/>
          <c:tx>
            <c:strRef>
              <c:f>'Pivot Analysis'!$J$29:$J$30</c:f>
              <c:strCache>
                <c:ptCount val="1"/>
                <c:pt idx="0">
                  <c:v>fire</c:v>
                </c:pt>
              </c:strCache>
            </c:strRef>
          </c:tx>
          <c:spPr>
            <a:solidFill>
              <a:schemeClr val="accent6"/>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Analysis'!$J$31:$J$48</c:f>
              <c:numCache>
                <c:formatCode>0.0</c:formatCode>
                <c:ptCount val="17"/>
                <c:pt idx="13">
                  <c:v>2</c:v>
                </c:pt>
              </c:numCache>
            </c:numRef>
          </c:val>
          <c:extLst>
            <c:ext xmlns:c16="http://schemas.microsoft.com/office/drawing/2014/chart" uri="{C3380CC4-5D6E-409C-BE32-E72D297353CC}">
              <c16:uniqueId val="{00000030-5232-4CF4-9383-F9820E4525EB}"/>
            </c:ext>
          </c:extLst>
        </c:ser>
        <c:ser>
          <c:idx val="6"/>
          <c:order val="6"/>
          <c:tx>
            <c:strRef>
              <c:f>'Pivot Analysis'!$K$29:$K$30</c:f>
              <c:strCache>
                <c:ptCount val="1"/>
                <c:pt idx="0">
                  <c:v>flying</c:v>
                </c:pt>
              </c:strCache>
            </c:strRef>
          </c:tx>
          <c:spPr>
            <a:solidFill>
              <a:schemeClr val="accent1">
                <a:lumMod val="60000"/>
              </a:schemeClr>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Analysis'!$K$31:$K$48</c:f>
              <c:numCache>
                <c:formatCode>0.0</c:formatCode>
                <c:ptCount val="17"/>
                <c:pt idx="0">
                  <c:v>2</c:v>
                </c:pt>
                <c:pt idx="1">
                  <c:v>10</c:v>
                </c:pt>
                <c:pt idx="2">
                  <c:v>5</c:v>
                </c:pt>
                <c:pt idx="3">
                  <c:v>3</c:v>
                </c:pt>
                <c:pt idx="4">
                  <c:v>3</c:v>
                </c:pt>
                <c:pt idx="5">
                  <c:v>3</c:v>
                </c:pt>
                <c:pt idx="6">
                  <c:v>1</c:v>
                </c:pt>
                <c:pt idx="7">
                  <c:v>3</c:v>
                </c:pt>
                <c:pt idx="8">
                  <c:v>1</c:v>
                </c:pt>
                <c:pt idx="9">
                  <c:v>1</c:v>
                </c:pt>
                <c:pt idx="11">
                  <c:v>1</c:v>
                </c:pt>
                <c:pt idx="12">
                  <c:v>2</c:v>
                </c:pt>
                <c:pt idx="13">
                  <c:v>1</c:v>
                </c:pt>
                <c:pt idx="15">
                  <c:v>1</c:v>
                </c:pt>
                <c:pt idx="16">
                  <c:v>1</c:v>
                </c:pt>
              </c:numCache>
            </c:numRef>
          </c:val>
          <c:extLst>
            <c:ext xmlns:c16="http://schemas.microsoft.com/office/drawing/2014/chart" uri="{C3380CC4-5D6E-409C-BE32-E72D297353CC}">
              <c16:uniqueId val="{00000031-5232-4CF4-9383-F9820E4525EB}"/>
            </c:ext>
          </c:extLst>
        </c:ser>
        <c:ser>
          <c:idx val="7"/>
          <c:order val="7"/>
          <c:tx>
            <c:strRef>
              <c:f>'Pivot Analysis'!$L$29:$L$30</c:f>
              <c:strCache>
                <c:ptCount val="1"/>
                <c:pt idx="0">
                  <c:v>grass</c:v>
                </c:pt>
              </c:strCache>
            </c:strRef>
          </c:tx>
          <c:spPr>
            <a:solidFill>
              <a:schemeClr val="accent2">
                <a:lumMod val="60000"/>
              </a:schemeClr>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Analysis'!$L$31:$L$48</c:f>
              <c:numCache>
                <c:formatCode>0.0</c:formatCode>
                <c:ptCount val="17"/>
                <c:pt idx="2">
                  <c:v>2</c:v>
                </c:pt>
              </c:numCache>
            </c:numRef>
          </c:val>
          <c:extLst>
            <c:ext xmlns:c16="http://schemas.microsoft.com/office/drawing/2014/chart" uri="{C3380CC4-5D6E-409C-BE32-E72D297353CC}">
              <c16:uniqueId val="{00000032-5232-4CF4-9383-F9820E4525EB}"/>
            </c:ext>
          </c:extLst>
        </c:ser>
        <c:ser>
          <c:idx val="8"/>
          <c:order val="8"/>
          <c:tx>
            <c:strRef>
              <c:f>'Pivot Analysis'!$M$29:$M$30</c:f>
              <c:strCache>
                <c:ptCount val="1"/>
                <c:pt idx="0">
                  <c:v>ground</c:v>
                </c:pt>
              </c:strCache>
            </c:strRef>
          </c:tx>
          <c:spPr>
            <a:solidFill>
              <a:schemeClr val="accent3">
                <a:lumMod val="60000"/>
              </a:schemeClr>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Analysis'!$M$31:$M$48</c:f>
              <c:numCache>
                <c:formatCode>0.0</c:formatCode>
                <c:ptCount val="17"/>
                <c:pt idx="0">
                  <c:v>2</c:v>
                </c:pt>
                <c:pt idx="5">
                  <c:v>2</c:v>
                </c:pt>
                <c:pt idx="8">
                  <c:v>6</c:v>
                </c:pt>
                <c:pt idx="12">
                  <c:v>2</c:v>
                </c:pt>
                <c:pt idx="16">
                  <c:v>1</c:v>
                </c:pt>
              </c:numCache>
            </c:numRef>
          </c:val>
          <c:extLst>
            <c:ext xmlns:c16="http://schemas.microsoft.com/office/drawing/2014/chart" uri="{C3380CC4-5D6E-409C-BE32-E72D297353CC}">
              <c16:uniqueId val="{00000033-5232-4CF4-9383-F9820E4525EB}"/>
            </c:ext>
          </c:extLst>
        </c:ser>
        <c:ser>
          <c:idx val="9"/>
          <c:order val="9"/>
          <c:tx>
            <c:strRef>
              <c:f>'Pivot Analysis'!$N$29:$N$30</c:f>
              <c:strCache>
                <c:ptCount val="1"/>
                <c:pt idx="0">
                  <c:v>ice</c:v>
                </c:pt>
              </c:strCache>
            </c:strRef>
          </c:tx>
          <c:spPr>
            <a:solidFill>
              <a:schemeClr val="accent4">
                <a:lumMod val="60000"/>
              </a:schemeClr>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Analysis'!$N$31:$N$48</c:f>
              <c:numCache>
                <c:formatCode>0.0</c:formatCode>
                <c:ptCount val="17"/>
                <c:pt idx="0">
                  <c:v>3</c:v>
                </c:pt>
                <c:pt idx="13">
                  <c:v>1</c:v>
                </c:pt>
              </c:numCache>
            </c:numRef>
          </c:val>
          <c:extLst>
            <c:ext xmlns:c16="http://schemas.microsoft.com/office/drawing/2014/chart" uri="{C3380CC4-5D6E-409C-BE32-E72D297353CC}">
              <c16:uniqueId val="{00000034-5232-4CF4-9383-F9820E4525EB}"/>
            </c:ext>
          </c:extLst>
        </c:ser>
        <c:ser>
          <c:idx val="10"/>
          <c:order val="10"/>
          <c:tx>
            <c:strRef>
              <c:f>'Pivot Analysis'!$O$29:$O$30</c:f>
              <c:strCache>
                <c:ptCount val="1"/>
                <c:pt idx="0">
                  <c:v>None</c:v>
                </c:pt>
              </c:strCache>
            </c:strRef>
          </c:tx>
          <c:spPr>
            <a:solidFill>
              <a:schemeClr val="accent5">
                <a:lumMod val="60000"/>
              </a:schemeClr>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Analysis'!$O$31:$O$48</c:f>
              <c:numCache>
                <c:formatCode>0.0</c:formatCode>
                <c:ptCount val="17"/>
                <c:pt idx="0">
                  <c:v>25</c:v>
                </c:pt>
                <c:pt idx="1">
                  <c:v>23</c:v>
                </c:pt>
                <c:pt idx="2">
                  <c:v>4</c:v>
                </c:pt>
                <c:pt idx="3">
                  <c:v>7</c:v>
                </c:pt>
                <c:pt idx="4">
                  <c:v>16</c:v>
                </c:pt>
                <c:pt idx="5">
                  <c:v>10</c:v>
                </c:pt>
                <c:pt idx="6">
                  <c:v>12</c:v>
                </c:pt>
                <c:pt idx="7">
                  <c:v>10</c:v>
                </c:pt>
                <c:pt idx="8">
                  <c:v>1</c:v>
                </c:pt>
                <c:pt idx="9">
                  <c:v>8</c:v>
                </c:pt>
                <c:pt idx="10">
                  <c:v>9</c:v>
                </c:pt>
                <c:pt idx="11">
                  <c:v>6</c:v>
                </c:pt>
                <c:pt idx="13">
                  <c:v>1</c:v>
                </c:pt>
                <c:pt idx="14">
                  <c:v>1</c:v>
                </c:pt>
                <c:pt idx="15">
                  <c:v>2</c:v>
                </c:pt>
              </c:numCache>
            </c:numRef>
          </c:val>
          <c:extLst>
            <c:ext xmlns:c16="http://schemas.microsoft.com/office/drawing/2014/chart" uri="{C3380CC4-5D6E-409C-BE32-E72D297353CC}">
              <c16:uniqueId val="{00000035-5232-4CF4-9383-F9820E4525EB}"/>
            </c:ext>
          </c:extLst>
        </c:ser>
        <c:ser>
          <c:idx val="11"/>
          <c:order val="11"/>
          <c:tx>
            <c:strRef>
              <c:f>'Pivot Analysis'!$P$29:$P$30</c:f>
              <c:strCache>
                <c:ptCount val="1"/>
                <c:pt idx="0">
                  <c:v>poison</c:v>
                </c:pt>
              </c:strCache>
            </c:strRef>
          </c:tx>
          <c:spPr>
            <a:solidFill>
              <a:schemeClr val="accent6">
                <a:lumMod val="60000"/>
              </a:schemeClr>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Analysis'!$P$31:$P$48</c:f>
              <c:numCache>
                <c:formatCode>0.0</c:formatCode>
                <c:ptCount val="17"/>
                <c:pt idx="0">
                  <c:v>3</c:v>
                </c:pt>
                <c:pt idx="2">
                  <c:v>7</c:v>
                </c:pt>
                <c:pt idx="3">
                  <c:v>9</c:v>
                </c:pt>
                <c:pt idx="14">
                  <c:v>3</c:v>
                </c:pt>
              </c:numCache>
            </c:numRef>
          </c:val>
          <c:extLst>
            <c:ext xmlns:c16="http://schemas.microsoft.com/office/drawing/2014/chart" uri="{C3380CC4-5D6E-409C-BE32-E72D297353CC}">
              <c16:uniqueId val="{00000036-5232-4CF4-9383-F9820E4525EB}"/>
            </c:ext>
          </c:extLst>
        </c:ser>
        <c:ser>
          <c:idx val="12"/>
          <c:order val="12"/>
          <c:tx>
            <c:strRef>
              <c:f>'Pivot Analysis'!$Q$29:$Q$30</c:f>
              <c:strCache>
                <c:ptCount val="1"/>
                <c:pt idx="0">
                  <c:v>psychic</c:v>
                </c:pt>
              </c:strCache>
            </c:strRef>
          </c:tx>
          <c:spPr>
            <a:solidFill>
              <a:schemeClr val="accent1">
                <a:lumMod val="80000"/>
                <a:lumOff val="20000"/>
              </a:schemeClr>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Analysis'!$Q$31:$Q$48</c:f>
              <c:numCache>
                <c:formatCode>0.0</c:formatCode>
                <c:ptCount val="17"/>
                <c:pt idx="0">
                  <c:v>4</c:v>
                </c:pt>
                <c:pt idx="1">
                  <c:v>1</c:v>
                </c:pt>
                <c:pt idx="3">
                  <c:v>2</c:v>
                </c:pt>
                <c:pt idx="12">
                  <c:v>2</c:v>
                </c:pt>
              </c:numCache>
            </c:numRef>
          </c:val>
          <c:extLst>
            <c:ext xmlns:c16="http://schemas.microsoft.com/office/drawing/2014/chart" uri="{C3380CC4-5D6E-409C-BE32-E72D297353CC}">
              <c16:uniqueId val="{00000037-5232-4CF4-9383-F9820E4525EB}"/>
            </c:ext>
          </c:extLst>
        </c:ser>
        <c:ser>
          <c:idx val="13"/>
          <c:order val="13"/>
          <c:tx>
            <c:strRef>
              <c:f>'Pivot Analysis'!$R$29:$R$30</c:f>
              <c:strCache>
                <c:ptCount val="1"/>
                <c:pt idx="0">
                  <c:v>rock</c:v>
                </c:pt>
              </c:strCache>
            </c:strRef>
          </c:tx>
          <c:spPr>
            <a:solidFill>
              <a:schemeClr val="accent2">
                <a:lumMod val="80000"/>
                <a:lumOff val="20000"/>
              </a:schemeClr>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Analysis'!$R$31:$R$48</c:f>
              <c:numCache>
                <c:formatCode>0.0</c:formatCode>
                <c:ptCount val="17"/>
                <c:pt idx="0">
                  <c:v>1</c:v>
                </c:pt>
                <c:pt idx="2">
                  <c:v>1</c:v>
                </c:pt>
                <c:pt idx="4">
                  <c:v>1</c:v>
                </c:pt>
                <c:pt idx="9">
                  <c:v>2</c:v>
                </c:pt>
              </c:numCache>
            </c:numRef>
          </c:val>
          <c:extLst>
            <c:ext xmlns:c16="http://schemas.microsoft.com/office/drawing/2014/chart" uri="{C3380CC4-5D6E-409C-BE32-E72D297353CC}">
              <c16:uniqueId val="{00000038-5232-4CF4-9383-F9820E4525EB}"/>
            </c:ext>
          </c:extLst>
        </c:ser>
        <c:ser>
          <c:idx val="14"/>
          <c:order val="14"/>
          <c:tx>
            <c:strRef>
              <c:f>'Pivot Analysis'!$S$29:$S$30</c:f>
              <c:strCache>
                <c:ptCount val="1"/>
                <c:pt idx="0">
                  <c:v>steel</c:v>
                </c:pt>
              </c:strCache>
            </c:strRef>
          </c:tx>
          <c:spPr>
            <a:solidFill>
              <a:schemeClr val="accent3">
                <a:lumMod val="80000"/>
                <a:lumOff val="20000"/>
              </a:schemeClr>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Analysis'!$S$31:$S$48</c:f>
              <c:numCache>
                <c:formatCode>0.0</c:formatCode>
                <c:ptCount val="17"/>
                <c:pt idx="2">
                  <c:v>2</c:v>
                </c:pt>
                <c:pt idx="6">
                  <c:v>2</c:v>
                </c:pt>
              </c:numCache>
            </c:numRef>
          </c:val>
          <c:extLst>
            <c:ext xmlns:c16="http://schemas.microsoft.com/office/drawing/2014/chart" uri="{C3380CC4-5D6E-409C-BE32-E72D297353CC}">
              <c16:uniqueId val="{00000039-5232-4CF4-9383-F9820E4525EB}"/>
            </c:ext>
          </c:extLst>
        </c:ser>
        <c:ser>
          <c:idx val="15"/>
          <c:order val="15"/>
          <c:tx>
            <c:strRef>
              <c:f>'Pivot Analysis'!$T$29:$T$30</c:f>
              <c:strCache>
                <c:ptCount val="1"/>
                <c:pt idx="0">
                  <c:v>water</c:v>
                </c:pt>
              </c:strCache>
            </c:strRef>
          </c:tx>
          <c:spPr>
            <a:solidFill>
              <a:schemeClr val="accent4">
                <a:lumMod val="80000"/>
                <a:lumOff val="20000"/>
              </a:schemeClr>
            </a:solidFill>
            <a:ln>
              <a:noFill/>
            </a:ln>
            <a:effectLst/>
          </c:spPr>
          <c:invertIfNegative val="0"/>
          <c:cat>
            <c:strRef>
              <c:f>'Pivot Analysis'!$D$31:$D$48</c:f>
              <c:strCache>
                <c:ptCount val="17"/>
                <c:pt idx="0">
                  <c:v>water</c:v>
                </c:pt>
                <c:pt idx="1">
                  <c:v>normal</c:v>
                </c:pt>
                <c:pt idx="2">
                  <c:v>bug</c:v>
                </c:pt>
                <c:pt idx="3">
                  <c:v>grass</c:v>
                </c:pt>
                <c:pt idx="4">
                  <c:v>fire</c:v>
                </c:pt>
                <c:pt idx="5">
                  <c:v>poison</c:v>
                </c:pt>
                <c:pt idx="6">
                  <c:v>electric</c:v>
                </c:pt>
                <c:pt idx="7">
                  <c:v>psychic</c:v>
                </c:pt>
                <c:pt idx="8">
                  <c:v>rock</c:v>
                </c:pt>
                <c:pt idx="9">
                  <c:v>ground</c:v>
                </c:pt>
                <c:pt idx="10">
                  <c:v>fighting</c:v>
                </c:pt>
                <c:pt idx="11">
                  <c:v>fairy</c:v>
                </c:pt>
                <c:pt idx="12">
                  <c:v>ice</c:v>
                </c:pt>
                <c:pt idx="13">
                  <c:v>dark</c:v>
                </c:pt>
                <c:pt idx="14">
                  <c:v>ghost</c:v>
                </c:pt>
                <c:pt idx="15">
                  <c:v>dragon</c:v>
                </c:pt>
                <c:pt idx="16">
                  <c:v>steel</c:v>
                </c:pt>
              </c:strCache>
            </c:strRef>
          </c:cat>
          <c:val>
            <c:numRef>
              <c:f>'Pivot Analysis'!$T$31:$T$48</c:f>
              <c:numCache>
                <c:formatCode>0.0</c:formatCode>
                <c:ptCount val="17"/>
                <c:pt idx="8">
                  <c:v>4</c:v>
                </c:pt>
              </c:numCache>
            </c:numRef>
          </c:val>
          <c:extLst>
            <c:ext xmlns:c16="http://schemas.microsoft.com/office/drawing/2014/chart" uri="{C3380CC4-5D6E-409C-BE32-E72D297353CC}">
              <c16:uniqueId val="{0000003A-5232-4CF4-9383-F9820E4525EB}"/>
            </c:ext>
          </c:extLst>
        </c:ser>
        <c:dLbls>
          <c:showLegendKey val="0"/>
          <c:showVal val="0"/>
          <c:showCatName val="0"/>
          <c:showSerName val="0"/>
          <c:showPercent val="0"/>
          <c:showBubbleSize val="0"/>
        </c:dLbls>
        <c:gapWidth val="219"/>
        <c:overlap val="-27"/>
        <c:axId val="997045007"/>
        <c:axId val="997043087"/>
      </c:barChart>
      <c:catAx>
        <c:axId val="997045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Types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43087"/>
        <c:crosses val="autoZero"/>
        <c:auto val="1"/>
        <c:lblAlgn val="ctr"/>
        <c:lblOffset val="100"/>
        <c:noMultiLvlLbl val="0"/>
      </c:catAx>
      <c:valAx>
        <c:axId val="997043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of Pokemon Per Type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04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[pokemon_stats_2025.xlsx]Pivot 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Stats Per Type</a:t>
            </a:r>
          </a:p>
        </c:rich>
      </c:tx>
      <c:layout>
        <c:manualLayout>
          <c:xMode val="edge"/>
          <c:yMode val="edge"/>
          <c:x val="0.64828758169934642"/>
          <c:y val="0.174300011806482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303149606299225E-2"/>
          <c:y val="0.17490522018081076"/>
          <c:w val="0.53585739282589673"/>
          <c:h val="0.58225685331000288"/>
        </c:manualLayout>
      </c:layout>
      <c:barChart>
        <c:barDir val="col"/>
        <c:grouping val="clustered"/>
        <c:varyColors val="0"/>
        <c:ser>
          <c:idx val="0"/>
          <c:order val="0"/>
          <c:tx>
            <c:strRef>
              <c:f>'Pivot Analysis'!$B$6</c:f>
              <c:strCache>
                <c:ptCount val="1"/>
                <c:pt idx="0">
                  <c:v>Average of hp</c:v>
                </c:pt>
              </c:strCache>
            </c:strRef>
          </c:tx>
          <c:spPr>
            <a:solidFill>
              <a:schemeClr val="accent1"/>
            </a:solidFill>
            <a:ln>
              <a:noFill/>
            </a:ln>
            <a:effectLst/>
          </c:spPr>
          <c:invertIfNegative val="0"/>
          <c:cat>
            <c:strRef>
              <c:f>'Pivot Analysis'!$A$7:$A$24</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'Pivot Analysis'!$B$7:$B$24</c:f>
              <c:numCache>
                <c:formatCode>0.0</c:formatCode>
                <c:ptCount val="17"/>
                <c:pt idx="0">
                  <c:v>55.909090909090907</c:v>
                </c:pt>
                <c:pt idx="1">
                  <c:v>66</c:v>
                </c:pt>
                <c:pt idx="2">
                  <c:v>64.333333333333329</c:v>
                </c:pt>
                <c:pt idx="3">
                  <c:v>57.333333333333336</c:v>
                </c:pt>
                <c:pt idx="4">
                  <c:v>65</c:v>
                </c:pt>
                <c:pt idx="5">
                  <c:v>58.888888888888886</c:v>
                </c:pt>
                <c:pt idx="6">
                  <c:v>65.349999999999994</c:v>
                </c:pt>
                <c:pt idx="7">
                  <c:v>48.75</c:v>
                </c:pt>
                <c:pt idx="8">
                  <c:v>62.38095238095238</c:v>
                </c:pt>
                <c:pt idx="9">
                  <c:v>64.545454545454547</c:v>
                </c:pt>
                <c:pt idx="10">
                  <c:v>65.833333333333329</c:v>
                </c:pt>
                <c:pt idx="11">
                  <c:v>82.13513513513513</c:v>
                </c:pt>
                <c:pt idx="12">
                  <c:v>65.86666666666666</c:v>
                </c:pt>
                <c:pt idx="13">
                  <c:v>73.214285714285708</c:v>
                </c:pt>
                <c:pt idx="14">
                  <c:v>59.615384615384613</c:v>
                </c:pt>
                <c:pt idx="15">
                  <c:v>70</c:v>
                </c:pt>
                <c:pt idx="16">
                  <c:v>69.826086956521735</c:v>
                </c:pt>
              </c:numCache>
            </c:numRef>
          </c:val>
          <c:extLst>
            <c:ext xmlns:c16="http://schemas.microsoft.com/office/drawing/2014/chart" uri="{C3380CC4-5D6E-409C-BE32-E72D297353CC}">
              <c16:uniqueId val="{00000000-A72B-4E8A-8DC5-7EDCE7A17C28}"/>
            </c:ext>
          </c:extLst>
        </c:ser>
        <c:ser>
          <c:idx val="1"/>
          <c:order val="1"/>
          <c:tx>
            <c:strRef>
              <c:f>'Pivot Analysis'!$C$6</c:f>
              <c:strCache>
                <c:ptCount val="1"/>
                <c:pt idx="0">
                  <c:v>Average of attack</c:v>
                </c:pt>
              </c:strCache>
            </c:strRef>
          </c:tx>
          <c:spPr>
            <a:solidFill>
              <a:schemeClr val="accent2"/>
            </a:solidFill>
            <a:ln>
              <a:noFill/>
            </a:ln>
            <a:effectLst/>
          </c:spPr>
          <c:invertIfNegative val="0"/>
          <c:cat>
            <c:strRef>
              <c:f>'Pivot Analysis'!$A$7:$A$24</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'Pivot Analysis'!$C$7:$C$24</c:f>
              <c:numCache>
                <c:formatCode>0.0</c:formatCode>
                <c:ptCount val="17"/>
                <c:pt idx="0">
                  <c:v>66.13636363636364</c:v>
                </c:pt>
                <c:pt idx="1">
                  <c:v>79</c:v>
                </c:pt>
                <c:pt idx="2">
                  <c:v>94</c:v>
                </c:pt>
                <c:pt idx="3">
                  <c:v>61.06666666666667</c:v>
                </c:pt>
                <c:pt idx="4">
                  <c:v>57.142857142857146</c:v>
                </c:pt>
                <c:pt idx="5">
                  <c:v>94.444444444444443</c:v>
                </c:pt>
                <c:pt idx="6">
                  <c:v>80.849999999999994</c:v>
                </c:pt>
                <c:pt idx="7">
                  <c:v>52.5</c:v>
                </c:pt>
                <c:pt idx="8">
                  <c:v>64.80952380952381</c:v>
                </c:pt>
                <c:pt idx="9">
                  <c:v>84.545454545454547</c:v>
                </c:pt>
                <c:pt idx="10">
                  <c:v>61.666666666666664</c:v>
                </c:pt>
                <c:pt idx="11">
                  <c:v>66.540540540540547</c:v>
                </c:pt>
                <c:pt idx="12">
                  <c:v>76.13333333333334</c:v>
                </c:pt>
                <c:pt idx="13">
                  <c:v>61.857142857142854</c:v>
                </c:pt>
                <c:pt idx="14">
                  <c:v>86.307692307692307</c:v>
                </c:pt>
                <c:pt idx="15">
                  <c:v>82.5</c:v>
                </c:pt>
                <c:pt idx="16">
                  <c:v>69.413043478260875</c:v>
                </c:pt>
              </c:numCache>
            </c:numRef>
          </c:val>
          <c:extLst>
            <c:ext xmlns:c16="http://schemas.microsoft.com/office/drawing/2014/chart" uri="{C3380CC4-5D6E-409C-BE32-E72D297353CC}">
              <c16:uniqueId val="{00000001-A72B-4E8A-8DC5-7EDCE7A17C28}"/>
            </c:ext>
          </c:extLst>
        </c:ser>
        <c:ser>
          <c:idx val="2"/>
          <c:order val="2"/>
          <c:tx>
            <c:strRef>
              <c:f>'Pivot Analysis'!$D$6</c:f>
              <c:strCache>
                <c:ptCount val="1"/>
                <c:pt idx="0">
                  <c:v>Average of defense</c:v>
                </c:pt>
              </c:strCache>
            </c:strRef>
          </c:tx>
          <c:spPr>
            <a:solidFill>
              <a:schemeClr val="accent3"/>
            </a:solidFill>
            <a:ln>
              <a:noFill/>
            </a:ln>
            <a:effectLst/>
          </c:spPr>
          <c:invertIfNegative val="0"/>
          <c:cat>
            <c:strRef>
              <c:f>'Pivot Analysis'!$A$7:$A$24</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'Pivot Analysis'!$D$7:$D$24</c:f>
              <c:numCache>
                <c:formatCode>0.0</c:formatCode>
                <c:ptCount val="17"/>
                <c:pt idx="0">
                  <c:v>70.681818181818187</c:v>
                </c:pt>
                <c:pt idx="1">
                  <c:v>57.4</c:v>
                </c:pt>
                <c:pt idx="2">
                  <c:v>68.333333333333329</c:v>
                </c:pt>
                <c:pt idx="3">
                  <c:v>59.266666666666666</c:v>
                </c:pt>
                <c:pt idx="4">
                  <c:v>60.571428571428569</c:v>
                </c:pt>
                <c:pt idx="5">
                  <c:v>61.888888888888886</c:v>
                </c:pt>
                <c:pt idx="6">
                  <c:v>65.099999999999994</c:v>
                </c:pt>
                <c:pt idx="7">
                  <c:v>48.75</c:v>
                </c:pt>
                <c:pt idx="8">
                  <c:v>67.61904761904762</c:v>
                </c:pt>
                <c:pt idx="9">
                  <c:v>88.63636363636364</c:v>
                </c:pt>
                <c:pt idx="10">
                  <c:v>52.5</c:v>
                </c:pt>
                <c:pt idx="11">
                  <c:v>53.729729729729726</c:v>
                </c:pt>
                <c:pt idx="12">
                  <c:v>67.86666666666666</c:v>
                </c:pt>
                <c:pt idx="13">
                  <c:v>62.214285714285715</c:v>
                </c:pt>
                <c:pt idx="14">
                  <c:v>102.69230769230769</c:v>
                </c:pt>
                <c:pt idx="15">
                  <c:v>170</c:v>
                </c:pt>
                <c:pt idx="16">
                  <c:v>75.978260869565219</c:v>
                </c:pt>
              </c:numCache>
            </c:numRef>
          </c:val>
          <c:extLst>
            <c:ext xmlns:c16="http://schemas.microsoft.com/office/drawing/2014/chart" uri="{C3380CC4-5D6E-409C-BE32-E72D297353CC}">
              <c16:uniqueId val="{00000002-A72B-4E8A-8DC5-7EDCE7A17C28}"/>
            </c:ext>
          </c:extLst>
        </c:ser>
        <c:ser>
          <c:idx val="3"/>
          <c:order val="3"/>
          <c:tx>
            <c:strRef>
              <c:f>'Pivot Analysis'!$E$6</c:f>
              <c:strCache>
                <c:ptCount val="1"/>
                <c:pt idx="0">
                  <c:v>Average of special_attack</c:v>
                </c:pt>
              </c:strCache>
            </c:strRef>
          </c:tx>
          <c:spPr>
            <a:solidFill>
              <a:schemeClr val="accent4"/>
            </a:solidFill>
            <a:ln>
              <a:noFill/>
            </a:ln>
            <a:effectLst/>
          </c:spPr>
          <c:invertIfNegative val="0"/>
          <c:cat>
            <c:strRef>
              <c:f>'Pivot Analysis'!$A$7:$A$24</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'Pivot Analysis'!$E$7:$E$24</c:f>
              <c:numCache>
                <c:formatCode>0.0</c:formatCode>
                <c:ptCount val="17"/>
                <c:pt idx="0">
                  <c:v>47.272727272727273</c:v>
                </c:pt>
                <c:pt idx="1">
                  <c:v>74</c:v>
                </c:pt>
                <c:pt idx="2">
                  <c:v>73.333333333333329</c:v>
                </c:pt>
                <c:pt idx="3">
                  <c:v>86.333333333333329</c:v>
                </c:pt>
                <c:pt idx="4">
                  <c:v>60</c:v>
                </c:pt>
                <c:pt idx="5">
                  <c:v>42.777777777777779</c:v>
                </c:pt>
                <c:pt idx="6">
                  <c:v>84.7</c:v>
                </c:pt>
                <c:pt idx="7">
                  <c:v>107.5</c:v>
                </c:pt>
                <c:pt idx="8">
                  <c:v>76.666666666666671</c:v>
                </c:pt>
                <c:pt idx="9">
                  <c:v>40.909090909090907</c:v>
                </c:pt>
                <c:pt idx="10">
                  <c:v>75</c:v>
                </c:pt>
                <c:pt idx="11">
                  <c:v>54.45945945945946</c:v>
                </c:pt>
                <c:pt idx="12">
                  <c:v>58</c:v>
                </c:pt>
                <c:pt idx="13">
                  <c:v>94.285714285714292</c:v>
                </c:pt>
                <c:pt idx="14">
                  <c:v>60</c:v>
                </c:pt>
                <c:pt idx="15">
                  <c:v>47.5</c:v>
                </c:pt>
                <c:pt idx="16">
                  <c:v>66.173913043478265</c:v>
                </c:pt>
              </c:numCache>
            </c:numRef>
          </c:val>
          <c:extLst>
            <c:ext xmlns:c16="http://schemas.microsoft.com/office/drawing/2014/chart" uri="{C3380CC4-5D6E-409C-BE32-E72D297353CC}">
              <c16:uniqueId val="{00000003-A72B-4E8A-8DC5-7EDCE7A17C28}"/>
            </c:ext>
          </c:extLst>
        </c:ser>
        <c:ser>
          <c:idx val="4"/>
          <c:order val="4"/>
          <c:tx>
            <c:strRef>
              <c:f>'Pivot Analysis'!$F$6</c:f>
              <c:strCache>
                <c:ptCount val="1"/>
                <c:pt idx="0">
                  <c:v>Average of special_defense</c:v>
                </c:pt>
              </c:strCache>
            </c:strRef>
          </c:tx>
          <c:spPr>
            <a:solidFill>
              <a:schemeClr val="accent5"/>
            </a:solidFill>
            <a:ln>
              <a:noFill/>
            </a:ln>
            <a:effectLst/>
          </c:spPr>
          <c:invertIfNegative val="0"/>
          <c:cat>
            <c:strRef>
              <c:f>'Pivot Analysis'!$A$7:$A$24</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'Pivot Analysis'!$F$7:$F$24</c:f>
              <c:numCache>
                <c:formatCode>0.0</c:formatCode>
                <c:ptCount val="17"/>
                <c:pt idx="0">
                  <c:v>68.63636363636364</c:v>
                </c:pt>
                <c:pt idx="1">
                  <c:v>75.400000000000006</c:v>
                </c:pt>
                <c:pt idx="2">
                  <c:v>73.333333333333329</c:v>
                </c:pt>
                <c:pt idx="3">
                  <c:v>69.666666666666671</c:v>
                </c:pt>
                <c:pt idx="4">
                  <c:v>68.571428571428569</c:v>
                </c:pt>
                <c:pt idx="5">
                  <c:v>73.333333333333329</c:v>
                </c:pt>
                <c:pt idx="6">
                  <c:v>76.2</c:v>
                </c:pt>
                <c:pt idx="7">
                  <c:v>62.5</c:v>
                </c:pt>
                <c:pt idx="8">
                  <c:v>69.285714285714292</c:v>
                </c:pt>
                <c:pt idx="9">
                  <c:v>51.81818181818182</c:v>
                </c:pt>
                <c:pt idx="10">
                  <c:v>70</c:v>
                </c:pt>
                <c:pt idx="11">
                  <c:v>62.405405405405403</c:v>
                </c:pt>
                <c:pt idx="12">
                  <c:v>62.866666666666667</c:v>
                </c:pt>
                <c:pt idx="13">
                  <c:v>86.071428571428569</c:v>
                </c:pt>
                <c:pt idx="14">
                  <c:v>60.384615384615387</c:v>
                </c:pt>
                <c:pt idx="15">
                  <c:v>67.5</c:v>
                </c:pt>
                <c:pt idx="16">
                  <c:v>70.108695652173907</c:v>
                </c:pt>
              </c:numCache>
            </c:numRef>
          </c:val>
          <c:extLst>
            <c:ext xmlns:c16="http://schemas.microsoft.com/office/drawing/2014/chart" uri="{C3380CC4-5D6E-409C-BE32-E72D297353CC}">
              <c16:uniqueId val="{00000004-A72B-4E8A-8DC5-7EDCE7A17C28}"/>
            </c:ext>
          </c:extLst>
        </c:ser>
        <c:ser>
          <c:idx val="5"/>
          <c:order val="5"/>
          <c:tx>
            <c:strRef>
              <c:f>'Pivot Analysis'!$G$6</c:f>
              <c:strCache>
                <c:ptCount val="1"/>
                <c:pt idx="0">
                  <c:v>Average of speed</c:v>
                </c:pt>
              </c:strCache>
            </c:strRef>
          </c:tx>
          <c:spPr>
            <a:solidFill>
              <a:schemeClr val="accent6"/>
            </a:solidFill>
            <a:ln>
              <a:noFill/>
            </a:ln>
            <a:effectLst/>
          </c:spPr>
          <c:invertIfNegative val="0"/>
          <c:cat>
            <c:strRef>
              <c:f>'Pivot Analysis'!$A$7:$A$24</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'Pivot Analysis'!$G$7:$G$24</c:f>
              <c:numCache>
                <c:formatCode>0.0</c:formatCode>
                <c:ptCount val="17"/>
                <c:pt idx="0">
                  <c:v>54.545454545454547</c:v>
                </c:pt>
                <c:pt idx="1">
                  <c:v>86.2</c:v>
                </c:pt>
                <c:pt idx="2">
                  <c:v>66.666666666666671</c:v>
                </c:pt>
                <c:pt idx="3">
                  <c:v>87</c:v>
                </c:pt>
                <c:pt idx="4">
                  <c:v>35</c:v>
                </c:pt>
                <c:pt idx="5">
                  <c:v>63.111111111111114</c:v>
                </c:pt>
                <c:pt idx="6">
                  <c:v>78.8</c:v>
                </c:pt>
                <c:pt idx="7">
                  <c:v>92.5</c:v>
                </c:pt>
                <c:pt idx="8">
                  <c:v>55.238095238095241</c:v>
                </c:pt>
                <c:pt idx="9">
                  <c:v>58.18181818181818</c:v>
                </c:pt>
                <c:pt idx="10">
                  <c:v>70</c:v>
                </c:pt>
                <c:pt idx="11">
                  <c:v>66.621621621621628</c:v>
                </c:pt>
                <c:pt idx="12">
                  <c:v>63.533333333333331</c:v>
                </c:pt>
                <c:pt idx="13">
                  <c:v>86.428571428571431</c:v>
                </c:pt>
                <c:pt idx="14">
                  <c:v>54.46153846153846</c:v>
                </c:pt>
                <c:pt idx="15">
                  <c:v>50</c:v>
                </c:pt>
                <c:pt idx="16">
                  <c:v>63.456521739130437</c:v>
                </c:pt>
              </c:numCache>
            </c:numRef>
          </c:val>
          <c:extLst>
            <c:ext xmlns:c16="http://schemas.microsoft.com/office/drawing/2014/chart" uri="{C3380CC4-5D6E-409C-BE32-E72D297353CC}">
              <c16:uniqueId val="{00000005-A72B-4E8A-8DC5-7EDCE7A17C28}"/>
            </c:ext>
          </c:extLst>
        </c:ser>
        <c:ser>
          <c:idx val="6"/>
          <c:order val="6"/>
          <c:tx>
            <c:strRef>
              <c:f>'Pivot Analysis'!$H$6</c:f>
              <c:strCache>
                <c:ptCount val="1"/>
                <c:pt idx="0">
                  <c:v>Average of Total Stats</c:v>
                </c:pt>
              </c:strCache>
            </c:strRef>
          </c:tx>
          <c:spPr>
            <a:solidFill>
              <a:schemeClr val="accent1">
                <a:lumMod val="60000"/>
              </a:schemeClr>
            </a:solidFill>
            <a:ln>
              <a:noFill/>
            </a:ln>
            <a:effectLst/>
          </c:spPr>
          <c:invertIfNegative val="0"/>
          <c:cat>
            <c:strRef>
              <c:f>'Pivot Analysis'!$A$7:$A$24</c:f>
              <c:strCache>
                <c:ptCount val="17"/>
                <c:pt idx="0">
                  <c:v>bug</c:v>
                </c:pt>
                <c:pt idx="1">
                  <c:v>dark</c:v>
                </c:pt>
                <c:pt idx="2">
                  <c:v>dragon</c:v>
                </c:pt>
                <c:pt idx="3">
                  <c:v>electric</c:v>
                </c:pt>
                <c:pt idx="4">
                  <c:v>fairy</c:v>
                </c:pt>
                <c:pt idx="5">
                  <c:v>fighting</c:v>
                </c:pt>
                <c:pt idx="6">
                  <c:v>fire</c:v>
                </c:pt>
                <c:pt idx="7">
                  <c:v>ghost</c:v>
                </c:pt>
                <c:pt idx="8">
                  <c:v>grass</c:v>
                </c:pt>
                <c:pt idx="9">
                  <c:v>ground</c:v>
                </c:pt>
                <c:pt idx="10">
                  <c:v>ice</c:v>
                </c:pt>
                <c:pt idx="11">
                  <c:v>normal</c:v>
                </c:pt>
                <c:pt idx="12">
                  <c:v>poison</c:v>
                </c:pt>
                <c:pt idx="13">
                  <c:v>psychic</c:v>
                </c:pt>
                <c:pt idx="14">
                  <c:v>rock</c:v>
                </c:pt>
                <c:pt idx="15">
                  <c:v>steel</c:v>
                </c:pt>
                <c:pt idx="16">
                  <c:v>water</c:v>
                </c:pt>
              </c:strCache>
            </c:strRef>
          </c:cat>
          <c:val>
            <c:numRef>
              <c:f>'Pivot Analysis'!$H$7:$H$24</c:f>
              <c:numCache>
                <c:formatCode>0.0</c:formatCode>
                <c:ptCount val="17"/>
                <c:pt idx="0">
                  <c:v>363.18181818181819</c:v>
                </c:pt>
                <c:pt idx="1">
                  <c:v>438</c:v>
                </c:pt>
                <c:pt idx="2">
                  <c:v>440</c:v>
                </c:pt>
                <c:pt idx="3">
                  <c:v>420.66666666666669</c:v>
                </c:pt>
                <c:pt idx="4">
                  <c:v>346.28571428571428</c:v>
                </c:pt>
                <c:pt idx="5">
                  <c:v>394.44444444444446</c:v>
                </c:pt>
                <c:pt idx="6">
                  <c:v>451</c:v>
                </c:pt>
                <c:pt idx="7">
                  <c:v>412.5</c:v>
                </c:pt>
                <c:pt idx="8">
                  <c:v>396</c:v>
                </c:pt>
                <c:pt idx="9">
                  <c:v>388.63636363636363</c:v>
                </c:pt>
                <c:pt idx="10">
                  <c:v>395</c:v>
                </c:pt>
                <c:pt idx="11">
                  <c:v>385.89189189189187</c:v>
                </c:pt>
                <c:pt idx="12">
                  <c:v>394.26666666666665</c:v>
                </c:pt>
                <c:pt idx="13">
                  <c:v>464.07142857142856</c:v>
                </c:pt>
                <c:pt idx="14">
                  <c:v>423.46153846153845</c:v>
                </c:pt>
                <c:pt idx="15">
                  <c:v>487.5</c:v>
                </c:pt>
                <c:pt idx="16">
                  <c:v>414.95652173913044</c:v>
                </c:pt>
              </c:numCache>
            </c:numRef>
          </c:val>
          <c:extLst>
            <c:ext xmlns:c16="http://schemas.microsoft.com/office/drawing/2014/chart" uri="{C3380CC4-5D6E-409C-BE32-E72D297353CC}">
              <c16:uniqueId val="{00000006-A72B-4E8A-8DC5-7EDCE7A17C28}"/>
            </c:ext>
          </c:extLst>
        </c:ser>
        <c:dLbls>
          <c:showLegendKey val="0"/>
          <c:showVal val="0"/>
          <c:showCatName val="0"/>
          <c:showSerName val="0"/>
          <c:showPercent val="0"/>
          <c:showBubbleSize val="0"/>
        </c:dLbls>
        <c:gapWidth val="219"/>
        <c:overlap val="-27"/>
        <c:axId val="1151073679"/>
        <c:axId val="1151074639"/>
      </c:barChart>
      <c:catAx>
        <c:axId val="115107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074639"/>
        <c:crosses val="autoZero"/>
        <c:auto val="1"/>
        <c:lblAlgn val="ctr"/>
        <c:lblOffset val="100"/>
        <c:noMultiLvlLbl val="0"/>
      </c:catAx>
      <c:valAx>
        <c:axId val="115107463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07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[pokemon_stats_2025.xlsx]Pivot 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Experience</a:t>
            </a:r>
            <a:r>
              <a:rPr lang="en-US" baseline="0"/>
              <a:t> Stats</a:t>
            </a:r>
            <a:endParaRPr lang="en-US"/>
          </a:p>
        </c:rich>
      </c:tx>
      <c:layout>
        <c:manualLayout>
          <c:xMode val="edge"/>
          <c:yMode val="edge"/>
          <c:x val="0.70784083496412253"/>
          <c:y val="0.1285471668982553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Analysis'!$K$6</c:f>
              <c:strCache>
                <c:ptCount val="1"/>
                <c:pt idx="0">
                  <c:v>Count of name</c:v>
                </c:pt>
              </c:strCache>
            </c:strRef>
          </c:tx>
          <c:spPr>
            <a:solidFill>
              <a:schemeClr val="accent1"/>
            </a:solidFill>
            <a:ln>
              <a:noFill/>
            </a:ln>
            <a:effectLst/>
          </c:spPr>
          <c:invertIfNegative val="0"/>
          <c:cat>
            <c:strRef>
              <c:f>'Pivot Analysis'!$J$7:$J$11</c:f>
              <c:strCache>
                <c:ptCount val="4"/>
                <c:pt idx="0">
                  <c:v>HIGH</c:v>
                </c:pt>
                <c:pt idx="1">
                  <c:v>Legendary</c:v>
                </c:pt>
                <c:pt idx="2">
                  <c:v>Low</c:v>
                </c:pt>
                <c:pt idx="3">
                  <c:v>Medium</c:v>
                </c:pt>
              </c:strCache>
            </c:strRef>
          </c:cat>
          <c:val>
            <c:numRef>
              <c:f>'Pivot Analysis'!$K$7:$K$11</c:f>
              <c:numCache>
                <c:formatCode>General</c:formatCode>
                <c:ptCount val="4"/>
                <c:pt idx="0">
                  <c:v>24</c:v>
                </c:pt>
                <c:pt idx="1">
                  <c:v>14</c:v>
                </c:pt>
                <c:pt idx="2">
                  <c:v>97</c:v>
                </c:pt>
                <c:pt idx="3">
                  <c:v>115</c:v>
                </c:pt>
              </c:numCache>
            </c:numRef>
          </c:val>
          <c:extLst>
            <c:ext xmlns:c16="http://schemas.microsoft.com/office/drawing/2014/chart" uri="{C3380CC4-5D6E-409C-BE32-E72D297353CC}">
              <c16:uniqueId val="{00000000-47BA-4130-BC9E-51C0CF799AF3}"/>
            </c:ext>
          </c:extLst>
        </c:ser>
        <c:ser>
          <c:idx val="1"/>
          <c:order val="1"/>
          <c:tx>
            <c:strRef>
              <c:f>'Pivot Analysis'!$L$6</c:f>
              <c:strCache>
                <c:ptCount val="1"/>
                <c:pt idx="0">
                  <c:v>Average of hp</c:v>
                </c:pt>
              </c:strCache>
            </c:strRef>
          </c:tx>
          <c:spPr>
            <a:solidFill>
              <a:schemeClr val="accent2"/>
            </a:solidFill>
            <a:ln>
              <a:noFill/>
            </a:ln>
            <a:effectLst/>
          </c:spPr>
          <c:invertIfNegative val="0"/>
          <c:cat>
            <c:strRef>
              <c:f>'Pivot Analysis'!$J$7:$J$11</c:f>
              <c:strCache>
                <c:ptCount val="4"/>
                <c:pt idx="0">
                  <c:v>HIGH</c:v>
                </c:pt>
                <c:pt idx="1">
                  <c:v>Legendary</c:v>
                </c:pt>
                <c:pt idx="2">
                  <c:v>Low</c:v>
                </c:pt>
                <c:pt idx="3">
                  <c:v>Medium</c:v>
                </c:pt>
              </c:strCache>
            </c:strRef>
          </c:cat>
          <c:val>
            <c:numRef>
              <c:f>'Pivot Analysis'!$L$7:$L$11</c:f>
              <c:numCache>
                <c:formatCode>0.0</c:formatCode>
                <c:ptCount val="4"/>
                <c:pt idx="0">
                  <c:v>79.541666666666671</c:v>
                </c:pt>
                <c:pt idx="1">
                  <c:v>120.64285714285714</c:v>
                </c:pt>
                <c:pt idx="2">
                  <c:v>48.422680412371136</c:v>
                </c:pt>
                <c:pt idx="3">
                  <c:v>73.03478260869565</c:v>
                </c:pt>
              </c:numCache>
            </c:numRef>
          </c:val>
          <c:extLst>
            <c:ext xmlns:c16="http://schemas.microsoft.com/office/drawing/2014/chart" uri="{C3380CC4-5D6E-409C-BE32-E72D297353CC}">
              <c16:uniqueId val="{00000001-47BA-4130-BC9E-51C0CF799AF3}"/>
            </c:ext>
          </c:extLst>
        </c:ser>
        <c:ser>
          <c:idx val="2"/>
          <c:order val="2"/>
          <c:tx>
            <c:strRef>
              <c:f>'Pivot Analysis'!$M$6</c:f>
              <c:strCache>
                <c:ptCount val="1"/>
                <c:pt idx="0">
                  <c:v>Average of attack</c:v>
                </c:pt>
              </c:strCache>
            </c:strRef>
          </c:tx>
          <c:spPr>
            <a:solidFill>
              <a:schemeClr val="accent3"/>
            </a:solidFill>
            <a:ln>
              <a:noFill/>
            </a:ln>
            <a:effectLst/>
          </c:spPr>
          <c:invertIfNegative val="0"/>
          <c:cat>
            <c:strRef>
              <c:f>'Pivot Analysis'!$J$7:$J$11</c:f>
              <c:strCache>
                <c:ptCount val="4"/>
                <c:pt idx="0">
                  <c:v>HIGH</c:v>
                </c:pt>
                <c:pt idx="1">
                  <c:v>Legendary</c:v>
                </c:pt>
                <c:pt idx="2">
                  <c:v>Low</c:v>
                </c:pt>
                <c:pt idx="3">
                  <c:v>Medium</c:v>
                </c:pt>
              </c:strCache>
            </c:strRef>
          </c:cat>
          <c:val>
            <c:numRef>
              <c:f>'Pivot Analysis'!$M$7:$M$11</c:f>
              <c:numCache>
                <c:formatCode>0.0</c:formatCode>
                <c:ptCount val="4"/>
                <c:pt idx="0">
                  <c:v>86.208333333333329</c:v>
                </c:pt>
                <c:pt idx="1">
                  <c:v>90.214285714285708</c:v>
                </c:pt>
                <c:pt idx="2">
                  <c:v>53.329896907216494</c:v>
                </c:pt>
                <c:pt idx="3">
                  <c:v>80.269565217391303</c:v>
                </c:pt>
              </c:numCache>
            </c:numRef>
          </c:val>
          <c:extLst>
            <c:ext xmlns:c16="http://schemas.microsoft.com/office/drawing/2014/chart" uri="{C3380CC4-5D6E-409C-BE32-E72D297353CC}">
              <c16:uniqueId val="{00000002-47BA-4130-BC9E-51C0CF799AF3}"/>
            </c:ext>
          </c:extLst>
        </c:ser>
        <c:ser>
          <c:idx val="3"/>
          <c:order val="3"/>
          <c:tx>
            <c:strRef>
              <c:f>'Pivot Analysis'!$N$6</c:f>
              <c:strCache>
                <c:ptCount val="1"/>
                <c:pt idx="0">
                  <c:v>Average of defense</c:v>
                </c:pt>
              </c:strCache>
            </c:strRef>
          </c:tx>
          <c:spPr>
            <a:solidFill>
              <a:schemeClr val="accent4"/>
            </a:solidFill>
            <a:ln>
              <a:noFill/>
            </a:ln>
            <a:effectLst/>
          </c:spPr>
          <c:invertIfNegative val="0"/>
          <c:cat>
            <c:strRef>
              <c:f>'Pivot Analysis'!$J$7:$J$11</c:f>
              <c:strCache>
                <c:ptCount val="4"/>
                <c:pt idx="0">
                  <c:v>HIGH</c:v>
                </c:pt>
                <c:pt idx="1">
                  <c:v>Legendary</c:v>
                </c:pt>
                <c:pt idx="2">
                  <c:v>Low</c:v>
                </c:pt>
                <c:pt idx="3">
                  <c:v>Medium</c:v>
                </c:pt>
              </c:strCache>
            </c:strRef>
          </c:cat>
          <c:val>
            <c:numRef>
              <c:f>'Pivot Analysis'!$N$7:$N$11</c:f>
              <c:numCache>
                <c:formatCode>0.0</c:formatCode>
                <c:ptCount val="4"/>
                <c:pt idx="0">
                  <c:v>81.916666666666671</c:v>
                </c:pt>
                <c:pt idx="1">
                  <c:v>84.285714285714292</c:v>
                </c:pt>
                <c:pt idx="2">
                  <c:v>52.618556701030926</c:v>
                </c:pt>
                <c:pt idx="3">
                  <c:v>77.573913043478257</c:v>
                </c:pt>
              </c:numCache>
            </c:numRef>
          </c:val>
          <c:extLst>
            <c:ext xmlns:c16="http://schemas.microsoft.com/office/drawing/2014/chart" uri="{C3380CC4-5D6E-409C-BE32-E72D297353CC}">
              <c16:uniqueId val="{00000003-47BA-4130-BC9E-51C0CF799AF3}"/>
            </c:ext>
          </c:extLst>
        </c:ser>
        <c:ser>
          <c:idx val="4"/>
          <c:order val="4"/>
          <c:tx>
            <c:strRef>
              <c:f>'Pivot Analysis'!$O$6</c:f>
              <c:strCache>
                <c:ptCount val="1"/>
                <c:pt idx="0">
                  <c:v>Average of special_attack</c:v>
                </c:pt>
              </c:strCache>
            </c:strRef>
          </c:tx>
          <c:spPr>
            <a:solidFill>
              <a:schemeClr val="accent5"/>
            </a:solidFill>
            <a:ln>
              <a:noFill/>
            </a:ln>
            <a:effectLst/>
          </c:spPr>
          <c:invertIfNegative val="0"/>
          <c:cat>
            <c:strRef>
              <c:f>'Pivot Analysis'!$J$7:$J$11</c:f>
              <c:strCache>
                <c:ptCount val="4"/>
                <c:pt idx="0">
                  <c:v>HIGH</c:v>
                </c:pt>
                <c:pt idx="1">
                  <c:v>Legendary</c:v>
                </c:pt>
                <c:pt idx="2">
                  <c:v>Low</c:v>
                </c:pt>
                <c:pt idx="3">
                  <c:v>Medium</c:v>
                </c:pt>
              </c:strCache>
            </c:strRef>
          </c:cat>
          <c:val>
            <c:numRef>
              <c:f>'Pivot Analysis'!$O$7:$O$11</c:f>
              <c:numCache>
                <c:formatCode>0.0</c:formatCode>
                <c:ptCount val="4"/>
                <c:pt idx="0">
                  <c:v>90</c:v>
                </c:pt>
                <c:pt idx="1">
                  <c:v>99.928571428571431</c:v>
                </c:pt>
                <c:pt idx="2">
                  <c:v>48.907216494845358</c:v>
                </c:pt>
                <c:pt idx="3">
                  <c:v>71.173913043478265</c:v>
                </c:pt>
              </c:numCache>
            </c:numRef>
          </c:val>
          <c:extLst>
            <c:ext xmlns:c16="http://schemas.microsoft.com/office/drawing/2014/chart" uri="{C3380CC4-5D6E-409C-BE32-E72D297353CC}">
              <c16:uniqueId val="{00000004-47BA-4130-BC9E-51C0CF799AF3}"/>
            </c:ext>
          </c:extLst>
        </c:ser>
        <c:ser>
          <c:idx val="5"/>
          <c:order val="5"/>
          <c:tx>
            <c:strRef>
              <c:f>'Pivot Analysis'!$P$6</c:f>
              <c:strCache>
                <c:ptCount val="1"/>
                <c:pt idx="0">
                  <c:v>Average of special_defense</c:v>
                </c:pt>
              </c:strCache>
            </c:strRef>
          </c:tx>
          <c:spPr>
            <a:solidFill>
              <a:schemeClr val="accent6"/>
            </a:solidFill>
            <a:ln>
              <a:noFill/>
            </a:ln>
            <a:effectLst/>
          </c:spPr>
          <c:invertIfNegative val="0"/>
          <c:cat>
            <c:strRef>
              <c:f>'Pivot Analysis'!$J$7:$J$11</c:f>
              <c:strCache>
                <c:ptCount val="4"/>
                <c:pt idx="0">
                  <c:v>HIGH</c:v>
                </c:pt>
                <c:pt idx="1">
                  <c:v>Legendary</c:v>
                </c:pt>
                <c:pt idx="2">
                  <c:v>Low</c:v>
                </c:pt>
                <c:pt idx="3">
                  <c:v>Medium</c:v>
                </c:pt>
              </c:strCache>
            </c:strRef>
          </c:cat>
          <c:val>
            <c:numRef>
              <c:f>'Pivot Analysis'!$P$7:$P$11</c:f>
              <c:numCache>
                <c:formatCode>0.0</c:formatCode>
                <c:ptCount val="4"/>
                <c:pt idx="0">
                  <c:v>87</c:v>
                </c:pt>
                <c:pt idx="1">
                  <c:v>109.14285714285714</c:v>
                </c:pt>
                <c:pt idx="2">
                  <c:v>47.27835051546392</c:v>
                </c:pt>
                <c:pt idx="3">
                  <c:v>77.486956521739131</c:v>
                </c:pt>
              </c:numCache>
            </c:numRef>
          </c:val>
          <c:extLst>
            <c:ext xmlns:c16="http://schemas.microsoft.com/office/drawing/2014/chart" uri="{C3380CC4-5D6E-409C-BE32-E72D297353CC}">
              <c16:uniqueId val="{00000005-47BA-4130-BC9E-51C0CF799AF3}"/>
            </c:ext>
          </c:extLst>
        </c:ser>
        <c:ser>
          <c:idx val="6"/>
          <c:order val="6"/>
          <c:tx>
            <c:strRef>
              <c:f>'Pivot Analysis'!$Q$6</c:f>
              <c:strCache>
                <c:ptCount val="1"/>
                <c:pt idx="0">
                  <c:v>Average of speed</c:v>
                </c:pt>
              </c:strCache>
            </c:strRef>
          </c:tx>
          <c:spPr>
            <a:solidFill>
              <a:schemeClr val="accent1">
                <a:lumMod val="60000"/>
              </a:schemeClr>
            </a:solidFill>
            <a:ln>
              <a:noFill/>
            </a:ln>
            <a:effectLst/>
          </c:spPr>
          <c:invertIfNegative val="0"/>
          <c:cat>
            <c:strRef>
              <c:f>'Pivot Analysis'!$J$7:$J$11</c:f>
              <c:strCache>
                <c:ptCount val="4"/>
                <c:pt idx="0">
                  <c:v>HIGH</c:v>
                </c:pt>
                <c:pt idx="1">
                  <c:v>Legendary</c:v>
                </c:pt>
                <c:pt idx="2">
                  <c:v>Low</c:v>
                </c:pt>
                <c:pt idx="3">
                  <c:v>Medium</c:v>
                </c:pt>
              </c:strCache>
            </c:strRef>
          </c:cat>
          <c:val>
            <c:numRef>
              <c:f>'Pivot Analysis'!$Q$7:$Q$11</c:f>
              <c:numCache>
                <c:formatCode>0.0</c:formatCode>
                <c:ptCount val="4"/>
                <c:pt idx="0">
                  <c:v>82</c:v>
                </c:pt>
                <c:pt idx="1">
                  <c:v>89.357142857142861</c:v>
                </c:pt>
                <c:pt idx="2">
                  <c:v>53.216494845360828</c:v>
                </c:pt>
                <c:pt idx="3">
                  <c:v>70.339130434782604</c:v>
                </c:pt>
              </c:numCache>
            </c:numRef>
          </c:val>
          <c:extLst>
            <c:ext xmlns:c16="http://schemas.microsoft.com/office/drawing/2014/chart" uri="{C3380CC4-5D6E-409C-BE32-E72D297353CC}">
              <c16:uniqueId val="{00000006-47BA-4130-BC9E-51C0CF799AF3}"/>
            </c:ext>
          </c:extLst>
        </c:ser>
        <c:ser>
          <c:idx val="7"/>
          <c:order val="7"/>
          <c:tx>
            <c:strRef>
              <c:f>'Pivot Analysis'!$R$6</c:f>
              <c:strCache>
                <c:ptCount val="1"/>
                <c:pt idx="0">
                  <c:v>Average of Total Stats</c:v>
                </c:pt>
              </c:strCache>
            </c:strRef>
          </c:tx>
          <c:spPr>
            <a:solidFill>
              <a:schemeClr val="accent2">
                <a:lumMod val="60000"/>
              </a:schemeClr>
            </a:solidFill>
            <a:ln>
              <a:noFill/>
            </a:ln>
            <a:effectLst/>
          </c:spPr>
          <c:invertIfNegative val="0"/>
          <c:cat>
            <c:strRef>
              <c:f>'Pivot Analysis'!$J$7:$J$11</c:f>
              <c:strCache>
                <c:ptCount val="4"/>
                <c:pt idx="0">
                  <c:v>HIGH</c:v>
                </c:pt>
                <c:pt idx="1">
                  <c:v>Legendary</c:v>
                </c:pt>
                <c:pt idx="2">
                  <c:v>Low</c:v>
                </c:pt>
                <c:pt idx="3">
                  <c:v>Medium</c:v>
                </c:pt>
              </c:strCache>
            </c:strRef>
          </c:cat>
          <c:val>
            <c:numRef>
              <c:f>'Pivot Analysis'!$R$7:$R$11</c:f>
              <c:numCache>
                <c:formatCode>0.0</c:formatCode>
                <c:ptCount val="4"/>
                <c:pt idx="0">
                  <c:v>506.66666666666669</c:v>
                </c:pt>
                <c:pt idx="1">
                  <c:v>593.57142857142856</c:v>
                </c:pt>
                <c:pt idx="2">
                  <c:v>303.77319587628864</c:v>
                </c:pt>
                <c:pt idx="3">
                  <c:v>449.87826086956522</c:v>
                </c:pt>
              </c:numCache>
            </c:numRef>
          </c:val>
          <c:extLst>
            <c:ext xmlns:c16="http://schemas.microsoft.com/office/drawing/2014/chart" uri="{C3380CC4-5D6E-409C-BE32-E72D297353CC}">
              <c16:uniqueId val="{00000007-47BA-4130-BC9E-51C0CF799AF3}"/>
            </c:ext>
          </c:extLst>
        </c:ser>
        <c:dLbls>
          <c:showLegendKey val="0"/>
          <c:showVal val="0"/>
          <c:showCatName val="0"/>
          <c:showSerName val="0"/>
          <c:showPercent val="0"/>
          <c:showBubbleSize val="0"/>
        </c:dLbls>
        <c:gapWidth val="219"/>
        <c:overlap val="-27"/>
        <c:axId val="834687135"/>
        <c:axId val="834689535"/>
      </c:barChart>
      <c:catAx>
        <c:axId val="83468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89535"/>
        <c:crosses val="autoZero"/>
        <c:auto val="1"/>
        <c:lblAlgn val="ctr"/>
        <c:lblOffset val="100"/>
        <c:noMultiLvlLbl val="0"/>
      </c:catAx>
      <c:valAx>
        <c:axId val="83468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87135"/>
        <c:crosses val="autoZero"/>
        <c:crossBetween val="between"/>
      </c:valAx>
      <c:spPr>
        <a:noFill/>
        <a:ln>
          <a:noFill/>
        </a:ln>
        <a:effectLst/>
      </c:spPr>
    </c:plotArea>
    <c:legend>
      <c:legendPos val="r"/>
      <c:layout>
        <c:manualLayout>
          <c:xMode val="edge"/>
          <c:yMode val="edge"/>
          <c:x val="0.67515314010406224"/>
          <c:y val="0.25550903195924041"/>
          <c:w val="0.31861723534558178"/>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xdr:row>
      <xdr:rowOff>1</xdr:rowOff>
    </xdr:from>
    <xdr:to>
      <xdr:col>4</xdr:col>
      <xdr:colOff>83887</xdr:colOff>
      <xdr:row>21</xdr:row>
      <xdr:rowOff>228601</xdr:rowOff>
    </xdr:to>
    <mc:AlternateContent xmlns:mc="http://schemas.openxmlformats.org/markup-compatibility/2006" xmlns:a14="http://schemas.microsoft.com/office/drawing/2010/main">
      <mc:Choice Requires="a14">
        <xdr:graphicFrame macro="">
          <xdr:nvGraphicFramePr>
            <xdr:cNvPr id="2" name="Pokemon Types">
              <a:extLst>
                <a:ext uri="{FF2B5EF4-FFF2-40B4-BE49-F238E27FC236}">
                  <a16:creationId xmlns:a16="http://schemas.microsoft.com/office/drawing/2014/main" id="{76B84F94-54E9-4E63-B11A-0863004032BF}"/>
                </a:ext>
              </a:extLst>
            </xdr:cNvPr>
            <xdr:cNvGraphicFramePr/>
          </xdr:nvGraphicFramePr>
          <xdr:xfrm>
            <a:off x="0" y="0"/>
            <a:ext cx="0" cy="0"/>
          </xdr:xfrm>
          <a:graphic>
            <a:graphicData uri="http://schemas.microsoft.com/office/drawing/2010/slicer">
              <sle:slicer xmlns:sle="http://schemas.microsoft.com/office/drawing/2010/slicer" name="Pokemon Types"/>
            </a:graphicData>
          </a:graphic>
        </xdr:graphicFrame>
      </mc:Choice>
      <mc:Fallback xmlns="">
        <xdr:sp macro="" textlink="">
          <xdr:nvSpPr>
            <xdr:cNvPr id="0" name=""/>
            <xdr:cNvSpPr>
              <a:spLocks noTextEdit="1"/>
            </xdr:cNvSpPr>
          </xdr:nvSpPr>
          <xdr:spPr>
            <a:xfrm>
              <a:off x="180975" y="3962401"/>
              <a:ext cx="1826962"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180974</xdr:colOff>
      <xdr:row>23</xdr:row>
      <xdr:rowOff>0</xdr:rowOff>
    </xdr:from>
    <xdr:to>
      <xdr:col>7</xdr:col>
      <xdr:colOff>9524</xdr:colOff>
      <xdr:row>37</xdr:row>
      <xdr:rowOff>19050</xdr:rowOff>
    </xdr:to>
    <xdr:graphicFrame macro="">
      <xdr:nvGraphicFramePr>
        <xdr:cNvPr id="5" name="Chart 4">
          <a:extLst>
            <a:ext uri="{FF2B5EF4-FFF2-40B4-BE49-F238E27FC236}">
              <a16:creationId xmlns:a16="http://schemas.microsoft.com/office/drawing/2014/main" id="{5BB42ACB-F723-4173-9E48-F1C6A6F0A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xdr:colOff>
      <xdr:row>23</xdr:row>
      <xdr:rowOff>0</xdr:rowOff>
    </xdr:from>
    <xdr:to>
      <xdr:col>14</xdr:col>
      <xdr:colOff>57150</xdr:colOff>
      <xdr:row>37</xdr:row>
      <xdr:rowOff>19050</xdr:rowOff>
    </xdr:to>
    <xdr:graphicFrame macro="">
      <xdr:nvGraphicFramePr>
        <xdr:cNvPr id="6" name="Chart 5">
          <a:extLst>
            <a:ext uri="{FF2B5EF4-FFF2-40B4-BE49-F238E27FC236}">
              <a16:creationId xmlns:a16="http://schemas.microsoft.com/office/drawing/2014/main" id="{9BF414D5-1872-4E51-B3CA-738EF2AE9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171450</xdr:colOff>
      <xdr:row>38</xdr:row>
      <xdr:rowOff>0</xdr:rowOff>
    </xdr:from>
    <xdr:to>
      <xdr:col>6</xdr:col>
      <xdr:colOff>571500</xdr:colOff>
      <xdr:row>52</xdr:row>
      <xdr:rowOff>19049</xdr:rowOff>
    </xdr:to>
    <xdr:graphicFrame macro="">
      <xdr:nvGraphicFramePr>
        <xdr:cNvPr id="7" name="Chart 6">
          <a:extLst>
            <a:ext uri="{FF2B5EF4-FFF2-40B4-BE49-F238E27FC236}">
              <a16:creationId xmlns:a16="http://schemas.microsoft.com/office/drawing/2014/main" id="{BF9DC4D0-1136-456B-AE20-23F0DCA85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47626</xdr:colOff>
      <xdr:row>38</xdr:row>
      <xdr:rowOff>0</xdr:rowOff>
    </xdr:from>
    <xdr:to>
      <xdr:col>14</xdr:col>
      <xdr:colOff>57151</xdr:colOff>
      <xdr:row>52</xdr:row>
      <xdr:rowOff>19050</xdr:rowOff>
    </xdr:to>
    <xdr:graphicFrame macro="">
      <xdr:nvGraphicFramePr>
        <xdr:cNvPr id="3" name="Chart 9">
          <a:extLst>
            <a:ext uri="{FF2B5EF4-FFF2-40B4-BE49-F238E27FC236}">
              <a16:creationId xmlns:a16="http://schemas.microsoft.com/office/drawing/2014/main" id="{5FBB9369-CC86-42C3-BDDB-00E3B4731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53</xdr:row>
      <xdr:rowOff>0</xdr:rowOff>
    </xdr:from>
    <xdr:to>
      <xdr:col>14</xdr:col>
      <xdr:colOff>57150</xdr:colOff>
      <xdr:row>65</xdr:row>
      <xdr:rowOff>57150</xdr:rowOff>
    </xdr:to>
    <xdr:graphicFrame macro="">
      <xdr:nvGraphicFramePr>
        <xdr:cNvPr id="14" name="Chart 13">
          <a:extLst>
            <a:ext uri="{FF2B5EF4-FFF2-40B4-BE49-F238E27FC236}">
              <a16:creationId xmlns:a16="http://schemas.microsoft.com/office/drawing/2014/main" id="{B6F61B9D-94C6-46AC-8604-07FEE304C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123825</xdr:colOff>
      <xdr:row>16</xdr:row>
      <xdr:rowOff>0</xdr:rowOff>
    </xdr:from>
    <xdr:to>
      <xdr:col>7</xdr:col>
      <xdr:colOff>209550</xdr:colOff>
      <xdr:row>21</xdr:row>
      <xdr:rowOff>228600</xdr:rowOff>
    </xdr:to>
    <mc:AlternateContent xmlns:mc="http://schemas.openxmlformats.org/markup-compatibility/2006">
      <mc:Choice xmlns:a14="http://schemas.microsoft.com/office/drawing/2010/main" Requires="a14">
        <xdr:graphicFrame macro="">
          <xdr:nvGraphicFramePr>
            <xdr:cNvPr id="8" name="Experience Tiers">
              <a:extLst>
                <a:ext uri="{FF2B5EF4-FFF2-40B4-BE49-F238E27FC236}">
                  <a16:creationId xmlns:a16="http://schemas.microsoft.com/office/drawing/2014/main" id="{FAB11EEA-6F80-B513-9026-0F5EE2D76064}"/>
                </a:ext>
              </a:extLst>
            </xdr:cNvPr>
            <xdr:cNvGraphicFramePr/>
          </xdr:nvGraphicFramePr>
          <xdr:xfrm>
            <a:off x="0" y="0"/>
            <a:ext cx="0" cy="0"/>
          </xdr:xfrm>
          <a:graphic>
            <a:graphicData uri="http://schemas.microsoft.com/office/drawing/2010/slicer">
              <sle:slicer xmlns:sle="http://schemas.microsoft.com/office/drawing/2010/slicer" name="Experience Tiers"/>
            </a:graphicData>
          </a:graphic>
        </xdr:graphicFrame>
      </mc:Choice>
      <mc:Fallback>
        <xdr:sp macro="" textlink="">
          <xdr:nvSpPr>
            <xdr:cNvPr id="0" name=""/>
            <xdr:cNvSpPr>
              <a:spLocks noTextEdit="1"/>
            </xdr:cNvSpPr>
          </xdr:nvSpPr>
          <xdr:spPr>
            <a:xfrm>
              <a:off x="2047875" y="3962400"/>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6</xdr:row>
      <xdr:rowOff>0</xdr:rowOff>
    </xdr:from>
    <xdr:to>
      <xdr:col>8</xdr:col>
      <xdr:colOff>600075</xdr:colOff>
      <xdr:row>21</xdr:row>
      <xdr:rowOff>180975</xdr:rowOff>
    </xdr:to>
    <xdr:graphicFrame macro="">
      <xdr:nvGraphicFramePr>
        <xdr:cNvPr id="3" name="Chart 2">
          <a:extLst>
            <a:ext uri="{FF2B5EF4-FFF2-40B4-BE49-F238E27FC236}">
              <a16:creationId xmlns:a16="http://schemas.microsoft.com/office/drawing/2014/main" id="{34FF8234-49D6-4575-813D-EEAFE2BE8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xdr:row>
      <xdr:rowOff>171451</xdr:rowOff>
    </xdr:from>
    <xdr:to>
      <xdr:col>17</xdr:col>
      <xdr:colOff>590550</xdr:colOff>
      <xdr:row>21</xdr:row>
      <xdr:rowOff>180976</xdr:rowOff>
    </xdr:to>
    <xdr:graphicFrame macro="">
      <xdr:nvGraphicFramePr>
        <xdr:cNvPr id="5" name="Chart 4">
          <a:extLst>
            <a:ext uri="{FF2B5EF4-FFF2-40B4-BE49-F238E27FC236}">
              <a16:creationId xmlns:a16="http://schemas.microsoft.com/office/drawing/2014/main" id="{66480E10-53E4-42EB-AA32-F8F4E1810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26</xdr:row>
      <xdr:rowOff>9525</xdr:rowOff>
    </xdr:from>
    <xdr:to>
      <xdr:col>8</xdr:col>
      <xdr:colOff>590550</xdr:colOff>
      <xdr:row>42</xdr:row>
      <xdr:rowOff>171450</xdr:rowOff>
    </xdr:to>
    <xdr:graphicFrame macro="">
      <xdr:nvGraphicFramePr>
        <xdr:cNvPr id="6" name="Chart 5">
          <a:extLst>
            <a:ext uri="{FF2B5EF4-FFF2-40B4-BE49-F238E27FC236}">
              <a16:creationId xmlns:a16="http://schemas.microsoft.com/office/drawing/2014/main" id="{FA2D2AE8-B5B1-4343-844E-D325AD86D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26</xdr:row>
      <xdr:rowOff>0</xdr:rowOff>
    </xdr:from>
    <xdr:to>
      <xdr:col>17</xdr:col>
      <xdr:colOff>600075</xdr:colOff>
      <xdr:row>42</xdr:row>
      <xdr:rowOff>190500</xdr:rowOff>
    </xdr:to>
    <xdr:graphicFrame macro="">
      <xdr:nvGraphicFramePr>
        <xdr:cNvPr id="8" name="Chart 7">
          <a:extLst>
            <a:ext uri="{FF2B5EF4-FFF2-40B4-BE49-F238E27FC236}">
              <a16:creationId xmlns:a16="http://schemas.microsoft.com/office/drawing/2014/main" id="{52822E9E-66FE-4A25-ACF9-E55E7C158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vin ye" refreshedDate="46065.635698379629" createdVersion="8" refreshedVersion="8" minRefreshableVersion="3" recordCount="250" xr:uid="{5693F62A-A44B-4319-AA38-CEB6A23CA3A9}">
  <cacheSource type="worksheet">
    <worksheetSource ref="A1:Q251" sheet="Clean Data"/>
  </cacheSource>
  <cacheFields count="17">
    <cacheField name="pokedex_id" numFmtId="0">
      <sharedItems containsSemiMixedTypes="0" containsString="0" containsNumber="1" containsInteger="1" minValue="1" maxValue="250"/>
    </cacheField>
    <cacheField name="name" numFmtId="0">
      <sharedItems count="250">
        <s v="Bulbasaur"/>
        <s v="Ivysaur"/>
        <s v="Venusaur"/>
        <s v="Charmander"/>
        <s v="Charmeleon"/>
        <s v="Charizard"/>
        <s v="Squirtle"/>
        <s v="Wartortle"/>
        <s v="Blastoise"/>
        <s v="Caterpie"/>
        <s v="Metapod"/>
        <s v="Butterfree"/>
        <s v="Weedle"/>
        <s v="Kakuna"/>
        <s v="Beedrill"/>
        <s v="Pidgey"/>
        <s v="Pidgeotto"/>
        <s v="Pidgeot"/>
        <s v="Rattata"/>
        <s v="Raticate"/>
        <s v="Spearow"/>
        <s v="Fearow"/>
        <s v="Ekans"/>
        <s v="Arbok"/>
        <s v="Pikachu"/>
        <s v="Raichu"/>
        <s v="Sandshrew"/>
        <s v="Sandslash"/>
        <s v="Nidoran-f"/>
        <s v="Nidorina"/>
        <s v="Nidoqueen"/>
        <s v="Nidoran-m"/>
        <s v="Nidorino"/>
        <s v="Nidoking"/>
        <s v="Clefairy"/>
        <s v="Clefable"/>
        <s v="Vulpix"/>
        <s v="Ninetales"/>
        <s v="Jigglypuff"/>
        <s v="Wigglytuff"/>
        <s v="Zubat"/>
        <s v="Golbat"/>
        <s v="Oddish"/>
        <s v="Gloom"/>
        <s v="Vileplume"/>
        <s v="Paras"/>
        <s v="Parasect"/>
        <s v="Venonat"/>
        <s v="Venomoth"/>
        <s v="Diglett"/>
        <s v="Dugtrio"/>
        <s v="Meowth"/>
        <s v="Persian"/>
        <s v="Psyduck"/>
        <s v="Golduck"/>
        <s v="Mankey"/>
        <s v="Primeape"/>
        <s v="Growlithe"/>
        <s v="Arcanine"/>
        <s v="Poliwag"/>
        <s v="Poliwhirl"/>
        <s v="Poliwrath"/>
        <s v="Abra"/>
        <s v="Kadabra"/>
        <s v="Alakazam"/>
        <s v="Machop"/>
        <s v="Machoke"/>
        <s v="Machamp"/>
        <s v="Bellsprout"/>
        <s v="Weepinbell"/>
        <s v="Victreebel"/>
        <s v="Tentacool"/>
        <s v="Tentacruel"/>
        <s v="Geodude"/>
        <s v="Graveler"/>
        <s v="Golem"/>
        <s v="Ponyta"/>
        <s v="Rapidash"/>
        <s v="Slowpoke"/>
        <s v="Slowbro"/>
        <s v="Magnemite"/>
        <s v="Magneton"/>
        <s v="Farfetchd"/>
        <s v="Doduo"/>
        <s v="Dodrio"/>
        <s v="Seel"/>
        <s v="Dewgong"/>
        <s v="Grimer"/>
        <s v="Muk"/>
        <s v="Shellder"/>
        <s v="Cloyster"/>
        <s v="Gastly"/>
        <s v="Haunter"/>
        <s v="Gengar"/>
        <s v="Onix"/>
        <s v="Drowzee"/>
        <s v="Hypno"/>
        <s v="Krabby"/>
        <s v="Kingler"/>
        <s v="Voltorb"/>
        <s v="Electrode"/>
        <s v="Exeggcute"/>
        <s v="Exeggutor"/>
        <s v="Cubone"/>
        <s v="Marowak"/>
        <s v="Hitmonlee"/>
        <s v="Hitmonchan"/>
        <s v="Lickitung"/>
        <s v="Koffing"/>
        <s v="Weezing"/>
        <s v="Rhyhorn"/>
        <s v="Rhydon"/>
        <s v="Chansey"/>
        <s v="Tangela"/>
        <s v="Kangaskhan"/>
        <s v="Horsea"/>
        <s v="Seadra"/>
        <s v="Goldeen"/>
        <s v="Seaking"/>
        <s v="Staryu"/>
        <s v="Starmie"/>
        <s v="Mr-mime"/>
        <s v="Scyther"/>
        <s v="Jynx"/>
        <s v="Electabuzz"/>
        <s v="Magmar"/>
        <s v="Pinsir"/>
        <s v="Tauros"/>
        <s v="Magikarp"/>
        <s v="Gyarados"/>
        <s v="Lapras"/>
        <s v="Ditto"/>
        <s v="Eevee"/>
        <s v="Vaporeon"/>
        <s v="Jolteon"/>
        <s v="Flareon"/>
        <s v="Porygon"/>
        <s v="Omanyte"/>
        <s v="Omastar"/>
        <s v="Kabuto"/>
        <s v="Kabutops"/>
        <s v="Aerodactyl"/>
        <s v="Snorlax"/>
        <s v="Articuno"/>
        <s v="Zapdos"/>
        <s v="Moltres"/>
        <s v="Dratini"/>
        <s v="Dragonair"/>
        <s v="Dragonite"/>
        <s v="Mewtwo"/>
        <s v="Mew"/>
        <s v="Chikorita"/>
        <s v="Bayleef"/>
        <s v="Meganium"/>
        <s v="Cyndaquil"/>
        <s v="Quilava"/>
        <s v="Typhlosion"/>
        <s v="Totodile"/>
        <s v="Croconaw"/>
        <s v="Feraligatr"/>
        <s v="Sentret"/>
        <s v="Furret"/>
        <s v="Hoothoot"/>
        <s v="Noctowl"/>
        <s v="Ledyba"/>
        <s v="Ledian"/>
        <s v="Spinarak"/>
        <s v="Ariados"/>
        <s v="Crobat"/>
        <s v="Chinchou"/>
        <s v="Lanturn"/>
        <s v="Pichu"/>
        <s v="Cleffa"/>
        <s v="Igglybuff"/>
        <s v="Togepi"/>
        <s v="Togetic"/>
        <s v="Natu"/>
        <s v="Xatu"/>
        <s v="Mareep"/>
        <s v="Flaaffy"/>
        <s v="Ampharos"/>
        <s v="Bellossom"/>
        <s v="Marill"/>
        <s v="Azumarill"/>
        <s v="Sudowoodo"/>
        <s v="Politoed"/>
        <s v="Hoppip"/>
        <s v="Skiploom"/>
        <s v="Jumpluff"/>
        <s v="Aipom"/>
        <s v="Sunkern"/>
        <s v="Sunflora"/>
        <s v="Yanma"/>
        <s v="Wooper"/>
        <s v="Quagsire"/>
        <s v="Espeon"/>
        <s v="Umbreon"/>
        <s v="Murkrow"/>
        <s v="Slowking"/>
        <s v="Misdreavus"/>
        <s v="Unown"/>
        <s v="Wobbuffet"/>
        <s v="Girafarig"/>
        <s v="Pineco"/>
        <s v="Forretress"/>
        <s v="Dunsparce"/>
        <s v="Gligar"/>
        <s v="Steelix"/>
        <s v="Snubbull"/>
        <s v="Granbull"/>
        <s v="Qwilfish"/>
        <s v="Scizor"/>
        <s v="Shuckle"/>
        <s v="Heracross"/>
        <s v="Sneasel"/>
        <s v="Teddiursa"/>
        <s v="Ursaring"/>
        <s v="Slugma"/>
        <s v="Magcargo"/>
        <s v="Swinub"/>
        <s v="Piloswine"/>
        <s v="Corsola"/>
        <s v="Remoraid"/>
        <s v="Octillery"/>
        <s v="Delibird"/>
        <s v="Mantine"/>
        <s v="Skarmory"/>
        <s v="Houndour"/>
        <s v="Houndoom"/>
        <s v="Kingdra"/>
        <s v="Phanpy"/>
        <s v="Donphan"/>
        <s v="Porygon2"/>
        <s v="Stantler"/>
        <s v="Smeargle"/>
        <s v="Tyrogue"/>
        <s v="Hitmontop"/>
        <s v="Smoochum"/>
        <s v="Elekid"/>
        <s v="Magby"/>
        <s v="Miltank"/>
        <s v="Blissey"/>
        <s v="Raikou"/>
        <s v="Entei"/>
        <s v="Suicune"/>
        <s v="Larvitar"/>
        <s v="Pupitar"/>
        <s v="Tyranitar"/>
        <s v="Lugia"/>
        <s v="Ho-oh"/>
      </sharedItems>
    </cacheField>
    <cacheField name="height" numFmtId="0">
      <sharedItems containsSemiMixedTypes="0" containsString="0" containsNumber="1" containsInteger="1" minValue="2" maxValue="92"/>
    </cacheField>
    <cacheField name="weight" numFmtId="0">
      <sharedItems containsSemiMixedTypes="0" containsString="0" containsNumber="1" containsInteger="1" minValue="1" maxValue="4600"/>
    </cacheField>
    <cacheField name="base_experience" numFmtId="0">
      <sharedItems containsSemiMixedTypes="0" containsString="0" containsNumber="1" containsInteger="1" minValue="36" maxValue="608"/>
    </cacheField>
    <cacheField name="type_1" numFmtId="0">
      <sharedItems count="17">
        <s v="grass"/>
        <s v="fire"/>
        <s v="water"/>
        <s v="bug"/>
        <s v="normal"/>
        <s v="poison"/>
        <s v="electric"/>
        <s v="ground"/>
        <s v="fairy"/>
        <s v="fighting"/>
        <s v="psychic"/>
        <s v="rock"/>
        <s v="ghost"/>
        <s v="ice"/>
        <s v="dragon"/>
        <s v="dark"/>
        <s v="steel"/>
      </sharedItems>
    </cacheField>
    <cacheField name="type_2" numFmtId="0">
      <sharedItems count="16">
        <s v="poison"/>
        <s v="None"/>
        <s v="flying"/>
        <s v="ground"/>
        <s v="fairy"/>
        <s v="grass"/>
        <s v="fighting"/>
        <s v="psychic"/>
        <s v="steel"/>
        <s v="ice"/>
        <s v="rock"/>
        <s v="water"/>
        <s v="electric"/>
        <s v="fire"/>
        <s v="dragon"/>
        <s v="dark"/>
      </sharedItems>
    </cacheField>
    <cacheField name="hp" numFmtId="0">
      <sharedItems containsSemiMixedTypes="0" containsString="0" containsNumber="1" containsInteger="1" minValue="10" maxValue="255"/>
    </cacheField>
    <cacheField name="attack" numFmtId="0">
      <sharedItems containsSemiMixedTypes="0" containsString="0" containsNumber="1" containsInteger="1" minValue="5" maxValue="134"/>
    </cacheField>
    <cacheField name="defense" numFmtId="0">
      <sharedItems containsSemiMixedTypes="0" containsString="0" containsNumber="1" containsInteger="1" minValue="5" maxValue="230"/>
    </cacheField>
    <cacheField name="special_attack" numFmtId="0">
      <sharedItems containsSemiMixedTypes="0" containsString="0" containsNumber="1" containsInteger="1" minValue="10" maxValue="154"/>
    </cacheField>
    <cacheField name="special_defense" numFmtId="0">
      <sharedItems containsSemiMixedTypes="0" containsString="0" containsNumber="1" containsInteger="1" minValue="20" maxValue="230"/>
    </cacheField>
    <cacheField name="speed" numFmtId="0">
      <sharedItems containsSemiMixedTypes="0" containsString="0" containsNumber="1" containsInteger="1" minValue="5" maxValue="150"/>
    </cacheField>
    <cacheField name="Total Stats" numFmtId="0">
      <sharedItems containsSemiMixedTypes="0" containsString="0" containsNumber="1" containsInteger="1" minValue="180" maxValue="680"/>
    </cacheField>
    <cacheField name="Average Stats" numFmtId="1">
      <sharedItems containsSemiMixedTypes="0" containsString="0" containsNumber="1" minValue="30" maxValue="113.33333333333333"/>
    </cacheField>
    <cacheField name="BMI Metric (Weight/Height Ratio)" numFmtId="164">
      <sharedItems containsSemiMixedTypes="0" containsString="0" containsNumber="1" minValue="6.25E-2" maxValue="219.04761904761904"/>
    </cacheField>
    <cacheField name="Type Count" numFmtId="0">
      <sharedItems containsSemiMixedTypes="0" containsString="0" containsNumber="1" containsInteger="1" minValue="1" maxValue="2"/>
    </cacheField>
  </cacheFields>
  <extLst>
    <ext xmlns:x14="http://schemas.microsoft.com/office/spreadsheetml/2009/9/main" uri="{725AE2AE-9491-48be-B2B4-4EB974FC3084}">
      <x14:pivotCacheDefinition pivotCacheId="9527656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vin ye" refreshedDate="46065.651932638888" createdVersion="8" refreshedVersion="8" minRefreshableVersion="3" recordCount="250" xr:uid="{E8AEC0C0-1859-419B-9D8F-BC50F462A75D}">
  <cacheSource type="worksheet">
    <worksheetSource ref="B1:R251" sheet="Clean Data"/>
  </cacheSource>
  <cacheFields count="17">
    <cacheField name="name" numFmtId="0">
      <sharedItems count="250">
        <s v="Bulbasaur"/>
        <s v="Ivysaur"/>
        <s v="Venusaur"/>
        <s v="Charmander"/>
        <s v="Charmeleon"/>
        <s v="Charizard"/>
        <s v="Squirtle"/>
        <s v="Wartortle"/>
        <s v="Blastoise"/>
        <s v="Caterpie"/>
        <s v="Metapod"/>
        <s v="Butterfree"/>
        <s v="Weedle"/>
        <s v="Kakuna"/>
        <s v="Beedrill"/>
        <s v="Pidgey"/>
        <s v="Pidgeotto"/>
        <s v="Pidgeot"/>
        <s v="Rattata"/>
        <s v="Raticate"/>
        <s v="Spearow"/>
        <s v="Fearow"/>
        <s v="Ekans"/>
        <s v="Arbok"/>
        <s v="Pikachu"/>
        <s v="Raichu"/>
        <s v="Sandshrew"/>
        <s v="Sandslash"/>
        <s v="Nidoran-f"/>
        <s v="Nidorina"/>
        <s v="Nidoqueen"/>
        <s v="Nidoran-m"/>
        <s v="Nidorino"/>
        <s v="Nidoking"/>
        <s v="Clefairy"/>
        <s v="Clefable"/>
        <s v="Vulpix"/>
        <s v="Ninetales"/>
        <s v="Jigglypuff"/>
        <s v="Wigglytuff"/>
        <s v="Zubat"/>
        <s v="Golbat"/>
        <s v="Oddish"/>
        <s v="Gloom"/>
        <s v="Vileplume"/>
        <s v="Paras"/>
        <s v="Parasect"/>
        <s v="Venonat"/>
        <s v="Venomoth"/>
        <s v="Diglett"/>
        <s v="Dugtrio"/>
        <s v="Meowth"/>
        <s v="Persian"/>
        <s v="Psyduck"/>
        <s v="Golduck"/>
        <s v="Mankey"/>
        <s v="Primeape"/>
        <s v="Growlithe"/>
        <s v="Arcanine"/>
        <s v="Poliwag"/>
        <s v="Poliwhirl"/>
        <s v="Poliwrath"/>
        <s v="Abra"/>
        <s v="Kadabra"/>
        <s v="Alakazam"/>
        <s v="Machop"/>
        <s v="Machoke"/>
        <s v="Machamp"/>
        <s v="Bellsprout"/>
        <s v="Weepinbell"/>
        <s v="Victreebel"/>
        <s v="Tentacool"/>
        <s v="Tentacruel"/>
        <s v="Geodude"/>
        <s v="Graveler"/>
        <s v="Golem"/>
        <s v="Ponyta"/>
        <s v="Rapidash"/>
        <s v="Slowpoke"/>
        <s v="Slowbro"/>
        <s v="Magnemite"/>
        <s v="Magneton"/>
        <s v="Farfetchd"/>
        <s v="Doduo"/>
        <s v="Dodrio"/>
        <s v="Seel"/>
        <s v="Dewgong"/>
        <s v="Grimer"/>
        <s v="Muk"/>
        <s v="Shellder"/>
        <s v="Cloyster"/>
        <s v="Gastly"/>
        <s v="Haunter"/>
        <s v="Gengar"/>
        <s v="Onix"/>
        <s v="Drowzee"/>
        <s v="Hypno"/>
        <s v="Krabby"/>
        <s v="Kingler"/>
        <s v="Voltorb"/>
        <s v="Electrode"/>
        <s v="Exeggcute"/>
        <s v="Exeggutor"/>
        <s v="Cubone"/>
        <s v="Marowak"/>
        <s v="Hitmonlee"/>
        <s v="Hitmonchan"/>
        <s v="Lickitung"/>
        <s v="Koffing"/>
        <s v="Weezing"/>
        <s v="Rhyhorn"/>
        <s v="Rhydon"/>
        <s v="Chansey"/>
        <s v="Tangela"/>
        <s v="Kangaskhan"/>
        <s v="Horsea"/>
        <s v="Seadra"/>
        <s v="Goldeen"/>
        <s v="Seaking"/>
        <s v="Staryu"/>
        <s v="Starmie"/>
        <s v="Mr-mime"/>
        <s v="Scyther"/>
        <s v="Jynx"/>
        <s v="Electabuzz"/>
        <s v="Magmar"/>
        <s v="Pinsir"/>
        <s v="Tauros"/>
        <s v="Magikarp"/>
        <s v="Gyarados"/>
        <s v="Lapras"/>
        <s v="Ditto"/>
        <s v="Eevee"/>
        <s v="Vaporeon"/>
        <s v="Jolteon"/>
        <s v="Flareon"/>
        <s v="Porygon"/>
        <s v="Omanyte"/>
        <s v="Omastar"/>
        <s v="Kabuto"/>
        <s v="Kabutops"/>
        <s v="Aerodactyl"/>
        <s v="Snorlax"/>
        <s v="Articuno"/>
        <s v="Zapdos"/>
        <s v="Moltres"/>
        <s v="Dratini"/>
        <s v="Dragonair"/>
        <s v="Dragonite"/>
        <s v="Mewtwo"/>
        <s v="Mew"/>
        <s v="Chikorita"/>
        <s v="Bayleef"/>
        <s v="Meganium"/>
        <s v="Cyndaquil"/>
        <s v="Quilava"/>
        <s v="Typhlosion"/>
        <s v="Totodile"/>
        <s v="Croconaw"/>
        <s v="Feraligatr"/>
        <s v="Sentret"/>
        <s v="Furret"/>
        <s v="Hoothoot"/>
        <s v="Noctowl"/>
        <s v="Ledyba"/>
        <s v="Ledian"/>
        <s v="Spinarak"/>
        <s v="Ariados"/>
        <s v="Crobat"/>
        <s v="Chinchou"/>
        <s v="Lanturn"/>
        <s v="Pichu"/>
        <s v="Cleffa"/>
        <s v="Igglybuff"/>
        <s v="Togepi"/>
        <s v="Togetic"/>
        <s v="Natu"/>
        <s v="Xatu"/>
        <s v="Mareep"/>
        <s v="Flaaffy"/>
        <s v="Ampharos"/>
        <s v="Bellossom"/>
        <s v="Marill"/>
        <s v="Azumarill"/>
        <s v="Sudowoodo"/>
        <s v="Politoed"/>
        <s v="Hoppip"/>
        <s v="Skiploom"/>
        <s v="Jumpluff"/>
        <s v="Aipom"/>
        <s v="Sunkern"/>
        <s v="Sunflora"/>
        <s v="Yanma"/>
        <s v="Wooper"/>
        <s v="Quagsire"/>
        <s v="Espeon"/>
        <s v="Umbreon"/>
        <s v="Murkrow"/>
        <s v="Slowking"/>
        <s v="Misdreavus"/>
        <s v="Unown"/>
        <s v="Wobbuffet"/>
        <s v="Girafarig"/>
        <s v="Pineco"/>
        <s v="Forretress"/>
        <s v="Dunsparce"/>
        <s v="Gligar"/>
        <s v="Steelix"/>
        <s v="Snubbull"/>
        <s v="Granbull"/>
        <s v="Qwilfish"/>
        <s v="Scizor"/>
        <s v="Shuckle"/>
        <s v="Heracross"/>
        <s v="Sneasel"/>
        <s v="Teddiursa"/>
        <s v="Ursaring"/>
        <s v="Slugma"/>
        <s v="Magcargo"/>
        <s v="Swinub"/>
        <s v="Piloswine"/>
        <s v="Corsola"/>
        <s v="Remoraid"/>
        <s v="Octillery"/>
        <s v="Delibird"/>
        <s v="Mantine"/>
        <s v="Skarmory"/>
        <s v="Houndour"/>
        <s v="Houndoom"/>
        <s v="Kingdra"/>
        <s v="Phanpy"/>
        <s v="Donphan"/>
        <s v="Porygon2"/>
        <s v="Stantler"/>
        <s v="Smeargle"/>
        <s v="Tyrogue"/>
        <s v="Hitmontop"/>
        <s v="Smoochum"/>
        <s v="Elekid"/>
        <s v="Magby"/>
        <s v="Miltank"/>
        <s v="Blissey"/>
        <s v="Raikou"/>
        <s v="Entei"/>
        <s v="Suicune"/>
        <s v="Larvitar"/>
        <s v="Pupitar"/>
        <s v="Tyranitar"/>
        <s v="Lugia"/>
        <s v="Ho-oh"/>
      </sharedItems>
    </cacheField>
    <cacheField name="height" numFmtId="0">
      <sharedItems containsSemiMixedTypes="0" containsString="0" containsNumber="1" containsInteger="1" minValue="2" maxValue="92"/>
    </cacheField>
    <cacheField name="weight" numFmtId="0">
      <sharedItems containsSemiMixedTypes="0" containsString="0" containsNumber="1" containsInteger="1" minValue="1" maxValue="4600"/>
    </cacheField>
    <cacheField name="base_experience" numFmtId="0">
      <sharedItems containsSemiMixedTypes="0" containsString="0" containsNumber="1" containsInteger="1" minValue="36" maxValue="608"/>
    </cacheField>
    <cacheField name="type_1" numFmtId="0">
      <sharedItems count="17">
        <s v="grass"/>
        <s v="fire"/>
        <s v="water"/>
        <s v="bug"/>
        <s v="normal"/>
        <s v="poison"/>
        <s v="electric"/>
        <s v="ground"/>
        <s v="fairy"/>
        <s v="fighting"/>
        <s v="psychic"/>
        <s v="rock"/>
        <s v="ghost"/>
        <s v="ice"/>
        <s v="dragon"/>
        <s v="dark"/>
        <s v="steel"/>
      </sharedItems>
    </cacheField>
    <cacheField name="type_2" numFmtId="0">
      <sharedItems/>
    </cacheField>
    <cacheField name="hp" numFmtId="0">
      <sharedItems containsSemiMixedTypes="0" containsString="0" containsNumber="1" containsInteger="1" minValue="10" maxValue="255"/>
    </cacheField>
    <cacheField name="attack" numFmtId="0">
      <sharedItems containsSemiMixedTypes="0" containsString="0" containsNumber="1" containsInteger="1" minValue="5" maxValue="134"/>
    </cacheField>
    <cacheField name="defense" numFmtId="0">
      <sharedItems containsSemiMixedTypes="0" containsString="0" containsNumber="1" containsInteger="1" minValue="5" maxValue="230"/>
    </cacheField>
    <cacheField name="special_attack" numFmtId="0">
      <sharedItems containsSemiMixedTypes="0" containsString="0" containsNumber="1" containsInteger="1" minValue="10" maxValue="154"/>
    </cacheField>
    <cacheField name="special_defense" numFmtId="0">
      <sharedItems containsSemiMixedTypes="0" containsString="0" containsNumber="1" containsInteger="1" minValue="20" maxValue="230"/>
    </cacheField>
    <cacheField name="speed" numFmtId="0">
      <sharedItems containsSemiMixedTypes="0" containsString="0" containsNumber="1" containsInteger="1" minValue="5" maxValue="150"/>
    </cacheField>
    <cacheField name="Total Stats" numFmtId="0">
      <sharedItems containsSemiMixedTypes="0" containsString="0" containsNumber="1" containsInteger="1" minValue="180" maxValue="680"/>
    </cacheField>
    <cacheField name="Average Stats" numFmtId="1">
      <sharedItems containsSemiMixedTypes="0" containsString="0" containsNumber="1" minValue="30" maxValue="113.33333333333333"/>
    </cacheField>
    <cacheField name="BMI Metric (Weight/Height Ratio)" numFmtId="164">
      <sharedItems containsSemiMixedTypes="0" containsString="0" containsNumber="1" minValue="6.25E-2" maxValue="219.04761904761904"/>
    </cacheField>
    <cacheField name="Type Count" numFmtId="0">
      <sharedItems containsSemiMixedTypes="0" containsString="0" containsNumber="1" containsInteger="1" minValue="1" maxValue="2"/>
    </cacheField>
    <cacheField name="Experience Tiers" numFmtId="0">
      <sharedItems count="4">
        <s v="Low"/>
        <s v="Medium"/>
        <s v="HIGH"/>
        <s v="Legendary"/>
      </sharedItems>
    </cacheField>
  </cacheFields>
  <extLst>
    <ext xmlns:x14="http://schemas.microsoft.com/office/spreadsheetml/2009/9/main" uri="{725AE2AE-9491-48be-B2B4-4EB974FC3084}">
      <x14:pivotCacheDefinition pivotCacheId="207552071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vin ye" refreshedDate="46065.695885532405" createdVersion="8" refreshedVersion="8" minRefreshableVersion="3" recordCount="250" xr:uid="{08CB7302-3E71-497B-9B3E-1E710B617D02}">
  <cacheSource type="worksheet">
    <worksheetSource ref="A1:R251" sheet="Clean Data"/>
  </cacheSource>
  <cacheFields count="18">
    <cacheField name="pokedex_id" numFmtId="0">
      <sharedItems containsSemiMixedTypes="0" containsString="0" containsNumber="1" containsInteger="1" minValue="1" maxValue="250"/>
    </cacheField>
    <cacheField name="name" numFmtId="0">
      <sharedItems count="250">
        <s v="Blissey"/>
        <s v="Chansey"/>
        <s v="Wobbuffet"/>
        <s v="Snorlax"/>
        <s v="Wigglytuff"/>
        <s v="Vaporeon"/>
        <s v="Lapras"/>
        <s v="Lanturn"/>
        <s v="Jigglypuff"/>
        <s v="Entei"/>
        <s v="Mewtwo"/>
        <s v="Lugia"/>
        <s v="Ho-oh"/>
        <s v="Rhydon"/>
        <s v="Kangaskhan"/>
        <s v="Muk"/>
        <s v="Dunsparce"/>
        <s v="Azumarill"/>
        <s v="Piloswine"/>
        <s v="Noctowl"/>
        <s v="Suicune"/>
        <s v="Mew"/>
        <s v="Tyranitar"/>
        <s v="Quagsire"/>
        <s v="Clefable"/>
        <s v="Slowbro"/>
        <s v="Slowking"/>
        <s v="Miltank"/>
        <s v="Umbreon"/>
        <s v="Exeggutor"/>
        <s v="Gyarados"/>
        <s v="Dragonite"/>
        <s v="Igglybuff"/>
        <s v="Slowpoke"/>
        <s v="Phanpy"/>
        <s v="Lickitung"/>
        <s v="Granbull"/>
        <s v="Dewgong"/>
        <s v="Politoed"/>
        <s v="Ursaring"/>
        <s v="Donphan"/>
        <s v="Nidoqueen"/>
        <s v="Machamp"/>
        <s v="Poliwrath"/>
        <s v="Ampharos"/>
        <s v="Arcanine"/>
        <s v="Articuno"/>
        <s v="Zapdos"/>
        <s v="Moltres"/>
        <s v="Raikou"/>
        <s v="Furret"/>
        <s v="Hypno"/>
        <s v="Mantine"/>
        <s v="Porygon2"/>
        <s v="Feraligatr"/>
        <s v="Crobat"/>
        <s v="Pidgeot"/>
        <s v="Nidoking"/>
        <s v="Grimer"/>
        <s v="Rhyhorn"/>
        <s v="Machoke"/>
        <s v="Seaking"/>
        <s v="Victreebel"/>
        <s v="Golem"/>
        <s v="Golduck"/>
        <s v="Heracross"/>
        <s v="Tentacruel"/>
        <s v="Aerodactyl"/>
        <s v="Venusaur"/>
        <s v="Meganium"/>
        <s v="Blastoise"/>
        <s v="Charizard"/>
        <s v="Typhlosion"/>
        <s v="Chinchou"/>
        <s v="Sunflora"/>
        <s v="Sandslash"/>
        <s v="Golbat"/>
        <s v="Jumpluff"/>
        <s v="Forretress"/>
        <s v="Octillery"/>
        <s v="Vileplume"/>
        <s v="Tauros"/>
        <s v="Bellossom"/>
        <s v="Houndoom"/>
        <s v="Steelix"/>
        <s v="Kingdra"/>
        <s v="Stantler"/>
        <s v="Ninetales"/>
        <s v="Marill"/>
        <s v="Machop"/>
        <s v="Clefairy"/>
        <s v="Nidorina"/>
        <s v="Flaaffy"/>
        <s v="Ariados"/>
        <s v="Sudowoodo"/>
        <s v="Pupitar"/>
        <s v="Venomoth"/>
        <s v="Girafarig"/>
        <s v="Omastar"/>
        <s v="Scyther"/>
        <s v="Scizor"/>
        <s v="Seel"/>
        <s v="Poliwhirl"/>
        <s v="Weepinbell"/>
        <s v="Yanma"/>
        <s v="Beedrill"/>
        <s v="Porygon"/>
        <s v="Croconaw"/>
        <s v="Corsola"/>
        <s v="Gligar"/>
        <s v="Tangela"/>
        <s v="Persian"/>
        <s v="Qwilfish"/>
        <s v="Fearow"/>
        <s v="Primeape"/>
        <s v="Jynx"/>
        <s v="Skarmory"/>
        <s v="Xatu"/>
        <s v="Weezing"/>
        <s v="Electabuzz"/>
        <s v="Magmar"/>
        <s v="Rapidash"/>
        <s v="Pinsir"/>
        <s v="Jolteon"/>
        <s v="Flareon"/>
        <s v="Espeon"/>
        <s v="Pidgeotto"/>
        <s v="Nidorino"/>
        <s v="Dragonair"/>
        <s v="Hoothoot"/>
        <s v="Snubbull"/>
        <s v="Venonat"/>
        <s v="Exeggcute"/>
        <s v="Drowzee"/>
        <s v="Teddiursa"/>
        <s v="Butterfree"/>
        <s v="Gloom"/>
        <s v="Ivysaur"/>
        <s v="Parasect"/>
        <s v="Bayleef"/>
        <s v="Murkrow"/>
        <s v="Marowak"/>
        <s v="Magcargo"/>
        <s v="Misdreavus"/>
        <s v="Arbok"/>
        <s v="Dodrio"/>
        <s v="Raichu"/>
        <s v="Electrode"/>
        <s v="Kabutops"/>
        <s v="Gengar"/>
        <s v="Starmie"/>
        <s v="Wartortle"/>
        <s v="Charmeleon"/>
        <s v="Quilava"/>
        <s v="Wooper"/>
        <s v="Smeargle"/>
        <s v="Nidoran-f"/>
        <s v="Mareep"/>
        <s v="Eevee"/>
        <s v="Skiploom"/>
        <s v="Growlithe"/>
        <s v="Aipom"/>
        <s v="Graveler"/>
        <s v="Ledian"/>
        <s v="Togetic"/>
        <s v="Raticate"/>
        <s v="Sneasel"/>
        <s v="Seadra"/>
        <s v="Kingler"/>
        <s v="Alakazam"/>
        <s v="Farfetchd"/>
        <s v="Metapod"/>
        <s v="Cleffa"/>
        <s v="Swinub"/>
        <s v="Pineco"/>
        <s v="Sandshrew"/>
        <s v="Bellsprout"/>
        <s v="Larvitar"/>
        <s v="Totodile"/>
        <s v="Psyduck"/>
        <s v="Cubone"/>
        <s v="Ponyta"/>
        <s v="Hitmonlee"/>
        <s v="Hitmonchan"/>
        <s v="Hitmontop"/>
        <s v="Magneton"/>
        <s v="Cloyster"/>
        <s v="Ditto"/>
        <s v="Unown"/>
        <s v="Nidoran-m"/>
        <s v="Caterpie"/>
        <s v="Kakuna"/>
        <s v="Smoochum"/>
        <s v="Bulbasaur"/>
        <s v="Chikorita"/>
        <s v="Oddish"/>
        <s v="Goldeen"/>
        <s v="Delibird"/>
        <s v="Houndour"/>
        <s v="Elekid"/>
        <s v="Magby"/>
        <s v="Haunter"/>
        <s v="Squirtle"/>
        <s v="Dratini"/>
        <s v="Weedle"/>
        <s v="Zubat"/>
        <s v="Spinarak"/>
        <s v="Slugma"/>
        <s v="Pidgey"/>
        <s v="Spearow"/>
        <s v="Ledyba"/>
        <s v="Meowth"/>
        <s v="Poliwag"/>
        <s v="Geodude"/>
        <s v="Mankey"/>
        <s v="Natu"/>
        <s v="Voltorb"/>
        <s v="Tentacool"/>
        <s v="Koffing"/>
        <s v="Kadabra"/>
        <s v="Mr-mime"/>
        <s v="Charmander"/>
        <s v="Cyndaquil"/>
        <s v="Vulpix"/>
        <s v="Tyrogue"/>
        <s v="Sentret"/>
        <s v="Togepi"/>
        <s v="Hoppip"/>
        <s v="Paras"/>
        <s v="Ekans"/>
        <s v="Remoraid"/>
        <s v="Doduo"/>
        <s v="Pikachu"/>
        <s v="Omanyte"/>
        <s v="Onix"/>
        <s v="Dugtrio"/>
        <s v="Sunkern"/>
        <s v="Rattata"/>
        <s v="Horsea"/>
        <s v="Shellder"/>
        <s v="Gastly"/>
        <s v="Krabby"/>
        <s v="Staryu"/>
        <s v="Kabuto"/>
        <s v="Abra"/>
        <s v="Magnemite"/>
        <s v="Magikarp"/>
        <s v="Pichu"/>
        <s v="Shuckle"/>
        <s v="Diglett"/>
      </sharedItems>
    </cacheField>
    <cacheField name="height" numFmtId="0">
      <sharedItems containsSemiMixedTypes="0" containsString="0" containsNumber="1" containsInteger="1" minValue="2" maxValue="92"/>
    </cacheField>
    <cacheField name="weight" numFmtId="0">
      <sharedItems containsSemiMixedTypes="0" containsString="0" containsNumber="1" containsInteger="1" minValue="1" maxValue="4600"/>
    </cacheField>
    <cacheField name="base_experience" numFmtId="0">
      <sharedItems containsSemiMixedTypes="0" containsString="0" containsNumber="1" containsInteger="1" minValue="36" maxValue="608"/>
    </cacheField>
    <cacheField name="type_1" numFmtId="0">
      <sharedItems/>
    </cacheField>
    <cacheField name="type_2" numFmtId="0">
      <sharedItems/>
    </cacheField>
    <cacheField name="hp" numFmtId="0">
      <sharedItems containsSemiMixedTypes="0" containsString="0" containsNumber="1" containsInteger="1" minValue="10" maxValue="255"/>
    </cacheField>
    <cacheField name="attack" numFmtId="0">
      <sharedItems containsSemiMixedTypes="0" containsString="0" containsNumber="1" containsInteger="1" minValue="5" maxValue="134"/>
    </cacheField>
    <cacheField name="defense" numFmtId="0">
      <sharedItems containsSemiMixedTypes="0" containsString="0" containsNumber="1" containsInteger="1" minValue="5" maxValue="230"/>
    </cacheField>
    <cacheField name="special_attack" numFmtId="0">
      <sharedItems containsSemiMixedTypes="0" containsString="0" containsNumber="1" containsInteger="1" minValue="10" maxValue="154"/>
    </cacheField>
    <cacheField name="special_defense" numFmtId="0">
      <sharedItems containsSemiMixedTypes="0" containsString="0" containsNumber="1" containsInteger="1" minValue="20" maxValue="230"/>
    </cacheField>
    <cacheField name="speed" numFmtId="0">
      <sharedItems containsSemiMixedTypes="0" containsString="0" containsNumber="1" containsInteger="1" minValue="5" maxValue="150"/>
    </cacheField>
    <cacheField name="Total Stats" numFmtId="0">
      <sharedItems containsSemiMixedTypes="0" containsString="0" containsNumber="1" containsInteger="1" minValue="180" maxValue="680"/>
    </cacheField>
    <cacheField name="Average Stats" numFmtId="1">
      <sharedItems containsSemiMixedTypes="0" containsString="0" containsNumber="1" minValue="30" maxValue="113.33333333333333"/>
    </cacheField>
    <cacheField name="BMI Metric (Weight/Height Ratio)" numFmtId="164">
      <sharedItems containsSemiMixedTypes="0" containsString="0" containsNumber="1" minValue="6.25E-2" maxValue="219.04761904761904"/>
    </cacheField>
    <cacheField name="Type Count" numFmtId="0">
      <sharedItems containsSemiMixedTypes="0" containsString="0" containsNumber="1" containsInteger="1" minValue="1" maxValue="2"/>
    </cacheField>
    <cacheField name="Experience Tier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vin ye" refreshedDate="46066.695764699078" createdVersion="8" refreshedVersion="8" minRefreshableVersion="3" recordCount="250" xr:uid="{2BF97DBF-376D-4A07-892F-01446354191B}">
  <cacheSource type="worksheet">
    <worksheetSource ref="A1:T251" sheet="Clean Data"/>
  </cacheSource>
  <cacheFields count="20">
    <cacheField name="pokedex_id" numFmtId="0">
      <sharedItems containsSemiMixedTypes="0" containsString="0" containsNumber="1" containsInteger="1" minValue="1" maxValue="250"/>
    </cacheField>
    <cacheField name="name" numFmtId="0">
      <sharedItems/>
    </cacheField>
    <cacheField name="height" numFmtId="0">
      <sharedItems containsSemiMixedTypes="0" containsString="0" containsNumber="1" containsInteger="1" minValue="2" maxValue="92"/>
    </cacheField>
    <cacheField name="weight" numFmtId="0">
      <sharedItems containsSemiMixedTypes="0" containsString="0" containsNumber="1" containsInteger="1" minValue="1" maxValue="4600"/>
    </cacheField>
    <cacheField name="base_experience" numFmtId="0">
      <sharedItems containsSemiMixedTypes="0" containsString="0" containsNumber="1" containsInteger="1" minValue="36" maxValue="608"/>
    </cacheField>
    <cacheField name="type_1" numFmtId="0">
      <sharedItems count="17">
        <s v="normal"/>
        <s v="psychic"/>
        <s v="water"/>
        <s v="fire"/>
        <s v="ground"/>
        <s v="poison"/>
        <s v="ice"/>
        <s v="rock"/>
        <s v="fairy"/>
        <s v="dark"/>
        <s v="grass"/>
        <s v="dragon"/>
        <s v="fighting"/>
        <s v="electric"/>
        <s v="bug"/>
        <s v="steel"/>
        <s v="ghost"/>
      </sharedItems>
    </cacheField>
    <cacheField name="type_2" numFmtId="0">
      <sharedItems/>
    </cacheField>
    <cacheField name="hp" numFmtId="0">
      <sharedItems containsSemiMixedTypes="0" containsString="0" containsNumber="1" containsInteger="1" minValue="10" maxValue="255"/>
    </cacheField>
    <cacheField name="attack" numFmtId="0">
      <sharedItems containsSemiMixedTypes="0" containsString="0" containsNumber="1" containsInteger="1" minValue="5" maxValue="134"/>
    </cacheField>
    <cacheField name="defense" numFmtId="0">
      <sharedItems containsSemiMixedTypes="0" containsString="0" containsNumber="1" containsInteger="1" minValue="5" maxValue="230"/>
    </cacheField>
    <cacheField name="special_attack" numFmtId="0">
      <sharedItems containsSemiMixedTypes="0" containsString="0" containsNumber="1" containsInteger="1" minValue="10" maxValue="154"/>
    </cacheField>
    <cacheField name="special_defense" numFmtId="0">
      <sharedItems containsSemiMixedTypes="0" containsString="0" containsNumber="1" containsInteger="1" minValue="20" maxValue="230"/>
    </cacheField>
    <cacheField name="speed" numFmtId="0">
      <sharedItems containsSemiMixedTypes="0" containsString="0" containsNumber="1" containsInteger="1" minValue="5" maxValue="150"/>
    </cacheField>
    <cacheField name="Total Stats" numFmtId="0">
      <sharedItems containsSemiMixedTypes="0" containsString="0" containsNumber="1" containsInteger="1" minValue="180" maxValue="680"/>
    </cacheField>
    <cacheField name="Average Stats" numFmtId="1">
      <sharedItems containsSemiMixedTypes="0" containsString="0" containsNumber="1" minValue="30" maxValue="113.33333333333333"/>
    </cacheField>
    <cacheField name="BMI Metric (Weight/Height Ratio)" numFmtId="164">
      <sharedItems containsSemiMixedTypes="0" containsString="0" containsNumber="1" minValue="6.25E-2" maxValue="219.04761904761904"/>
    </cacheField>
    <cacheField name="Type Count" numFmtId="0">
      <sharedItems containsSemiMixedTypes="0" containsString="0" containsNumber="1" containsInteger="1" minValue="1" maxValue="2"/>
    </cacheField>
    <cacheField name="Experience Tiers" numFmtId="0">
      <sharedItems/>
    </cacheField>
    <cacheField name="Total Offensive Power" numFmtId="164">
      <sharedItems containsSemiMixedTypes="0" containsString="0" containsNumber="1" containsInteger="1" minValue="20" maxValue="264"/>
    </cacheField>
    <cacheField name="Total Defensive Power" numFmtId="0">
      <sharedItems containsSemiMixedTypes="0" containsString="0" containsNumber="1" containsInteger="1" minValue="35" maxValue="46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vin ye" refreshedDate="46069.672426504629" createdVersion="8" refreshedVersion="8" minRefreshableVersion="3" recordCount="250" xr:uid="{E9AB8166-B7D6-4500-BD52-F18E2C3964A4}">
  <cacheSource type="worksheet">
    <worksheetSource name="Table1"/>
  </cacheSource>
  <cacheFields count="21">
    <cacheField name="pokedex_id" numFmtId="0">
      <sharedItems containsSemiMixedTypes="0" containsString="0" containsNumber="1" containsInteger="1" minValue="1" maxValue="250"/>
    </cacheField>
    <cacheField name="name" numFmtId="0">
      <sharedItems count="250">
        <s v="Bulbasaur"/>
        <s v="Ivysaur"/>
        <s v="Venusaur"/>
        <s v="Charmander"/>
        <s v="Charmeleon"/>
        <s v="Charizard"/>
        <s v="Squirtle"/>
        <s v="Wartortle"/>
        <s v="Blastoise"/>
        <s v="Caterpie"/>
        <s v="Metapod"/>
        <s v="Butterfree"/>
        <s v="Weedle"/>
        <s v="Kakuna"/>
        <s v="Beedrill"/>
        <s v="Pidgey"/>
        <s v="Pidgeotto"/>
        <s v="Pidgeot"/>
        <s v="Rattata"/>
        <s v="Raticate"/>
        <s v="Spearow"/>
        <s v="Fearow"/>
        <s v="Ekans"/>
        <s v="Arbok"/>
        <s v="Pikachu"/>
        <s v="Raichu"/>
        <s v="Sandshrew"/>
        <s v="Sandslash"/>
        <s v="Nidoran-f"/>
        <s v="Nidorina"/>
        <s v="Nidoqueen"/>
        <s v="Nidoran-m"/>
        <s v="Nidorino"/>
        <s v="Nidoking"/>
        <s v="Clefairy"/>
        <s v="Clefable"/>
        <s v="Vulpix"/>
        <s v="Ninetales"/>
        <s v="Jigglypuff"/>
        <s v="Wigglytuff"/>
        <s v="Zubat"/>
        <s v="Golbat"/>
        <s v="Oddish"/>
        <s v="Gloom"/>
        <s v="Vileplume"/>
        <s v="Paras"/>
        <s v="Parasect"/>
        <s v="Venonat"/>
        <s v="Venomoth"/>
        <s v="Diglett"/>
        <s v="Dugtrio"/>
        <s v="Meowth"/>
        <s v="Persian"/>
        <s v="Psyduck"/>
        <s v="Golduck"/>
        <s v="Mankey"/>
        <s v="Primeape"/>
        <s v="Growlithe"/>
        <s v="Arcanine"/>
        <s v="Poliwag"/>
        <s v="Poliwhirl"/>
        <s v="Poliwrath"/>
        <s v="Abra"/>
        <s v="Kadabra"/>
        <s v="Alakazam"/>
        <s v="Machop"/>
        <s v="Machoke"/>
        <s v="Machamp"/>
        <s v="Bellsprout"/>
        <s v="Weepinbell"/>
        <s v="Victreebel"/>
        <s v="Tentacool"/>
        <s v="Tentacruel"/>
        <s v="Geodude"/>
        <s v="Graveler"/>
        <s v="Golem"/>
        <s v="Ponyta"/>
        <s v="Rapidash"/>
        <s v="Slowpoke"/>
        <s v="Slowbro"/>
        <s v="Magnemite"/>
        <s v="Magneton"/>
        <s v="Farfetchd"/>
        <s v="Doduo"/>
        <s v="Dodrio"/>
        <s v="Seel"/>
        <s v="Dewgong"/>
        <s v="Grimer"/>
        <s v="Muk"/>
        <s v="Shellder"/>
        <s v="Cloyster"/>
        <s v="Gastly"/>
        <s v="Haunter"/>
        <s v="Gengar"/>
        <s v="Onix"/>
        <s v="Drowzee"/>
        <s v="Hypno"/>
        <s v="Krabby"/>
        <s v="Kingler"/>
        <s v="Voltorb"/>
        <s v="Electrode"/>
        <s v="Exeggcute"/>
        <s v="Exeggutor"/>
        <s v="Cubone"/>
        <s v="Marowak"/>
        <s v="Hitmonlee"/>
        <s v="Hitmonchan"/>
        <s v="Lickitung"/>
        <s v="Koffing"/>
        <s v="Weezing"/>
        <s v="Rhyhorn"/>
        <s v="Rhydon"/>
        <s v="Chansey"/>
        <s v="Tangela"/>
        <s v="Kangaskhan"/>
        <s v="Horsea"/>
        <s v="Seadra"/>
        <s v="Goldeen"/>
        <s v="Seaking"/>
        <s v="Staryu"/>
        <s v="Starmie"/>
        <s v="Mr-mime"/>
        <s v="Scyther"/>
        <s v="Jynx"/>
        <s v="Electabuzz"/>
        <s v="Magmar"/>
        <s v="Pinsir"/>
        <s v="Tauros"/>
        <s v="Magikarp"/>
        <s v="Gyarados"/>
        <s v="Lapras"/>
        <s v="Ditto"/>
        <s v="Eevee"/>
        <s v="Vaporeon"/>
        <s v="Jolteon"/>
        <s v="Flareon"/>
        <s v="Porygon"/>
        <s v="Omanyte"/>
        <s v="Omastar"/>
        <s v="Kabuto"/>
        <s v="Kabutops"/>
        <s v="Aerodactyl"/>
        <s v="Snorlax"/>
        <s v="Articuno"/>
        <s v="Zapdos"/>
        <s v="Moltres"/>
        <s v="Dratini"/>
        <s v="Dragonair"/>
        <s v="Dragonite"/>
        <s v="Mewtwo"/>
        <s v="Mew"/>
        <s v="Chikorita"/>
        <s v="Bayleef"/>
        <s v="Meganium"/>
        <s v="Cyndaquil"/>
        <s v="Quilava"/>
        <s v="Typhlosion"/>
        <s v="Totodile"/>
        <s v="Croconaw"/>
        <s v="Feraligatr"/>
        <s v="Sentret"/>
        <s v="Furret"/>
        <s v="Hoothoot"/>
        <s v="Noctowl"/>
        <s v="Ledyba"/>
        <s v="Ledian"/>
        <s v="Spinarak"/>
        <s v="Ariados"/>
        <s v="Crobat"/>
        <s v="Chinchou"/>
        <s v="Lanturn"/>
        <s v="Pichu"/>
        <s v="Cleffa"/>
        <s v="Igglybuff"/>
        <s v="Togepi"/>
        <s v="Togetic"/>
        <s v="Natu"/>
        <s v="Xatu"/>
        <s v="Mareep"/>
        <s v="Flaaffy"/>
        <s v="Ampharos"/>
        <s v="Bellossom"/>
        <s v="Marill"/>
        <s v="Azumarill"/>
        <s v="Sudowoodo"/>
        <s v="Politoed"/>
        <s v="Hoppip"/>
        <s v="Skiploom"/>
        <s v="Jumpluff"/>
        <s v="Aipom"/>
        <s v="Sunkern"/>
        <s v="Sunflora"/>
        <s v="Yanma"/>
        <s v="Wooper"/>
        <s v="Quagsire"/>
        <s v="Espeon"/>
        <s v="Umbreon"/>
        <s v="Murkrow"/>
        <s v="Slowking"/>
        <s v="Misdreavus"/>
        <s v="Unown"/>
        <s v="Wobbuffet"/>
        <s v="Girafarig"/>
        <s v="Pineco"/>
        <s v="Forretress"/>
        <s v="Dunsparce"/>
        <s v="Gligar"/>
        <s v="Steelix"/>
        <s v="Snubbull"/>
        <s v="Granbull"/>
        <s v="Qwilfish"/>
        <s v="Scizor"/>
        <s v="Shuckle"/>
        <s v="Heracross"/>
        <s v="Sneasel"/>
        <s v="Teddiursa"/>
        <s v="Ursaring"/>
        <s v="Slugma"/>
        <s v="Magcargo"/>
        <s v="Swinub"/>
        <s v="Piloswine"/>
        <s v="Corsola"/>
        <s v="Remoraid"/>
        <s v="Octillery"/>
        <s v="Delibird"/>
        <s v="Mantine"/>
        <s v="Skarmory"/>
        <s v="Houndour"/>
        <s v="Houndoom"/>
        <s v="Kingdra"/>
        <s v="Phanpy"/>
        <s v="Donphan"/>
        <s v="Porygon2"/>
        <s v="Stantler"/>
        <s v="Smeargle"/>
        <s v="Tyrogue"/>
        <s v="Hitmontop"/>
        <s v="Smoochum"/>
        <s v="Elekid"/>
        <s v="Magby"/>
        <s v="Miltank"/>
        <s v="Blissey"/>
        <s v="Raikou"/>
        <s v="Entei"/>
        <s v="Suicune"/>
        <s v="Larvitar"/>
        <s v="Pupitar"/>
        <s v="Tyranitar"/>
        <s v="Lugia"/>
        <s v="Ho-oh"/>
      </sharedItems>
    </cacheField>
    <cacheField name="height" numFmtId="0">
      <sharedItems containsSemiMixedTypes="0" containsString="0" containsNumber="1" containsInteger="1" minValue="2" maxValue="92"/>
    </cacheField>
    <cacheField name="weight" numFmtId="0">
      <sharedItems containsSemiMixedTypes="0" containsString="0" containsNumber="1" containsInteger="1" minValue="1" maxValue="4600"/>
    </cacheField>
    <cacheField name="base_experience" numFmtId="0">
      <sharedItems containsSemiMixedTypes="0" containsString="0" containsNumber="1" containsInteger="1" minValue="36" maxValue="608"/>
    </cacheField>
    <cacheField name="type_1" numFmtId="0">
      <sharedItems count="17">
        <s v="grass"/>
        <s v="fire"/>
        <s v="water"/>
        <s v="bug"/>
        <s v="normal"/>
        <s v="poison"/>
        <s v="electric"/>
        <s v="ground"/>
        <s v="fairy"/>
        <s v="fighting"/>
        <s v="psychic"/>
        <s v="rock"/>
        <s v="ghost"/>
        <s v="ice"/>
        <s v="dragon"/>
        <s v="dark"/>
        <s v="steel"/>
      </sharedItems>
    </cacheField>
    <cacheField name="type_2" numFmtId="0">
      <sharedItems count="16">
        <s v="poison"/>
        <s v="None"/>
        <s v="flying"/>
        <s v="ground"/>
        <s v="fairy"/>
        <s v="grass"/>
        <s v="fighting"/>
        <s v="psychic"/>
        <s v="steel"/>
        <s v="ice"/>
        <s v="rock"/>
        <s v="water"/>
        <s v="electric"/>
        <s v="fire"/>
        <s v="dragon"/>
        <s v="dark"/>
      </sharedItems>
    </cacheField>
    <cacheField name="hp" numFmtId="0">
      <sharedItems containsSemiMixedTypes="0" containsString="0" containsNumber="1" containsInteger="1" minValue="10" maxValue="255"/>
    </cacheField>
    <cacheField name="attack" numFmtId="0">
      <sharedItems containsSemiMixedTypes="0" containsString="0" containsNumber="1" containsInteger="1" minValue="5" maxValue="134"/>
    </cacheField>
    <cacheField name="defense" numFmtId="0">
      <sharedItems containsSemiMixedTypes="0" containsString="0" containsNumber="1" containsInteger="1" minValue="5" maxValue="230"/>
    </cacheField>
    <cacheField name="special_attack" numFmtId="0">
      <sharedItems containsSemiMixedTypes="0" containsString="0" containsNumber="1" containsInteger="1" minValue="10" maxValue="154"/>
    </cacheField>
    <cacheField name="special_defense" numFmtId="0">
      <sharedItems containsSemiMixedTypes="0" containsString="0" containsNumber="1" containsInteger="1" minValue="20" maxValue="230"/>
    </cacheField>
    <cacheField name="speed" numFmtId="0">
      <sharedItems containsSemiMixedTypes="0" containsString="0" containsNumber="1" containsInteger="1" minValue="5" maxValue="150"/>
    </cacheField>
    <cacheField name="Total Stats" numFmtId="0">
      <sharedItems containsSemiMixedTypes="0" containsString="0" containsNumber="1" containsInteger="1" minValue="180" maxValue="680" count="86">
        <n v="318"/>
        <n v="405"/>
        <n v="525"/>
        <n v="309"/>
        <n v="534"/>
        <n v="314"/>
        <n v="530"/>
        <n v="195"/>
        <n v="205"/>
        <n v="395"/>
        <n v="251"/>
        <n v="349"/>
        <n v="479"/>
        <n v="253"/>
        <n v="413"/>
        <n v="262"/>
        <n v="442"/>
        <n v="288"/>
        <n v="448"/>
        <n v="320"/>
        <n v="485"/>
        <n v="300"/>
        <n v="450"/>
        <n v="275"/>
        <n v="365"/>
        <n v="505"/>
        <n v="273"/>
        <n v="323"/>
        <n v="483"/>
        <n v="299"/>
        <n v="270"/>
        <n v="435"/>
        <n v="245"/>
        <n v="455"/>
        <n v="490"/>
        <n v="285"/>
        <n v="305"/>
        <n v="265"/>
        <n v="425"/>
        <n v="290"/>
        <n v="440"/>
        <n v="500"/>
        <n v="350"/>
        <n v="555"/>
        <n v="385"/>
        <n v="510"/>
        <n v="310"/>
        <n v="400"/>
        <n v="390"/>
        <n v="335"/>
        <n v="515"/>
        <n v="495"/>
        <n v="410"/>
        <n v="315"/>
        <n v="325"/>
        <n v="465"/>
        <n v="377"/>
        <n v="470"/>
        <n v="475"/>
        <n v="328"/>
        <n v="330"/>
        <n v="340"/>
        <n v="345"/>
        <n v="295"/>
        <n v="520"/>
        <n v="460"/>
        <n v="200"/>
        <n v="540"/>
        <n v="535"/>
        <n v="355"/>
        <n v="580"/>
        <n v="420"/>
        <n v="600"/>
        <n v="680"/>
        <n v="215"/>
        <n v="415"/>
        <n v="452"/>
        <n v="250"/>
        <n v="218"/>
        <n v="210"/>
        <n v="280"/>
        <n v="360"/>
        <n v="180"/>
        <n v="430"/>
        <n v="336"/>
        <n v="480"/>
      </sharedItems>
    </cacheField>
    <cacheField name="Average Stats" numFmtId="1">
      <sharedItems containsSemiMixedTypes="0" containsString="0" containsNumber="1" minValue="30" maxValue="113.33333333333333"/>
    </cacheField>
    <cacheField name="BMI Metric (Weight/Height Ratio)" numFmtId="164">
      <sharedItems containsSemiMixedTypes="0" containsString="0" containsNumber="1" minValue="6.25E-2" maxValue="219.04761904761904"/>
    </cacheField>
    <cacheField name="Type Count" numFmtId="0">
      <sharedItems containsSemiMixedTypes="0" containsString="0" containsNumber="1" containsInteger="1" minValue="1" maxValue="2"/>
    </cacheField>
    <cacheField name="Experience Tiers" numFmtId="0">
      <sharedItems count="4">
        <s v="Low"/>
        <s v="Medium"/>
        <s v="HIGH"/>
        <s v="Legendary"/>
      </sharedItems>
    </cacheField>
    <cacheField name="Total Offensive Power" numFmtId="164">
      <sharedItems containsSemiMixedTypes="0" containsString="0" containsNumber="1" containsInteger="1" minValue="20" maxValue="264"/>
    </cacheField>
    <cacheField name="Total Defensive Power" numFmtId="0">
      <sharedItems containsSemiMixedTypes="0" containsString="0" containsNumber="1" containsInteger="1" minValue="35" maxValue="460"/>
    </cacheField>
    <cacheField name="Generation" numFmtId="0">
      <sharedItems count="2">
        <s v="Gen 1"/>
        <s v="Gen 2"/>
      </sharedItems>
    </cacheField>
  </cacheFields>
  <extLst>
    <ext xmlns:x14="http://schemas.microsoft.com/office/spreadsheetml/2009/9/main" uri="{725AE2AE-9491-48be-B2B4-4EB974FC3084}">
      <x14:pivotCacheDefinition pivotCacheId="970233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
    <x v="0"/>
    <n v="7"/>
    <n v="69"/>
    <n v="64"/>
    <x v="0"/>
    <x v="0"/>
    <n v="45"/>
    <n v="49"/>
    <n v="49"/>
    <n v="65"/>
    <n v="65"/>
    <n v="45"/>
    <n v="318"/>
    <n v="53"/>
    <n v="9.8571428571428577"/>
    <n v="2"/>
  </r>
  <r>
    <n v="2"/>
    <x v="1"/>
    <n v="10"/>
    <n v="130"/>
    <n v="142"/>
    <x v="0"/>
    <x v="0"/>
    <n v="60"/>
    <n v="62"/>
    <n v="63"/>
    <n v="80"/>
    <n v="80"/>
    <n v="60"/>
    <n v="405"/>
    <n v="67.5"/>
    <n v="13"/>
    <n v="2"/>
  </r>
  <r>
    <n v="3"/>
    <x v="2"/>
    <n v="20"/>
    <n v="1000"/>
    <n v="236"/>
    <x v="0"/>
    <x v="0"/>
    <n v="80"/>
    <n v="82"/>
    <n v="83"/>
    <n v="100"/>
    <n v="100"/>
    <n v="80"/>
    <n v="525"/>
    <n v="87.5"/>
    <n v="50"/>
    <n v="2"/>
  </r>
  <r>
    <n v="4"/>
    <x v="3"/>
    <n v="6"/>
    <n v="85"/>
    <n v="62"/>
    <x v="1"/>
    <x v="1"/>
    <n v="39"/>
    <n v="52"/>
    <n v="43"/>
    <n v="60"/>
    <n v="50"/>
    <n v="65"/>
    <n v="309"/>
    <n v="51.5"/>
    <n v="14.166666666666666"/>
    <n v="1"/>
  </r>
  <r>
    <n v="5"/>
    <x v="4"/>
    <n v="11"/>
    <n v="190"/>
    <n v="142"/>
    <x v="1"/>
    <x v="1"/>
    <n v="58"/>
    <n v="64"/>
    <n v="58"/>
    <n v="80"/>
    <n v="65"/>
    <n v="80"/>
    <n v="405"/>
    <n v="67.5"/>
    <n v="17.272727272727273"/>
    <n v="1"/>
  </r>
  <r>
    <n v="6"/>
    <x v="5"/>
    <n v="17"/>
    <n v="905"/>
    <n v="240"/>
    <x v="1"/>
    <x v="2"/>
    <n v="78"/>
    <n v="84"/>
    <n v="78"/>
    <n v="109"/>
    <n v="85"/>
    <n v="100"/>
    <n v="534"/>
    <n v="89"/>
    <n v="53.235294117647058"/>
    <n v="2"/>
  </r>
  <r>
    <n v="7"/>
    <x v="6"/>
    <n v="5"/>
    <n v="90"/>
    <n v="63"/>
    <x v="2"/>
    <x v="1"/>
    <n v="44"/>
    <n v="48"/>
    <n v="65"/>
    <n v="50"/>
    <n v="64"/>
    <n v="43"/>
    <n v="314"/>
    <n v="52.333333333333336"/>
    <n v="18"/>
    <n v="1"/>
  </r>
  <r>
    <n v="8"/>
    <x v="7"/>
    <n v="10"/>
    <n v="225"/>
    <n v="142"/>
    <x v="2"/>
    <x v="1"/>
    <n v="59"/>
    <n v="63"/>
    <n v="80"/>
    <n v="65"/>
    <n v="80"/>
    <n v="58"/>
    <n v="405"/>
    <n v="67.5"/>
    <n v="22.5"/>
    <n v="1"/>
  </r>
  <r>
    <n v="9"/>
    <x v="8"/>
    <n v="16"/>
    <n v="855"/>
    <n v="239"/>
    <x v="2"/>
    <x v="1"/>
    <n v="79"/>
    <n v="83"/>
    <n v="100"/>
    <n v="85"/>
    <n v="105"/>
    <n v="78"/>
    <n v="530"/>
    <n v="88.333333333333329"/>
    <n v="53.4375"/>
    <n v="1"/>
  </r>
  <r>
    <n v="10"/>
    <x v="9"/>
    <n v="3"/>
    <n v="29"/>
    <n v="39"/>
    <x v="3"/>
    <x v="1"/>
    <n v="45"/>
    <n v="30"/>
    <n v="35"/>
    <n v="20"/>
    <n v="20"/>
    <n v="45"/>
    <n v="195"/>
    <n v="32.5"/>
    <n v="9.6666666666666661"/>
    <n v="1"/>
  </r>
  <r>
    <n v="11"/>
    <x v="10"/>
    <n v="7"/>
    <n v="99"/>
    <n v="72"/>
    <x v="3"/>
    <x v="1"/>
    <n v="50"/>
    <n v="20"/>
    <n v="55"/>
    <n v="25"/>
    <n v="25"/>
    <n v="30"/>
    <n v="205"/>
    <n v="34.166666666666664"/>
    <n v="14.142857142857142"/>
    <n v="1"/>
  </r>
  <r>
    <n v="12"/>
    <x v="11"/>
    <n v="11"/>
    <n v="320"/>
    <n v="178"/>
    <x v="3"/>
    <x v="2"/>
    <n v="60"/>
    <n v="45"/>
    <n v="50"/>
    <n v="90"/>
    <n v="80"/>
    <n v="70"/>
    <n v="395"/>
    <n v="65.833333333333329"/>
    <n v="29.09090909090909"/>
    <n v="2"/>
  </r>
  <r>
    <n v="13"/>
    <x v="12"/>
    <n v="3"/>
    <n v="32"/>
    <n v="39"/>
    <x v="3"/>
    <x v="0"/>
    <n v="40"/>
    <n v="35"/>
    <n v="30"/>
    <n v="20"/>
    <n v="20"/>
    <n v="50"/>
    <n v="195"/>
    <n v="32.5"/>
    <n v="10.666666666666666"/>
    <n v="2"/>
  </r>
  <r>
    <n v="14"/>
    <x v="13"/>
    <n v="6"/>
    <n v="100"/>
    <n v="72"/>
    <x v="3"/>
    <x v="0"/>
    <n v="45"/>
    <n v="25"/>
    <n v="50"/>
    <n v="25"/>
    <n v="25"/>
    <n v="35"/>
    <n v="205"/>
    <n v="34.166666666666664"/>
    <n v="16.666666666666668"/>
    <n v="2"/>
  </r>
  <r>
    <n v="15"/>
    <x v="14"/>
    <n v="10"/>
    <n v="295"/>
    <n v="178"/>
    <x v="3"/>
    <x v="0"/>
    <n v="65"/>
    <n v="90"/>
    <n v="40"/>
    <n v="45"/>
    <n v="80"/>
    <n v="75"/>
    <n v="395"/>
    <n v="65.833333333333329"/>
    <n v="29.5"/>
    <n v="2"/>
  </r>
  <r>
    <n v="16"/>
    <x v="15"/>
    <n v="3"/>
    <n v="18"/>
    <n v="50"/>
    <x v="4"/>
    <x v="2"/>
    <n v="40"/>
    <n v="45"/>
    <n v="40"/>
    <n v="35"/>
    <n v="35"/>
    <n v="56"/>
    <n v="251"/>
    <n v="41.833333333333336"/>
    <n v="6"/>
    <n v="2"/>
  </r>
  <r>
    <n v="17"/>
    <x v="16"/>
    <n v="11"/>
    <n v="300"/>
    <n v="122"/>
    <x v="4"/>
    <x v="2"/>
    <n v="63"/>
    <n v="60"/>
    <n v="55"/>
    <n v="50"/>
    <n v="50"/>
    <n v="71"/>
    <n v="349"/>
    <n v="58.166666666666664"/>
    <n v="27.272727272727273"/>
    <n v="2"/>
  </r>
  <r>
    <n v="18"/>
    <x v="17"/>
    <n v="15"/>
    <n v="395"/>
    <n v="216"/>
    <x v="4"/>
    <x v="2"/>
    <n v="83"/>
    <n v="80"/>
    <n v="75"/>
    <n v="70"/>
    <n v="70"/>
    <n v="101"/>
    <n v="479"/>
    <n v="79.833333333333329"/>
    <n v="26.333333333333332"/>
    <n v="2"/>
  </r>
  <r>
    <n v="19"/>
    <x v="18"/>
    <n v="3"/>
    <n v="35"/>
    <n v="51"/>
    <x v="4"/>
    <x v="1"/>
    <n v="30"/>
    <n v="56"/>
    <n v="35"/>
    <n v="25"/>
    <n v="35"/>
    <n v="72"/>
    <n v="253"/>
    <n v="42.166666666666664"/>
    <n v="11.666666666666666"/>
    <n v="1"/>
  </r>
  <r>
    <n v="20"/>
    <x v="19"/>
    <n v="7"/>
    <n v="185"/>
    <n v="145"/>
    <x v="4"/>
    <x v="1"/>
    <n v="55"/>
    <n v="81"/>
    <n v="60"/>
    <n v="50"/>
    <n v="70"/>
    <n v="97"/>
    <n v="413"/>
    <n v="68.833333333333329"/>
    <n v="26.428571428571427"/>
    <n v="1"/>
  </r>
  <r>
    <n v="21"/>
    <x v="20"/>
    <n v="3"/>
    <n v="20"/>
    <n v="52"/>
    <x v="4"/>
    <x v="2"/>
    <n v="40"/>
    <n v="60"/>
    <n v="30"/>
    <n v="31"/>
    <n v="31"/>
    <n v="70"/>
    <n v="262"/>
    <n v="43.666666666666664"/>
    <n v="6.666666666666667"/>
    <n v="2"/>
  </r>
  <r>
    <n v="22"/>
    <x v="21"/>
    <n v="12"/>
    <n v="380"/>
    <n v="155"/>
    <x v="4"/>
    <x v="2"/>
    <n v="65"/>
    <n v="90"/>
    <n v="65"/>
    <n v="61"/>
    <n v="61"/>
    <n v="100"/>
    <n v="442"/>
    <n v="73.666666666666671"/>
    <n v="31.666666666666668"/>
    <n v="2"/>
  </r>
  <r>
    <n v="23"/>
    <x v="22"/>
    <n v="20"/>
    <n v="69"/>
    <n v="58"/>
    <x v="5"/>
    <x v="1"/>
    <n v="35"/>
    <n v="60"/>
    <n v="44"/>
    <n v="40"/>
    <n v="54"/>
    <n v="55"/>
    <n v="288"/>
    <n v="48"/>
    <n v="3.45"/>
    <n v="1"/>
  </r>
  <r>
    <n v="24"/>
    <x v="23"/>
    <n v="35"/>
    <n v="650"/>
    <n v="157"/>
    <x v="5"/>
    <x v="1"/>
    <n v="60"/>
    <n v="95"/>
    <n v="69"/>
    <n v="65"/>
    <n v="79"/>
    <n v="80"/>
    <n v="448"/>
    <n v="74.666666666666671"/>
    <n v="18.571428571428573"/>
    <n v="1"/>
  </r>
  <r>
    <n v="25"/>
    <x v="24"/>
    <n v="4"/>
    <n v="60"/>
    <n v="112"/>
    <x v="6"/>
    <x v="1"/>
    <n v="35"/>
    <n v="55"/>
    <n v="40"/>
    <n v="50"/>
    <n v="50"/>
    <n v="90"/>
    <n v="320"/>
    <n v="53.333333333333336"/>
    <n v="15"/>
    <n v="1"/>
  </r>
  <r>
    <n v="26"/>
    <x v="25"/>
    <n v="8"/>
    <n v="300"/>
    <n v="218"/>
    <x v="6"/>
    <x v="1"/>
    <n v="60"/>
    <n v="90"/>
    <n v="55"/>
    <n v="90"/>
    <n v="80"/>
    <n v="110"/>
    <n v="485"/>
    <n v="80.833333333333329"/>
    <n v="37.5"/>
    <n v="1"/>
  </r>
  <r>
    <n v="27"/>
    <x v="26"/>
    <n v="6"/>
    <n v="120"/>
    <n v="60"/>
    <x v="7"/>
    <x v="1"/>
    <n v="50"/>
    <n v="75"/>
    <n v="85"/>
    <n v="20"/>
    <n v="30"/>
    <n v="40"/>
    <n v="300"/>
    <n v="50"/>
    <n v="20"/>
    <n v="1"/>
  </r>
  <r>
    <n v="28"/>
    <x v="27"/>
    <n v="10"/>
    <n v="295"/>
    <n v="158"/>
    <x v="7"/>
    <x v="1"/>
    <n v="75"/>
    <n v="100"/>
    <n v="110"/>
    <n v="45"/>
    <n v="55"/>
    <n v="65"/>
    <n v="450"/>
    <n v="75"/>
    <n v="29.5"/>
    <n v="1"/>
  </r>
  <r>
    <n v="29"/>
    <x v="28"/>
    <n v="4"/>
    <n v="70"/>
    <n v="55"/>
    <x v="5"/>
    <x v="1"/>
    <n v="55"/>
    <n v="47"/>
    <n v="52"/>
    <n v="40"/>
    <n v="40"/>
    <n v="41"/>
    <n v="275"/>
    <n v="45.833333333333336"/>
    <n v="17.5"/>
    <n v="1"/>
  </r>
  <r>
    <n v="30"/>
    <x v="29"/>
    <n v="8"/>
    <n v="200"/>
    <n v="128"/>
    <x v="5"/>
    <x v="1"/>
    <n v="70"/>
    <n v="62"/>
    <n v="67"/>
    <n v="55"/>
    <n v="55"/>
    <n v="56"/>
    <n v="365"/>
    <n v="60.833333333333336"/>
    <n v="25"/>
    <n v="1"/>
  </r>
  <r>
    <n v="31"/>
    <x v="30"/>
    <n v="13"/>
    <n v="600"/>
    <n v="227"/>
    <x v="5"/>
    <x v="3"/>
    <n v="90"/>
    <n v="92"/>
    <n v="87"/>
    <n v="75"/>
    <n v="85"/>
    <n v="76"/>
    <n v="505"/>
    <n v="84.166666666666671"/>
    <n v="46.153846153846153"/>
    <n v="2"/>
  </r>
  <r>
    <n v="32"/>
    <x v="31"/>
    <n v="5"/>
    <n v="90"/>
    <n v="55"/>
    <x v="5"/>
    <x v="1"/>
    <n v="46"/>
    <n v="57"/>
    <n v="40"/>
    <n v="40"/>
    <n v="40"/>
    <n v="50"/>
    <n v="273"/>
    <n v="45.5"/>
    <n v="18"/>
    <n v="1"/>
  </r>
  <r>
    <n v="33"/>
    <x v="32"/>
    <n v="9"/>
    <n v="195"/>
    <n v="128"/>
    <x v="5"/>
    <x v="1"/>
    <n v="61"/>
    <n v="72"/>
    <n v="57"/>
    <n v="55"/>
    <n v="55"/>
    <n v="65"/>
    <n v="365"/>
    <n v="60.833333333333336"/>
    <n v="21.666666666666668"/>
    <n v="1"/>
  </r>
  <r>
    <n v="34"/>
    <x v="33"/>
    <n v="14"/>
    <n v="620"/>
    <n v="227"/>
    <x v="5"/>
    <x v="3"/>
    <n v="81"/>
    <n v="102"/>
    <n v="77"/>
    <n v="85"/>
    <n v="75"/>
    <n v="85"/>
    <n v="505"/>
    <n v="84.166666666666671"/>
    <n v="44.285714285714285"/>
    <n v="2"/>
  </r>
  <r>
    <n v="35"/>
    <x v="34"/>
    <n v="6"/>
    <n v="75"/>
    <n v="113"/>
    <x v="8"/>
    <x v="1"/>
    <n v="70"/>
    <n v="45"/>
    <n v="48"/>
    <n v="60"/>
    <n v="65"/>
    <n v="35"/>
    <n v="323"/>
    <n v="53.833333333333336"/>
    <n v="12.5"/>
    <n v="1"/>
  </r>
  <r>
    <n v="36"/>
    <x v="35"/>
    <n v="13"/>
    <n v="400"/>
    <n v="217"/>
    <x v="8"/>
    <x v="1"/>
    <n v="95"/>
    <n v="70"/>
    <n v="73"/>
    <n v="95"/>
    <n v="90"/>
    <n v="60"/>
    <n v="483"/>
    <n v="80.5"/>
    <n v="30.76923076923077"/>
    <n v="1"/>
  </r>
  <r>
    <n v="37"/>
    <x v="36"/>
    <n v="6"/>
    <n v="99"/>
    <n v="60"/>
    <x v="1"/>
    <x v="1"/>
    <n v="38"/>
    <n v="41"/>
    <n v="40"/>
    <n v="50"/>
    <n v="65"/>
    <n v="65"/>
    <n v="299"/>
    <n v="49.833333333333336"/>
    <n v="16.5"/>
    <n v="1"/>
  </r>
  <r>
    <n v="38"/>
    <x v="37"/>
    <n v="11"/>
    <n v="199"/>
    <n v="177"/>
    <x v="1"/>
    <x v="1"/>
    <n v="73"/>
    <n v="76"/>
    <n v="75"/>
    <n v="81"/>
    <n v="100"/>
    <n v="100"/>
    <n v="505"/>
    <n v="84.166666666666671"/>
    <n v="18.09090909090909"/>
    <n v="1"/>
  </r>
  <r>
    <n v="39"/>
    <x v="38"/>
    <n v="5"/>
    <n v="55"/>
    <n v="95"/>
    <x v="4"/>
    <x v="4"/>
    <n v="115"/>
    <n v="45"/>
    <n v="20"/>
    <n v="45"/>
    <n v="25"/>
    <n v="20"/>
    <n v="270"/>
    <n v="45"/>
    <n v="11"/>
    <n v="2"/>
  </r>
  <r>
    <n v="40"/>
    <x v="39"/>
    <n v="10"/>
    <n v="120"/>
    <n v="196"/>
    <x v="4"/>
    <x v="4"/>
    <n v="140"/>
    <n v="70"/>
    <n v="45"/>
    <n v="85"/>
    <n v="50"/>
    <n v="45"/>
    <n v="435"/>
    <n v="72.5"/>
    <n v="12"/>
    <n v="2"/>
  </r>
  <r>
    <n v="41"/>
    <x v="40"/>
    <n v="8"/>
    <n v="75"/>
    <n v="49"/>
    <x v="5"/>
    <x v="2"/>
    <n v="40"/>
    <n v="45"/>
    <n v="35"/>
    <n v="30"/>
    <n v="40"/>
    <n v="55"/>
    <n v="245"/>
    <n v="40.833333333333336"/>
    <n v="9.375"/>
    <n v="2"/>
  </r>
  <r>
    <n v="42"/>
    <x v="41"/>
    <n v="16"/>
    <n v="550"/>
    <n v="159"/>
    <x v="5"/>
    <x v="2"/>
    <n v="75"/>
    <n v="80"/>
    <n v="70"/>
    <n v="65"/>
    <n v="75"/>
    <n v="90"/>
    <n v="455"/>
    <n v="75.833333333333329"/>
    <n v="34.375"/>
    <n v="2"/>
  </r>
  <r>
    <n v="43"/>
    <x v="42"/>
    <n v="5"/>
    <n v="54"/>
    <n v="64"/>
    <x v="0"/>
    <x v="0"/>
    <n v="45"/>
    <n v="50"/>
    <n v="55"/>
    <n v="75"/>
    <n v="65"/>
    <n v="30"/>
    <n v="320"/>
    <n v="53.333333333333336"/>
    <n v="10.8"/>
    <n v="2"/>
  </r>
  <r>
    <n v="44"/>
    <x v="43"/>
    <n v="8"/>
    <n v="86"/>
    <n v="138"/>
    <x v="0"/>
    <x v="0"/>
    <n v="60"/>
    <n v="65"/>
    <n v="70"/>
    <n v="85"/>
    <n v="75"/>
    <n v="40"/>
    <n v="395"/>
    <n v="65.833333333333329"/>
    <n v="10.75"/>
    <n v="2"/>
  </r>
  <r>
    <n v="45"/>
    <x v="44"/>
    <n v="12"/>
    <n v="186"/>
    <n v="221"/>
    <x v="0"/>
    <x v="0"/>
    <n v="75"/>
    <n v="80"/>
    <n v="85"/>
    <n v="110"/>
    <n v="90"/>
    <n v="50"/>
    <n v="490"/>
    <n v="81.666666666666671"/>
    <n v="15.5"/>
    <n v="2"/>
  </r>
  <r>
    <n v="46"/>
    <x v="45"/>
    <n v="3"/>
    <n v="54"/>
    <n v="57"/>
    <x v="3"/>
    <x v="5"/>
    <n v="35"/>
    <n v="70"/>
    <n v="55"/>
    <n v="45"/>
    <n v="55"/>
    <n v="25"/>
    <n v="285"/>
    <n v="47.5"/>
    <n v="18"/>
    <n v="2"/>
  </r>
  <r>
    <n v="47"/>
    <x v="46"/>
    <n v="10"/>
    <n v="295"/>
    <n v="142"/>
    <x v="3"/>
    <x v="5"/>
    <n v="60"/>
    <n v="95"/>
    <n v="80"/>
    <n v="60"/>
    <n v="80"/>
    <n v="30"/>
    <n v="405"/>
    <n v="67.5"/>
    <n v="29.5"/>
    <n v="2"/>
  </r>
  <r>
    <n v="48"/>
    <x v="47"/>
    <n v="10"/>
    <n v="300"/>
    <n v="61"/>
    <x v="3"/>
    <x v="0"/>
    <n v="60"/>
    <n v="55"/>
    <n v="50"/>
    <n v="40"/>
    <n v="55"/>
    <n v="45"/>
    <n v="305"/>
    <n v="50.833333333333336"/>
    <n v="30"/>
    <n v="2"/>
  </r>
  <r>
    <n v="49"/>
    <x v="48"/>
    <n v="15"/>
    <n v="125"/>
    <n v="158"/>
    <x v="3"/>
    <x v="0"/>
    <n v="70"/>
    <n v="65"/>
    <n v="60"/>
    <n v="90"/>
    <n v="75"/>
    <n v="90"/>
    <n v="450"/>
    <n v="75"/>
    <n v="8.3333333333333339"/>
    <n v="2"/>
  </r>
  <r>
    <n v="50"/>
    <x v="49"/>
    <n v="2"/>
    <n v="8"/>
    <n v="53"/>
    <x v="7"/>
    <x v="1"/>
    <n v="10"/>
    <n v="55"/>
    <n v="25"/>
    <n v="35"/>
    <n v="45"/>
    <n v="95"/>
    <n v="265"/>
    <n v="44.166666666666664"/>
    <n v="4"/>
    <n v="1"/>
  </r>
  <r>
    <n v="51"/>
    <x v="50"/>
    <n v="7"/>
    <n v="333"/>
    <n v="149"/>
    <x v="7"/>
    <x v="1"/>
    <n v="35"/>
    <n v="100"/>
    <n v="50"/>
    <n v="50"/>
    <n v="70"/>
    <n v="120"/>
    <n v="425"/>
    <n v="70.833333333333329"/>
    <n v="47.571428571428569"/>
    <n v="1"/>
  </r>
  <r>
    <n v="52"/>
    <x v="51"/>
    <n v="4"/>
    <n v="42"/>
    <n v="58"/>
    <x v="4"/>
    <x v="1"/>
    <n v="40"/>
    <n v="45"/>
    <n v="35"/>
    <n v="40"/>
    <n v="40"/>
    <n v="90"/>
    <n v="290"/>
    <n v="48.333333333333336"/>
    <n v="10.5"/>
    <n v="1"/>
  </r>
  <r>
    <n v="53"/>
    <x v="52"/>
    <n v="10"/>
    <n v="320"/>
    <n v="154"/>
    <x v="4"/>
    <x v="1"/>
    <n v="65"/>
    <n v="70"/>
    <n v="60"/>
    <n v="65"/>
    <n v="65"/>
    <n v="115"/>
    <n v="440"/>
    <n v="73.333333333333329"/>
    <n v="32"/>
    <n v="1"/>
  </r>
  <r>
    <n v="54"/>
    <x v="53"/>
    <n v="8"/>
    <n v="196"/>
    <n v="64"/>
    <x v="2"/>
    <x v="1"/>
    <n v="50"/>
    <n v="52"/>
    <n v="48"/>
    <n v="65"/>
    <n v="50"/>
    <n v="55"/>
    <n v="320"/>
    <n v="53.333333333333336"/>
    <n v="24.5"/>
    <n v="1"/>
  </r>
  <r>
    <n v="55"/>
    <x v="54"/>
    <n v="17"/>
    <n v="766"/>
    <n v="175"/>
    <x v="2"/>
    <x v="1"/>
    <n v="80"/>
    <n v="82"/>
    <n v="78"/>
    <n v="95"/>
    <n v="80"/>
    <n v="85"/>
    <n v="500"/>
    <n v="83.333333333333329"/>
    <n v="45.058823529411768"/>
    <n v="1"/>
  </r>
  <r>
    <n v="56"/>
    <x v="55"/>
    <n v="5"/>
    <n v="280"/>
    <n v="61"/>
    <x v="9"/>
    <x v="1"/>
    <n v="40"/>
    <n v="80"/>
    <n v="35"/>
    <n v="35"/>
    <n v="45"/>
    <n v="70"/>
    <n v="305"/>
    <n v="50.833333333333336"/>
    <n v="56"/>
    <n v="1"/>
  </r>
  <r>
    <n v="57"/>
    <x v="56"/>
    <n v="10"/>
    <n v="320"/>
    <n v="159"/>
    <x v="9"/>
    <x v="1"/>
    <n v="65"/>
    <n v="105"/>
    <n v="60"/>
    <n v="60"/>
    <n v="70"/>
    <n v="95"/>
    <n v="455"/>
    <n v="75.833333333333329"/>
    <n v="32"/>
    <n v="1"/>
  </r>
  <r>
    <n v="58"/>
    <x v="57"/>
    <n v="7"/>
    <n v="190"/>
    <n v="70"/>
    <x v="1"/>
    <x v="1"/>
    <n v="55"/>
    <n v="70"/>
    <n v="45"/>
    <n v="70"/>
    <n v="50"/>
    <n v="60"/>
    <n v="350"/>
    <n v="58.333333333333336"/>
    <n v="27.142857142857142"/>
    <n v="1"/>
  </r>
  <r>
    <n v="59"/>
    <x v="58"/>
    <n v="19"/>
    <n v="1550"/>
    <n v="194"/>
    <x v="1"/>
    <x v="1"/>
    <n v="90"/>
    <n v="110"/>
    <n v="80"/>
    <n v="100"/>
    <n v="80"/>
    <n v="95"/>
    <n v="555"/>
    <n v="92.5"/>
    <n v="81.578947368421055"/>
    <n v="1"/>
  </r>
  <r>
    <n v="60"/>
    <x v="59"/>
    <n v="6"/>
    <n v="124"/>
    <n v="60"/>
    <x v="2"/>
    <x v="1"/>
    <n v="40"/>
    <n v="50"/>
    <n v="40"/>
    <n v="40"/>
    <n v="40"/>
    <n v="90"/>
    <n v="300"/>
    <n v="50"/>
    <n v="20.666666666666668"/>
    <n v="1"/>
  </r>
  <r>
    <n v="61"/>
    <x v="60"/>
    <n v="10"/>
    <n v="200"/>
    <n v="135"/>
    <x v="2"/>
    <x v="1"/>
    <n v="65"/>
    <n v="65"/>
    <n v="65"/>
    <n v="50"/>
    <n v="50"/>
    <n v="90"/>
    <n v="385"/>
    <n v="64.166666666666671"/>
    <n v="20"/>
    <n v="1"/>
  </r>
  <r>
    <n v="62"/>
    <x v="61"/>
    <n v="13"/>
    <n v="540"/>
    <n v="230"/>
    <x v="2"/>
    <x v="6"/>
    <n v="90"/>
    <n v="95"/>
    <n v="95"/>
    <n v="70"/>
    <n v="90"/>
    <n v="70"/>
    <n v="510"/>
    <n v="85"/>
    <n v="41.53846153846154"/>
    <n v="2"/>
  </r>
  <r>
    <n v="63"/>
    <x v="62"/>
    <n v="9"/>
    <n v="195"/>
    <n v="62"/>
    <x v="10"/>
    <x v="1"/>
    <n v="25"/>
    <n v="20"/>
    <n v="15"/>
    <n v="105"/>
    <n v="55"/>
    <n v="90"/>
    <n v="310"/>
    <n v="51.666666666666664"/>
    <n v="21.666666666666668"/>
    <n v="1"/>
  </r>
  <r>
    <n v="64"/>
    <x v="63"/>
    <n v="13"/>
    <n v="565"/>
    <n v="140"/>
    <x v="10"/>
    <x v="1"/>
    <n v="40"/>
    <n v="35"/>
    <n v="30"/>
    <n v="120"/>
    <n v="70"/>
    <n v="105"/>
    <n v="400"/>
    <n v="66.666666666666671"/>
    <n v="43.46153846153846"/>
    <n v="1"/>
  </r>
  <r>
    <n v="65"/>
    <x v="64"/>
    <n v="15"/>
    <n v="480"/>
    <n v="225"/>
    <x v="10"/>
    <x v="1"/>
    <n v="55"/>
    <n v="50"/>
    <n v="45"/>
    <n v="135"/>
    <n v="95"/>
    <n v="120"/>
    <n v="500"/>
    <n v="83.333333333333329"/>
    <n v="32"/>
    <n v="1"/>
  </r>
  <r>
    <n v="66"/>
    <x v="65"/>
    <n v="8"/>
    <n v="195"/>
    <n v="61"/>
    <x v="9"/>
    <x v="1"/>
    <n v="70"/>
    <n v="80"/>
    <n v="50"/>
    <n v="35"/>
    <n v="35"/>
    <n v="35"/>
    <n v="305"/>
    <n v="50.833333333333336"/>
    <n v="24.375"/>
    <n v="1"/>
  </r>
  <r>
    <n v="67"/>
    <x v="66"/>
    <n v="15"/>
    <n v="705"/>
    <n v="142"/>
    <x v="9"/>
    <x v="1"/>
    <n v="80"/>
    <n v="100"/>
    <n v="70"/>
    <n v="50"/>
    <n v="60"/>
    <n v="45"/>
    <n v="405"/>
    <n v="67.5"/>
    <n v="47"/>
    <n v="1"/>
  </r>
  <r>
    <n v="68"/>
    <x v="67"/>
    <n v="16"/>
    <n v="1300"/>
    <n v="227"/>
    <x v="9"/>
    <x v="1"/>
    <n v="90"/>
    <n v="130"/>
    <n v="80"/>
    <n v="65"/>
    <n v="85"/>
    <n v="55"/>
    <n v="505"/>
    <n v="84.166666666666671"/>
    <n v="81.25"/>
    <n v="1"/>
  </r>
  <r>
    <n v="69"/>
    <x v="68"/>
    <n v="7"/>
    <n v="40"/>
    <n v="60"/>
    <x v="0"/>
    <x v="0"/>
    <n v="50"/>
    <n v="75"/>
    <n v="35"/>
    <n v="70"/>
    <n v="30"/>
    <n v="40"/>
    <n v="300"/>
    <n v="50"/>
    <n v="5.7142857142857144"/>
    <n v="2"/>
  </r>
  <r>
    <n v="70"/>
    <x v="69"/>
    <n v="10"/>
    <n v="64"/>
    <n v="137"/>
    <x v="0"/>
    <x v="0"/>
    <n v="65"/>
    <n v="90"/>
    <n v="50"/>
    <n v="85"/>
    <n v="45"/>
    <n v="55"/>
    <n v="390"/>
    <n v="65"/>
    <n v="6.4"/>
    <n v="2"/>
  </r>
  <r>
    <n v="71"/>
    <x v="70"/>
    <n v="17"/>
    <n v="155"/>
    <n v="221"/>
    <x v="0"/>
    <x v="0"/>
    <n v="80"/>
    <n v="105"/>
    <n v="65"/>
    <n v="100"/>
    <n v="70"/>
    <n v="70"/>
    <n v="490"/>
    <n v="81.666666666666671"/>
    <n v="9.117647058823529"/>
    <n v="2"/>
  </r>
  <r>
    <n v="72"/>
    <x v="71"/>
    <n v="9"/>
    <n v="455"/>
    <n v="67"/>
    <x v="2"/>
    <x v="0"/>
    <n v="40"/>
    <n v="40"/>
    <n v="35"/>
    <n v="50"/>
    <n v="100"/>
    <n v="70"/>
    <n v="335"/>
    <n v="55.833333333333336"/>
    <n v="50.555555555555557"/>
    <n v="2"/>
  </r>
  <r>
    <n v="73"/>
    <x v="72"/>
    <n v="16"/>
    <n v="550"/>
    <n v="180"/>
    <x v="2"/>
    <x v="0"/>
    <n v="80"/>
    <n v="70"/>
    <n v="65"/>
    <n v="80"/>
    <n v="120"/>
    <n v="100"/>
    <n v="515"/>
    <n v="85.833333333333329"/>
    <n v="34.375"/>
    <n v="2"/>
  </r>
  <r>
    <n v="74"/>
    <x v="73"/>
    <n v="4"/>
    <n v="200"/>
    <n v="60"/>
    <x v="11"/>
    <x v="3"/>
    <n v="40"/>
    <n v="80"/>
    <n v="100"/>
    <n v="30"/>
    <n v="30"/>
    <n v="20"/>
    <n v="300"/>
    <n v="50"/>
    <n v="50"/>
    <n v="2"/>
  </r>
  <r>
    <n v="75"/>
    <x v="74"/>
    <n v="10"/>
    <n v="1050"/>
    <n v="137"/>
    <x v="11"/>
    <x v="3"/>
    <n v="55"/>
    <n v="95"/>
    <n v="115"/>
    <n v="45"/>
    <n v="45"/>
    <n v="35"/>
    <n v="390"/>
    <n v="65"/>
    <n v="105"/>
    <n v="2"/>
  </r>
  <r>
    <n v="76"/>
    <x v="75"/>
    <n v="14"/>
    <n v="3000"/>
    <n v="223"/>
    <x v="11"/>
    <x v="3"/>
    <n v="80"/>
    <n v="120"/>
    <n v="130"/>
    <n v="55"/>
    <n v="65"/>
    <n v="45"/>
    <n v="495"/>
    <n v="82.5"/>
    <n v="214.28571428571428"/>
    <n v="2"/>
  </r>
  <r>
    <n v="77"/>
    <x v="76"/>
    <n v="10"/>
    <n v="300"/>
    <n v="82"/>
    <x v="1"/>
    <x v="1"/>
    <n v="50"/>
    <n v="85"/>
    <n v="55"/>
    <n v="65"/>
    <n v="65"/>
    <n v="90"/>
    <n v="410"/>
    <n v="68.333333333333329"/>
    <n v="30"/>
    <n v="1"/>
  </r>
  <r>
    <n v="78"/>
    <x v="77"/>
    <n v="17"/>
    <n v="950"/>
    <n v="175"/>
    <x v="1"/>
    <x v="1"/>
    <n v="65"/>
    <n v="100"/>
    <n v="70"/>
    <n v="80"/>
    <n v="80"/>
    <n v="105"/>
    <n v="500"/>
    <n v="83.333333333333329"/>
    <n v="55.882352941176471"/>
    <n v="1"/>
  </r>
  <r>
    <n v="79"/>
    <x v="78"/>
    <n v="12"/>
    <n v="360"/>
    <n v="63"/>
    <x v="2"/>
    <x v="7"/>
    <n v="90"/>
    <n v="65"/>
    <n v="65"/>
    <n v="40"/>
    <n v="40"/>
    <n v="15"/>
    <n v="315"/>
    <n v="52.5"/>
    <n v="30"/>
    <n v="2"/>
  </r>
  <r>
    <n v="80"/>
    <x v="79"/>
    <n v="16"/>
    <n v="785"/>
    <n v="172"/>
    <x v="2"/>
    <x v="7"/>
    <n v="95"/>
    <n v="75"/>
    <n v="110"/>
    <n v="100"/>
    <n v="80"/>
    <n v="30"/>
    <n v="490"/>
    <n v="81.666666666666671"/>
    <n v="49.0625"/>
    <n v="2"/>
  </r>
  <r>
    <n v="81"/>
    <x v="80"/>
    <n v="3"/>
    <n v="60"/>
    <n v="65"/>
    <x v="6"/>
    <x v="8"/>
    <n v="25"/>
    <n v="35"/>
    <n v="70"/>
    <n v="95"/>
    <n v="55"/>
    <n v="45"/>
    <n v="325"/>
    <n v="54.166666666666664"/>
    <n v="20"/>
    <n v="2"/>
  </r>
  <r>
    <n v="82"/>
    <x v="81"/>
    <n v="10"/>
    <n v="600"/>
    <n v="163"/>
    <x v="6"/>
    <x v="8"/>
    <n v="50"/>
    <n v="60"/>
    <n v="95"/>
    <n v="120"/>
    <n v="70"/>
    <n v="70"/>
    <n v="465"/>
    <n v="77.5"/>
    <n v="60"/>
    <n v="2"/>
  </r>
  <r>
    <n v="83"/>
    <x v="82"/>
    <n v="8"/>
    <n v="150"/>
    <n v="132"/>
    <x v="4"/>
    <x v="2"/>
    <n v="52"/>
    <n v="90"/>
    <n v="55"/>
    <n v="58"/>
    <n v="62"/>
    <n v="60"/>
    <n v="377"/>
    <n v="62.833333333333336"/>
    <n v="18.75"/>
    <n v="2"/>
  </r>
  <r>
    <n v="84"/>
    <x v="83"/>
    <n v="14"/>
    <n v="392"/>
    <n v="62"/>
    <x v="4"/>
    <x v="2"/>
    <n v="35"/>
    <n v="85"/>
    <n v="45"/>
    <n v="35"/>
    <n v="35"/>
    <n v="75"/>
    <n v="310"/>
    <n v="51.666666666666664"/>
    <n v="28"/>
    <n v="2"/>
  </r>
  <r>
    <n v="85"/>
    <x v="84"/>
    <n v="18"/>
    <n v="852"/>
    <n v="165"/>
    <x v="4"/>
    <x v="2"/>
    <n v="60"/>
    <n v="110"/>
    <n v="70"/>
    <n v="60"/>
    <n v="60"/>
    <n v="110"/>
    <n v="470"/>
    <n v="78.333333333333329"/>
    <n v="47.333333333333336"/>
    <n v="2"/>
  </r>
  <r>
    <n v="86"/>
    <x v="85"/>
    <n v="11"/>
    <n v="900"/>
    <n v="65"/>
    <x v="2"/>
    <x v="1"/>
    <n v="65"/>
    <n v="45"/>
    <n v="55"/>
    <n v="45"/>
    <n v="70"/>
    <n v="45"/>
    <n v="325"/>
    <n v="54.166666666666664"/>
    <n v="81.818181818181813"/>
    <n v="1"/>
  </r>
  <r>
    <n v="87"/>
    <x v="86"/>
    <n v="17"/>
    <n v="1200"/>
    <n v="166"/>
    <x v="2"/>
    <x v="9"/>
    <n v="90"/>
    <n v="70"/>
    <n v="80"/>
    <n v="70"/>
    <n v="95"/>
    <n v="70"/>
    <n v="475"/>
    <n v="79.166666666666671"/>
    <n v="70.588235294117652"/>
    <n v="2"/>
  </r>
  <r>
    <n v="88"/>
    <x v="87"/>
    <n v="9"/>
    <n v="300"/>
    <n v="65"/>
    <x v="5"/>
    <x v="1"/>
    <n v="80"/>
    <n v="80"/>
    <n v="50"/>
    <n v="40"/>
    <n v="50"/>
    <n v="25"/>
    <n v="325"/>
    <n v="54.166666666666664"/>
    <n v="33.333333333333336"/>
    <n v="1"/>
  </r>
  <r>
    <n v="89"/>
    <x v="88"/>
    <n v="12"/>
    <n v="300"/>
    <n v="175"/>
    <x v="5"/>
    <x v="1"/>
    <n v="105"/>
    <n v="105"/>
    <n v="75"/>
    <n v="65"/>
    <n v="100"/>
    <n v="50"/>
    <n v="500"/>
    <n v="83.333333333333329"/>
    <n v="25"/>
    <n v="1"/>
  </r>
  <r>
    <n v="90"/>
    <x v="89"/>
    <n v="3"/>
    <n v="40"/>
    <n v="61"/>
    <x v="2"/>
    <x v="1"/>
    <n v="30"/>
    <n v="65"/>
    <n v="100"/>
    <n v="45"/>
    <n v="25"/>
    <n v="40"/>
    <n v="305"/>
    <n v="50.833333333333336"/>
    <n v="13.333333333333334"/>
    <n v="1"/>
  </r>
  <r>
    <n v="91"/>
    <x v="90"/>
    <n v="15"/>
    <n v="1325"/>
    <n v="184"/>
    <x v="2"/>
    <x v="9"/>
    <n v="50"/>
    <n v="95"/>
    <n v="180"/>
    <n v="85"/>
    <n v="45"/>
    <n v="70"/>
    <n v="525"/>
    <n v="87.5"/>
    <n v="88.333333333333329"/>
    <n v="2"/>
  </r>
  <r>
    <n v="92"/>
    <x v="91"/>
    <n v="13"/>
    <n v="1"/>
    <n v="62"/>
    <x v="12"/>
    <x v="0"/>
    <n v="30"/>
    <n v="35"/>
    <n v="30"/>
    <n v="100"/>
    <n v="35"/>
    <n v="80"/>
    <n v="310"/>
    <n v="51.666666666666664"/>
    <n v="7.6923076923076927E-2"/>
    <n v="2"/>
  </r>
  <r>
    <n v="93"/>
    <x v="92"/>
    <n v="16"/>
    <n v="1"/>
    <n v="142"/>
    <x v="12"/>
    <x v="0"/>
    <n v="45"/>
    <n v="50"/>
    <n v="45"/>
    <n v="115"/>
    <n v="55"/>
    <n v="95"/>
    <n v="405"/>
    <n v="67.5"/>
    <n v="6.25E-2"/>
    <n v="2"/>
  </r>
  <r>
    <n v="94"/>
    <x v="93"/>
    <n v="15"/>
    <n v="405"/>
    <n v="225"/>
    <x v="12"/>
    <x v="0"/>
    <n v="60"/>
    <n v="65"/>
    <n v="60"/>
    <n v="130"/>
    <n v="75"/>
    <n v="110"/>
    <n v="500"/>
    <n v="83.333333333333329"/>
    <n v="27"/>
    <n v="2"/>
  </r>
  <r>
    <n v="95"/>
    <x v="94"/>
    <n v="88"/>
    <n v="2100"/>
    <n v="77"/>
    <x v="11"/>
    <x v="3"/>
    <n v="35"/>
    <n v="45"/>
    <n v="160"/>
    <n v="30"/>
    <n v="45"/>
    <n v="70"/>
    <n v="385"/>
    <n v="64.166666666666671"/>
    <n v="23.863636363636363"/>
    <n v="2"/>
  </r>
  <r>
    <n v="96"/>
    <x v="95"/>
    <n v="10"/>
    <n v="324"/>
    <n v="66"/>
    <x v="10"/>
    <x v="1"/>
    <n v="60"/>
    <n v="48"/>
    <n v="45"/>
    <n v="43"/>
    <n v="90"/>
    <n v="42"/>
    <n v="328"/>
    <n v="54.666666666666664"/>
    <n v="32.4"/>
    <n v="1"/>
  </r>
  <r>
    <n v="97"/>
    <x v="96"/>
    <n v="16"/>
    <n v="756"/>
    <n v="169"/>
    <x v="10"/>
    <x v="1"/>
    <n v="85"/>
    <n v="73"/>
    <n v="70"/>
    <n v="73"/>
    <n v="115"/>
    <n v="67"/>
    <n v="483"/>
    <n v="80.5"/>
    <n v="47.25"/>
    <n v="1"/>
  </r>
  <r>
    <n v="98"/>
    <x v="97"/>
    <n v="4"/>
    <n v="65"/>
    <n v="65"/>
    <x v="2"/>
    <x v="1"/>
    <n v="30"/>
    <n v="105"/>
    <n v="90"/>
    <n v="25"/>
    <n v="25"/>
    <n v="50"/>
    <n v="325"/>
    <n v="54.166666666666664"/>
    <n v="16.25"/>
    <n v="1"/>
  </r>
  <r>
    <n v="99"/>
    <x v="98"/>
    <n v="13"/>
    <n v="600"/>
    <n v="166"/>
    <x v="2"/>
    <x v="1"/>
    <n v="55"/>
    <n v="130"/>
    <n v="115"/>
    <n v="50"/>
    <n v="50"/>
    <n v="75"/>
    <n v="475"/>
    <n v="79.166666666666671"/>
    <n v="46.153846153846153"/>
    <n v="1"/>
  </r>
  <r>
    <n v="100"/>
    <x v="99"/>
    <n v="5"/>
    <n v="104"/>
    <n v="66"/>
    <x v="6"/>
    <x v="1"/>
    <n v="40"/>
    <n v="30"/>
    <n v="50"/>
    <n v="55"/>
    <n v="55"/>
    <n v="100"/>
    <n v="330"/>
    <n v="55"/>
    <n v="20.8"/>
    <n v="1"/>
  </r>
  <r>
    <n v="101"/>
    <x v="100"/>
    <n v="12"/>
    <n v="666"/>
    <n v="172"/>
    <x v="6"/>
    <x v="1"/>
    <n v="60"/>
    <n v="50"/>
    <n v="70"/>
    <n v="80"/>
    <n v="80"/>
    <n v="150"/>
    <n v="490"/>
    <n v="81.666666666666671"/>
    <n v="55.5"/>
    <n v="1"/>
  </r>
  <r>
    <n v="102"/>
    <x v="101"/>
    <n v="4"/>
    <n v="25"/>
    <n v="65"/>
    <x v="0"/>
    <x v="7"/>
    <n v="60"/>
    <n v="40"/>
    <n v="80"/>
    <n v="60"/>
    <n v="45"/>
    <n v="40"/>
    <n v="325"/>
    <n v="54.166666666666664"/>
    <n v="6.25"/>
    <n v="2"/>
  </r>
  <r>
    <n v="103"/>
    <x v="102"/>
    <n v="20"/>
    <n v="1200"/>
    <n v="186"/>
    <x v="0"/>
    <x v="7"/>
    <n v="95"/>
    <n v="95"/>
    <n v="85"/>
    <n v="125"/>
    <n v="75"/>
    <n v="55"/>
    <n v="530"/>
    <n v="88.333333333333329"/>
    <n v="60"/>
    <n v="2"/>
  </r>
  <r>
    <n v="104"/>
    <x v="103"/>
    <n v="4"/>
    <n v="65"/>
    <n v="64"/>
    <x v="7"/>
    <x v="1"/>
    <n v="50"/>
    <n v="50"/>
    <n v="95"/>
    <n v="40"/>
    <n v="50"/>
    <n v="35"/>
    <n v="320"/>
    <n v="53.333333333333336"/>
    <n v="16.25"/>
    <n v="1"/>
  </r>
  <r>
    <n v="105"/>
    <x v="104"/>
    <n v="10"/>
    <n v="450"/>
    <n v="149"/>
    <x v="7"/>
    <x v="1"/>
    <n v="60"/>
    <n v="80"/>
    <n v="110"/>
    <n v="50"/>
    <n v="80"/>
    <n v="45"/>
    <n v="425"/>
    <n v="70.833333333333329"/>
    <n v="45"/>
    <n v="1"/>
  </r>
  <r>
    <n v="106"/>
    <x v="105"/>
    <n v="15"/>
    <n v="498"/>
    <n v="159"/>
    <x v="9"/>
    <x v="1"/>
    <n v="50"/>
    <n v="120"/>
    <n v="53"/>
    <n v="35"/>
    <n v="110"/>
    <n v="87"/>
    <n v="455"/>
    <n v="75.833333333333329"/>
    <n v="33.200000000000003"/>
    <n v="1"/>
  </r>
  <r>
    <n v="107"/>
    <x v="106"/>
    <n v="14"/>
    <n v="502"/>
    <n v="159"/>
    <x v="9"/>
    <x v="1"/>
    <n v="50"/>
    <n v="105"/>
    <n v="79"/>
    <n v="35"/>
    <n v="110"/>
    <n v="76"/>
    <n v="455"/>
    <n v="75.833333333333329"/>
    <n v="35.857142857142854"/>
    <n v="1"/>
  </r>
  <r>
    <n v="108"/>
    <x v="107"/>
    <n v="12"/>
    <n v="655"/>
    <n v="77"/>
    <x v="4"/>
    <x v="1"/>
    <n v="90"/>
    <n v="55"/>
    <n v="75"/>
    <n v="60"/>
    <n v="75"/>
    <n v="30"/>
    <n v="385"/>
    <n v="64.166666666666671"/>
    <n v="54.583333333333336"/>
    <n v="1"/>
  </r>
  <r>
    <n v="109"/>
    <x v="108"/>
    <n v="6"/>
    <n v="10"/>
    <n v="68"/>
    <x v="5"/>
    <x v="1"/>
    <n v="40"/>
    <n v="65"/>
    <n v="95"/>
    <n v="60"/>
    <n v="45"/>
    <n v="35"/>
    <n v="340"/>
    <n v="56.666666666666664"/>
    <n v="1.6666666666666667"/>
    <n v="1"/>
  </r>
  <r>
    <n v="110"/>
    <x v="109"/>
    <n v="12"/>
    <n v="95"/>
    <n v="172"/>
    <x v="5"/>
    <x v="1"/>
    <n v="65"/>
    <n v="90"/>
    <n v="120"/>
    <n v="85"/>
    <n v="70"/>
    <n v="60"/>
    <n v="490"/>
    <n v="81.666666666666671"/>
    <n v="7.916666666666667"/>
    <n v="1"/>
  </r>
  <r>
    <n v="111"/>
    <x v="110"/>
    <n v="10"/>
    <n v="1150"/>
    <n v="69"/>
    <x v="7"/>
    <x v="10"/>
    <n v="80"/>
    <n v="85"/>
    <n v="95"/>
    <n v="30"/>
    <n v="30"/>
    <n v="25"/>
    <n v="345"/>
    <n v="57.5"/>
    <n v="115"/>
    <n v="2"/>
  </r>
  <r>
    <n v="112"/>
    <x v="111"/>
    <n v="19"/>
    <n v="1200"/>
    <n v="170"/>
    <x v="7"/>
    <x v="10"/>
    <n v="105"/>
    <n v="130"/>
    <n v="120"/>
    <n v="45"/>
    <n v="45"/>
    <n v="40"/>
    <n v="485"/>
    <n v="80.833333333333329"/>
    <n v="63.157894736842103"/>
    <n v="2"/>
  </r>
  <r>
    <n v="113"/>
    <x v="112"/>
    <n v="11"/>
    <n v="346"/>
    <n v="395"/>
    <x v="4"/>
    <x v="1"/>
    <n v="250"/>
    <n v="5"/>
    <n v="5"/>
    <n v="35"/>
    <n v="105"/>
    <n v="50"/>
    <n v="450"/>
    <n v="75"/>
    <n v="31.454545454545453"/>
    <n v="1"/>
  </r>
  <r>
    <n v="114"/>
    <x v="113"/>
    <n v="10"/>
    <n v="350"/>
    <n v="87"/>
    <x v="0"/>
    <x v="1"/>
    <n v="65"/>
    <n v="55"/>
    <n v="115"/>
    <n v="100"/>
    <n v="40"/>
    <n v="60"/>
    <n v="435"/>
    <n v="72.5"/>
    <n v="35"/>
    <n v="1"/>
  </r>
  <r>
    <n v="115"/>
    <x v="114"/>
    <n v="22"/>
    <n v="800"/>
    <n v="172"/>
    <x v="4"/>
    <x v="1"/>
    <n v="105"/>
    <n v="95"/>
    <n v="80"/>
    <n v="40"/>
    <n v="80"/>
    <n v="90"/>
    <n v="490"/>
    <n v="81.666666666666671"/>
    <n v="36.363636363636367"/>
    <n v="1"/>
  </r>
  <r>
    <n v="116"/>
    <x v="115"/>
    <n v="4"/>
    <n v="80"/>
    <n v="59"/>
    <x v="2"/>
    <x v="1"/>
    <n v="30"/>
    <n v="40"/>
    <n v="70"/>
    <n v="70"/>
    <n v="25"/>
    <n v="60"/>
    <n v="295"/>
    <n v="49.166666666666664"/>
    <n v="20"/>
    <n v="1"/>
  </r>
  <r>
    <n v="117"/>
    <x v="116"/>
    <n v="12"/>
    <n v="250"/>
    <n v="154"/>
    <x v="2"/>
    <x v="1"/>
    <n v="55"/>
    <n v="65"/>
    <n v="95"/>
    <n v="95"/>
    <n v="45"/>
    <n v="85"/>
    <n v="440"/>
    <n v="73.333333333333329"/>
    <n v="20.833333333333332"/>
    <n v="1"/>
  </r>
  <r>
    <n v="118"/>
    <x v="117"/>
    <n v="6"/>
    <n v="150"/>
    <n v="64"/>
    <x v="2"/>
    <x v="1"/>
    <n v="45"/>
    <n v="67"/>
    <n v="60"/>
    <n v="35"/>
    <n v="50"/>
    <n v="63"/>
    <n v="320"/>
    <n v="53.333333333333336"/>
    <n v="25"/>
    <n v="1"/>
  </r>
  <r>
    <n v="119"/>
    <x v="118"/>
    <n v="13"/>
    <n v="390"/>
    <n v="158"/>
    <x v="2"/>
    <x v="1"/>
    <n v="80"/>
    <n v="92"/>
    <n v="65"/>
    <n v="65"/>
    <n v="80"/>
    <n v="68"/>
    <n v="450"/>
    <n v="75"/>
    <n v="30"/>
    <n v="1"/>
  </r>
  <r>
    <n v="120"/>
    <x v="119"/>
    <n v="8"/>
    <n v="345"/>
    <n v="68"/>
    <x v="2"/>
    <x v="1"/>
    <n v="30"/>
    <n v="45"/>
    <n v="55"/>
    <n v="70"/>
    <n v="55"/>
    <n v="85"/>
    <n v="340"/>
    <n v="56.666666666666664"/>
    <n v="43.125"/>
    <n v="1"/>
  </r>
  <r>
    <n v="121"/>
    <x v="120"/>
    <n v="11"/>
    <n v="800"/>
    <n v="182"/>
    <x v="2"/>
    <x v="7"/>
    <n v="60"/>
    <n v="75"/>
    <n v="85"/>
    <n v="100"/>
    <n v="85"/>
    <n v="115"/>
    <n v="520"/>
    <n v="86.666666666666671"/>
    <n v="72.727272727272734"/>
    <n v="2"/>
  </r>
  <r>
    <n v="122"/>
    <x v="121"/>
    <n v="13"/>
    <n v="545"/>
    <n v="161"/>
    <x v="10"/>
    <x v="4"/>
    <n v="40"/>
    <n v="45"/>
    <n v="65"/>
    <n v="100"/>
    <n v="120"/>
    <n v="90"/>
    <n v="460"/>
    <n v="76.666666666666671"/>
    <n v="41.92307692307692"/>
    <n v="2"/>
  </r>
  <r>
    <n v="123"/>
    <x v="122"/>
    <n v="15"/>
    <n v="560"/>
    <n v="100"/>
    <x v="3"/>
    <x v="2"/>
    <n v="70"/>
    <n v="110"/>
    <n v="80"/>
    <n v="55"/>
    <n v="80"/>
    <n v="105"/>
    <n v="500"/>
    <n v="83.333333333333329"/>
    <n v="37.333333333333336"/>
    <n v="2"/>
  </r>
  <r>
    <n v="124"/>
    <x v="123"/>
    <n v="14"/>
    <n v="406"/>
    <n v="159"/>
    <x v="13"/>
    <x v="7"/>
    <n v="65"/>
    <n v="50"/>
    <n v="35"/>
    <n v="115"/>
    <n v="95"/>
    <n v="95"/>
    <n v="455"/>
    <n v="75.833333333333329"/>
    <n v="29"/>
    <n v="2"/>
  </r>
  <r>
    <n v="125"/>
    <x v="124"/>
    <n v="11"/>
    <n v="300"/>
    <n v="172"/>
    <x v="6"/>
    <x v="1"/>
    <n v="65"/>
    <n v="83"/>
    <n v="57"/>
    <n v="95"/>
    <n v="85"/>
    <n v="105"/>
    <n v="490"/>
    <n v="81.666666666666671"/>
    <n v="27.272727272727273"/>
    <n v="1"/>
  </r>
  <r>
    <n v="126"/>
    <x v="125"/>
    <n v="13"/>
    <n v="445"/>
    <n v="173"/>
    <x v="1"/>
    <x v="1"/>
    <n v="65"/>
    <n v="95"/>
    <n v="57"/>
    <n v="100"/>
    <n v="85"/>
    <n v="93"/>
    <n v="495"/>
    <n v="82.5"/>
    <n v="34.230769230769234"/>
    <n v="1"/>
  </r>
  <r>
    <n v="127"/>
    <x v="126"/>
    <n v="15"/>
    <n v="550"/>
    <n v="175"/>
    <x v="3"/>
    <x v="1"/>
    <n v="65"/>
    <n v="125"/>
    <n v="100"/>
    <n v="55"/>
    <n v="70"/>
    <n v="85"/>
    <n v="500"/>
    <n v="83.333333333333329"/>
    <n v="36.666666666666664"/>
    <n v="1"/>
  </r>
  <r>
    <n v="128"/>
    <x v="127"/>
    <n v="14"/>
    <n v="884"/>
    <n v="172"/>
    <x v="4"/>
    <x v="1"/>
    <n v="75"/>
    <n v="100"/>
    <n v="95"/>
    <n v="40"/>
    <n v="70"/>
    <n v="110"/>
    <n v="490"/>
    <n v="81.666666666666671"/>
    <n v="63.142857142857146"/>
    <n v="1"/>
  </r>
  <r>
    <n v="129"/>
    <x v="128"/>
    <n v="9"/>
    <n v="100"/>
    <n v="40"/>
    <x v="2"/>
    <x v="1"/>
    <n v="20"/>
    <n v="10"/>
    <n v="55"/>
    <n v="15"/>
    <n v="20"/>
    <n v="80"/>
    <n v="200"/>
    <n v="33.333333333333336"/>
    <n v="11.111111111111111"/>
    <n v="1"/>
  </r>
  <r>
    <n v="130"/>
    <x v="129"/>
    <n v="65"/>
    <n v="2350"/>
    <n v="189"/>
    <x v="2"/>
    <x v="2"/>
    <n v="95"/>
    <n v="125"/>
    <n v="79"/>
    <n v="60"/>
    <n v="100"/>
    <n v="81"/>
    <n v="540"/>
    <n v="90"/>
    <n v="36.153846153846153"/>
    <n v="2"/>
  </r>
  <r>
    <n v="131"/>
    <x v="130"/>
    <n v="25"/>
    <n v="2200"/>
    <n v="187"/>
    <x v="2"/>
    <x v="9"/>
    <n v="130"/>
    <n v="85"/>
    <n v="80"/>
    <n v="85"/>
    <n v="95"/>
    <n v="60"/>
    <n v="535"/>
    <n v="89.166666666666671"/>
    <n v="88"/>
    <n v="2"/>
  </r>
  <r>
    <n v="132"/>
    <x v="131"/>
    <n v="3"/>
    <n v="40"/>
    <n v="101"/>
    <x v="4"/>
    <x v="1"/>
    <n v="48"/>
    <n v="48"/>
    <n v="48"/>
    <n v="48"/>
    <n v="48"/>
    <n v="48"/>
    <n v="288"/>
    <n v="48"/>
    <n v="13.333333333333334"/>
    <n v="1"/>
  </r>
  <r>
    <n v="133"/>
    <x v="132"/>
    <n v="3"/>
    <n v="65"/>
    <n v="65"/>
    <x v="4"/>
    <x v="1"/>
    <n v="55"/>
    <n v="55"/>
    <n v="50"/>
    <n v="45"/>
    <n v="65"/>
    <n v="55"/>
    <n v="325"/>
    <n v="54.166666666666664"/>
    <n v="21.666666666666668"/>
    <n v="1"/>
  </r>
  <r>
    <n v="134"/>
    <x v="133"/>
    <n v="10"/>
    <n v="290"/>
    <n v="184"/>
    <x v="2"/>
    <x v="1"/>
    <n v="130"/>
    <n v="65"/>
    <n v="60"/>
    <n v="110"/>
    <n v="95"/>
    <n v="65"/>
    <n v="525"/>
    <n v="87.5"/>
    <n v="29"/>
    <n v="1"/>
  </r>
  <r>
    <n v="135"/>
    <x v="134"/>
    <n v="8"/>
    <n v="245"/>
    <n v="184"/>
    <x v="6"/>
    <x v="1"/>
    <n v="65"/>
    <n v="65"/>
    <n v="60"/>
    <n v="110"/>
    <n v="95"/>
    <n v="130"/>
    <n v="525"/>
    <n v="87.5"/>
    <n v="30.625"/>
    <n v="1"/>
  </r>
  <r>
    <n v="136"/>
    <x v="135"/>
    <n v="9"/>
    <n v="250"/>
    <n v="184"/>
    <x v="1"/>
    <x v="1"/>
    <n v="65"/>
    <n v="130"/>
    <n v="60"/>
    <n v="95"/>
    <n v="110"/>
    <n v="65"/>
    <n v="525"/>
    <n v="87.5"/>
    <n v="27.777777777777779"/>
    <n v="1"/>
  </r>
  <r>
    <n v="137"/>
    <x v="136"/>
    <n v="8"/>
    <n v="365"/>
    <n v="79"/>
    <x v="4"/>
    <x v="1"/>
    <n v="65"/>
    <n v="60"/>
    <n v="70"/>
    <n v="85"/>
    <n v="75"/>
    <n v="40"/>
    <n v="395"/>
    <n v="65.833333333333329"/>
    <n v="45.625"/>
    <n v="1"/>
  </r>
  <r>
    <n v="138"/>
    <x v="137"/>
    <n v="4"/>
    <n v="75"/>
    <n v="71"/>
    <x v="11"/>
    <x v="11"/>
    <n v="35"/>
    <n v="40"/>
    <n v="100"/>
    <n v="90"/>
    <n v="55"/>
    <n v="35"/>
    <n v="355"/>
    <n v="59.166666666666664"/>
    <n v="18.75"/>
    <n v="2"/>
  </r>
  <r>
    <n v="139"/>
    <x v="138"/>
    <n v="10"/>
    <n v="350"/>
    <n v="173"/>
    <x v="11"/>
    <x v="11"/>
    <n v="70"/>
    <n v="60"/>
    <n v="125"/>
    <n v="115"/>
    <n v="70"/>
    <n v="55"/>
    <n v="495"/>
    <n v="82.5"/>
    <n v="35"/>
    <n v="2"/>
  </r>
  <r>
    <n v="140"/>
    <x v="139"/>
    <n v="5"/>
    <n v="115"/>
    <n v="71"/>
    <x v="11"/>
    <x v="11"/>
    <n v="30"/>
    <n v="80"/>
    <n v="90"/>
    <n v="55"/>
    <n v="45"/>
    <n v="55"/>
    <n v="355"/>
    <n v="59.166666666666664"/>
    <n v="23"/>
    <n v="2"/>
  </r>
  <r>
    <n v="141"/>
    <x v="140"/>
    <n v="13"/>
    <n v="405"/>
    <n v="173"/>
    <x v="11"/>
    <x v="11"/>
    <n v="60"/>
    <n v="115"/>
    <n v="105"/>
    <n v="65"/>
    <n v="70"/>
    <n v="80"/>
    <n v="495"/>
    <n v="82.5"/>
    <n v="31.153846153846153"/>
    <n v="2"/>
  </r>
  <r>
    <n v="142"/>
    <x v="141"/>
    <n v="18"/>
    <n v="590"/>
    <n v="180"/>
    <x v="11"/>
    <x v="2"/>
    <n v="80"/>
    <n v="105"/>
    <n v="65"/>
    <n v="60"/>
    <n v="75"/>
    <n v="130"/>
    <n v="515"/>
    <n v="85.833333333333329"/>
    <n v="32.777777777777779"/>
    <n v="2"/>
  </r>
  <r>
    <n v="143"/>
    <x v="142"/>
    <n v="21"/>
    <n v="4600"/>
    <n v="189"/>
    <x v="4"/>
    <x v="1"/>
    <n v="160"/>
    <n v="110"/>
    <n v="65"/>
    <n v="65"/>
    <n v="110"/>
    <n v="30"/>
    <n v="540"/>
    <n v="90"/>
    <n v="219.04761904761904"/>
    <n v="1"/>
  </r>
  <r>
    <n v="144"/>
    <x v="143"/>
    <n v="17"/>
    <n v="554"/>
    <n v="261"/>
    <x v="13"/>
    <x v="2"/>
    <n v="90"/>
    <n v="85"/>
    <n v="100"/>
    <n v="95"/>
    <n v="125"/>
    <n v="85"/>
    <n v="580"/>
    <n v="96.666666666666671"/>
    <n v="32.588235294117645"/>
    <n v="2"/>
  </r>
  <r>
    <n v="145"/>
    <x v="144"/>
    <n v="16"/>
    <n v="526"/>
    <n v="261"/>
    <x v="6"/>
    <x v="2"/>
    <n v="90"/>
    <n v="90"/>
    <n v="85"/>
    <n v="125"/>
    <n v="90"/>
    <n v="100"/>
    <n v="580"/>
    <n v="96.666666666666671"/>
    <n v="32.875"/>
    <n v="2"/>
  </r>
  <r>
    <n v="146"/>
    <x v="145"/>
    <n v="20"/>
    <n v="600"/>
    <n v="261"/>
    <x v="1"/>
    <x v="2"/>
    <n v="90"/>
    <n v="100"/>
    <n v="90"/>
    <n v="125"/>
    <n v="85"/>
    <n v="90"/>
    <n v="580"/>
    <n v="96.666666666666671"/>
    <n v="30"/>
    <n v="2"/>
  </r>
  <r>
    <n v="147"/>
    <x v="146"/>
    <n v="18"/>
    <n v="33"/>
    <n v="60"/>
    <x v="14"/>
    <x v="1"/>
    <n v="41"/>
    <n v="64"/>
    <n v="45"/>
    <n v="50"/>
    <n v="50"/>
    <n v="50"/>
    <n v="300"/>
    <n v="50"/>
    <n v="1.8333333333333333"/>
    <n v="1"/>
  </r>
  <r>
    <n v="148"/>
    <x v="147"/>
    <n v="40"/>
    <n v="165"/>
    <n v="147"/>
    <x v="14"/>
    <x v="1"/>
    <n v="61"/>
    <n v="84"/>
    <n v="65"/>
    <n v="70"/>
    <n v="70"/>
    <n v="70"/>
    <n v="420"/>
    <n v="70"/>
    <n v="4.125"/>
    <n v="1"/>
  </r>
  <r>
    <n v="149"/>
    <x v="148"/>
    <n v="22"/>
    <n v="2100"/>
    <n v="270"/>
    <x v="14"/>
    <x v="2"/>
    <n v="91"/>
    <n v="134"/>
    <n v="95"/>
    <n v="100"/>
    <n v="100"/>
    <n v="80"/>
    <n v="600"/>
    <n v="100"/>
    <n v="95.454545454545453"/>
    <n v="2"/>
  </r>
  <r>
    <n v="150"/>
    <x v="149"/>
    <n v="20"/>
    <n v="1220"/>
    <n v="306"/>
    <x v="10"/>
    <x v="1"/>
    <n v="106"/>
    <n v="110"/>
    <n v="90"/>
    <n v="154"/>
    <n v="90"/>
    <n v="130"/>
    <n v="680"/>
    <n v="113.33333333333333"/>
    <n v="61"/>
    <n v="1"/>
  </r>
  <r>
    <n v="151"/>
    <x v="150"/>
    <n v="4"/>
    <n v="40"/>
    <n v="270"/>
    <x v="10"/>
    <x v="1"/>
    <n v="100"/>
    <n v="100"/>
    <n v="100"/>
    <n v="100"/>
    <n v="100"/>
    <n v="100"/>
    <n v="600"/>
    <n v="100"/>
    <n v="10"/>
    <n v="1"/>
  </r>
  <r>
    <n v="152"/>
    <x v="151"/>
    <n v="9"/>
    <n v="64"/>
    <n v="64"/>
    <x v="0"/>
    <x v="1"/>
    <n v="45"/>
    <n v="49"/>
    <n v="65"/>
    <n v="49"/>
    <n v="65"/>
    <n v="45"/>
    <n v="318"/>
    <n v="53"/>
    <n v="7.1111111111111107"/>
    <n v="1"/>
  </r>
  <r>
    <n v="153"/>
    <x v="152"/>
    <n v="12"/>
    <n v="158"/>
    <n v="142"/>
    <x v="0"/>
    <x v="1"/>
    <n v="60"/>
    <n v="62"/>
    <n v="80"/>
    <n v="63"/>
    <n v="80"/>
    <n v="60"/>
    <n v="405"/>
    <n v="67.5"/>
    <n v="13.166666666666666"/>
    <n v="1"/>
  </r>
  <r>
    <n v="154"/>
    <x v="153"/>
    <n v="18"/>
    <n v="1005"/>
    <n v="236"/>
    <x v="0"/>
    <x v="1"/>
    <n v="80"/>
    <n v="82"/>
    <n v="100"/>
    <n v="83"/>
    <n v="100"/>
    <n v="80"/>
    <n v="525"/>
    <n v="87.5"/>
    <n v="55.833333333333336"/>
    <n v="1"/>
  </r>
  <r>
    <n v="155"/>
    <x v="154"/>
    <n v="5"/>
    <n v="79"/>
    <n v="62"/>
    <x v="1"/>
    <x v="1"/>
    <n v="39"/>
    <n v="52"/>
    <n v="43"/>
    <n v="60"/>
    <n v="50"/>
    <n v="65"/>
    <n v="309"/>
    <n v="51.5"/>
    <n v="15.8"/>
    <n v="1"/>
  </r>
  <r>
    <n v="156"/>
    <x v="155"/>
    <n v="9"/>
    <n v="190"/>
    <n v="142"/>
    <x v="1"/>
    <x v="1"/>
    <n v="58"/>
    <n v="64"/>
    <n v="58"/>
    <n v="80"/>
    <n v="65"/>
    <n v="80"/>
    <n v="405"/>
    <n v="67.5"/>
    <n v="21.111111111111111"/>
    <n v="1"/>
  </r>
  <r>
    <n v="157"/>
    <x v="156"/>
    <n v="17"/>
    <n v="795"/>
    <n v="240"/>
    <x v="1"/>
    <x v="1"/>
    <n v="78"/>
    <n v="84"/>
    <n v="78"/>
    <n v="109"/>
    <n v="85"/>
    <n v="100"/>
    <n v="534"/>
    <n v="89"/>
    <n v="46.764705882352942"/>
    <n v="1"/>
  </r>
  <r>
    <n v="158"/>
    <x v="157"/>
    <n v="6"/>
    <n v="95"/>
    <n v="63"/>
    <x v="2"/>
    <x v="1"/>
    <n v="50"/>
    <n v="65"/>
    <n v="64"/>
    <n v="44"/>
    <n v="48"/>
    <n v="43"/>
    <n v="314"/>
    <n v="52.333333333333336"/>
    <n v="15.833333333333334"/>
    <n v="1"/>
  </r>
  <r>
    <n v="159"/>
    <x v="158"/>
    <n v="11"/>
    <n v="250"/>
    <n v="142"/>
    <x v="2"/>
    <x v="1"/>
    <n v="65"/>
    <n v="80"/>
    <n v="80"/>
    <n v="59"/>
    <n v="63"/>
    <n v="58"/>
    <n v="405"/>
    <n v="67.5"/>
    <n v="22.727272727272727"/>
    <n v="1"/>
  </r>
  <r>
    <n v="160"/>
    <x v="159"/>
    <n v="23"/>
    <n v="888"/>
    <n v="239"/>
    <x v="2"/>
    <x v="1"/>
    <n v="85"/>
    <n v="105"/>
    <n v="100"/>
    <n v="79"/>
    <n v="83"/>
    <n v="78"/>
    <n v="530"/>
    <n v="88.333333333333329"/>
    <n v="38.608695652173914"/>
    <n v="1"/>
  </r>
  <r>
    <n v="161"/>
    <x v="160"/>
    <n v="8"/>
    <n v="60"/>
    <n v="43"/>
    <x v="4"/>
    <x v="1"/>
    <n v="35"/>
    <n v="46"/>
    <n v="34"/>
    <n v="35"/>
    <n v="45"/>
    <n v="20"/>
    <n v="215"/>
    <n v="35.833333333333336"/>
    <n v="7.5"/>
    <n v="1"/>
  </r>
  <r>
    <n v="162"/>
    <x v="161"/>
    <n v="18"/>
    <n v="325"/>
    <n v="145"/>
    <x v="4"/>
    <x v="1"/>
    <n v="85"/>
    <n v="76"/>
    <n v="64"/>
    <n v="45"/>
    <n v="55"/>
    <n v="90"/>
    <n v="415"/>
    <n v="69.166666666666671"/>
    <n v="18.055555555555557"/>
    <n v="1"/>
  </r>
  <r>
    <n v="163"/>
    <x v="162"/>
    <n v="7"/>
    <n v="212"/>
    <n v="52"/>
    <x v="4"/>
    <x v="2"/>
    <n v="60"/>
    <n v="30"/>
    <n v="30"/>
    <n v="36"/>
    <n v="56"/>
    <n v="50"/>
    <n v="262"/>
    <n v="43.666666666666664"/>
    <n v="30.285714285714285"/>
    <n v="2"/>
  </r>
  <r>
    <n v="164"/>
    <x v="163"/>
    <n v="16"/>
    <n v="408"/>
    <n v="158"/>
    <x v="4"/>
    <x v="2"/>
    <n v="100"/>
    <n v="50"/>
    <n v="50"/>
    <n v="86"/>
    <n v="96"/>
    <n v="70"/>
    <n v="452"/>
    <n v="75.333333333333329"/>
    <n v="25.5"/>
    <n v="2"/>
  </r>
  <r>
    <n v="165"/>
    <x v="164"/>
    <n v="10"/>
    <n v="108"/>
    <n v="53"/>
    <x v="3"/>
    <x v="2"/>
    <n v="40"/>
    <n v="20"/>
    <n v="30"/>
    <n v="40"/>
    <n v="80"/>
    <n v="55"/>
    <n v="265"/>
    <n v="44.166666666666664"/>
    <n v="10.8"/>
    <n v="2"/>
  </r>
  <r>
    <n v="166"/>
    <x v="165"/>
    <n v="14"/>
    <n v="356"/>
    <n v="137"/>
    <x v="3"/>
    <x v="2"/>
    <n v="55"/>
    <n v="35"/>
    <n v="50"/>
    <n v="55"/>
    <n v="110"/>
    <n v="85"/>
    <n v="390"/>
    <n v="65"/>
    <n v="25.428571428571427"/>
    <n v="2"/>
  </r>
  <r>
    <n v="167"/>
    <x v="166"/>
    <n v="5"/>
    <n v="85"/>
    <n v="50"/>
    <x v="3"/>
    <x v="0"/>
    <n v="40"/>
    <n v="60"/>
    <n v="40"/>
    <n v="40"/>
    <n v="40"/>
    <n v="30"/>
    <n v="250"/>
    <n v="41.666666666666664"/>
    <n v="17"/>
    <n v="2"/>
  </r>
  <r>
    <n v="168"/>
    <x v="167"/>
    <n v="11"/>
    <n v="335"/>
    <n v="140"/>
    <x v="3"/>
    <x v="0"/>
    <n v="70"/>
    <n v="90"/>
    <n v="70"/>
    <n v="60"/>
    <n v="70"/>
    <n v="40"/>
    <n v="400"/>
    <n v="66.666666666666671"/>
    <n v="30.454545454545453"/>
    <n v="2"/>
  </r>
  <r>
    <n v="169"/>
    <x v="168"/>
    <n v="18"/>
    <n v="750"/>
    <n v="241"/>
    <x v="5"/>
    <x v="2"/>
    <n v="85"/>
    <n v="90"/>
    <n v="80"/>
    <n v="70"/>
    <n v="80"/>
    <n v="130"/>
    <n v="535"/>
    <n v="89.166666666666671"/>
    <n v="41.666666666666664"/>
    <n v="2"/>
  </r>
  <r>
    <n v="170"/>
    <x v="169"/>
    <n v="5"/>
    <n v="120"/>
    <n v="66"/>
    <x v="2"/>
    <x v="12"/>
    <n v="75"/>
    <n v="38"/>
    <n v="38"/>
    <n v="56"/>
    <n v="56"/>
    <n v="67"/>
    <n v="330"/>
    <n v="55"/>
    <n v="24"/>
    <n v="2"/>
  </r>
  <r>
    <n v="171"/>
    <x v="170"/>
    <n v="12"/>
    <n v="225"/>
    <n v="161"/>
    <x v="2"/>
    <x v="12"/>
    <n v="125"/>
    <n v="58"/>
    <n v="58"/>
    <n v="76"/>
    <n v="76"/>
    <n v="67"/>
    <n v="460"/>
    <n v="76.666666666666671"/>
    <n v="18.75"/>
    <n v="2"/>
  </r>
  <r>
    <n v="172"/>
    <x v="171"/>
    <n v="3"/>
    <n v="20"/>
    <n v="41"/>
    <x v="6"/>
    <x v="1"/>
    <n v="20"/>
    <n v="40"/>
    <n v="15"/>
    <n v="35"/>
    <n v="35"/>
    <n v="60"/>
    <n v="205"/>
    <n v="34.166666666666664"/>
    <n v="6.666666666666667"/>
    <n v="1"/>
  </r>
  <r>
    <n v="173"/>
    <x v="172"/>
    <n v="3"/>
    <n v="30"/>
    <n v="44"/>
    <x v="8"/>
    <x v="1"/>
    <n v="50"/>
    <n v="25"/>
    <n v="28"/>
    <n v="45"/>
    <n v="55"/>
    <n v="15"/>
    <n v="218"/>
    <n v="36.333333333333336"/>
    <n v="10"/>
    <n v="1"/>
  </r>
  <r>
    <n v="174"/>
    <x v="173"/>
    <n v="3"/>
    <n v="10"/>
    <n v="42"/>
    <x v="4"/>
    <x v="4"/>
    <n v="90"/>
    <n v="30"/>
    <n v="15"/>
    <n v="40"/>
    <n v="20"/>
    <n v="15"/>
    <n v="210"/>
    <n v="35"/>
    <n v="3.3333333333333335"/>
    <n v="2"/>
  </r>
  <r>
    <n v="175"/>
    <x v="174"/>
    <n v="3"/>
    <n v="15"/>
    <n v="49"/>
    <x v="8"/>
    <x v="1"/>
    <n v="35"/>
    <n v="20"/>
    <n v="65"/>
    <n v="40"/>
    <n v="65"/>
    <n v="20"/>
    <n v="245"/>
    <n v="40.833333333333336"/>
    <n v="5"/>
    <n v="1"/>
  </r>
  <r>
    <n v="176"/>
    <x v="175"/>
    <n v="6"/>
    <n v="32"/>
    <n v="142"/>
    <x v="8"/>
    <x v="2"/>
    <n v="55"/>
    <n v="40"/>
    <n v="85"/>
    <n v="80"/>
    <n v="105"/>
    <n v="40"/>
    <n v="405"/>
    <n v="67.5"/>
    <n v="5.333333333333333"/>
    <n v="2"/>
  </r>
  <r>
    <n v="177"/>
    <x v="176"/>
    <n v="2"/>
    <n v="20"/>
    <n v="64"/>
    <x v="10"/>
    <x v="2"/>
    <n v="40"/>
    <n v="50"/>
    <n v="45"/>
    <n v="70"/>
    <n v="45"/>
    <n v="70"/>
    <n v="320"/>
    <n v="53.333333333333336"/>
    <n v="10"/>
    <n v="2"/>
  </r>
  <r>
    <n v="178"/>
    <x v="177"/>
    <n v="15"/>
    <n v="150"/>
    <n v="165"/>
    <x v="10"/>
    <x v="2"/>
    <n v="65"/>
    <n v="75"/>
    <n v="70"/>
    <n v="95"/>
    <n v="70"/>
    <n v="95"/>
    <n v="470"/>
    <n v="78.333333333333329"/>
    <n v="10"/>
    <n v="2"/>
  </r>
  <r>
    <n v="179"/>
    <x v="178"/>
    <n v="6"/>
    <n v="78"/>
    <n v="56"/>
    <x v="6"/>
    <x v="1"/>
    <n v="55"/>
    <n v="40"/>
    <n v="40"/>
    <n v="65"/>
    <n v="45"/>
    <n v="35"/>
    <n v="280"/>
    <n v="46.666666666666664"/>
    <n v="13"/>
    <n v="1"/>
  </r>
  <r>
    <n v="180"/>
    <x v="179"/>
    <n v="8"/>
    <n v="133"/>
    <n v="128"/>
    <x v="6"/>
    <x v="1"/>
    <n v="70"/>
    <n v="55"/>
    <n v="55"/>
    <n v="80"/>
    <n v="60"/>
    <n v="45"/>
    <n v="365"/>
    <n v="60.833333333333336"/>
    <n v="16.625"/>
    <n v="1"/>
  </r>
  <r>
    <n v="181"/>
    <x v="180"/>
    <n v="14"/>
    <n v="615"/>
    <n v="230"/>
    <x v="6"/>
    <x v="1"/>
    <n v="90"/>
    <n v="75"/>
    <n v="85"/>
    <n v="115"/>
    <n v="90"/>
    <n v="55"/>
    <n v="510"/>
    <n v="85"/>
    <n v="43.928571428571431"/>
    <n v="1"/>
  </r>
  <r>
    <n v="182"/>
    <x v="181"/>
    <n v="4"/>
    <n v="58"/>
    <n v="221"/>
    <x v="0"/>
    <x v="1"/>
    <n v="75"/>
    <n v="80"/>
    <n v="95"/>
    <n v="90"/>
    <n v="100"/>
    <n v="50"/>
    <n v="490"/>
    <n v="81.666666666666671"/>
    <n v="14.5"/>
    <n v="1"/>
  </r>
  <r>
    <n v="183"/>
    <x v="182"/>
    <n v="4"/>
    <n v="85"/>
    <n v="88"/>
    <x v="2"/>
    <x v="4"/>
    <n v="70"/>
    <n v="20"/>
    <n v="50"/>
    <n v="20"/>
    <n v="50"/>
    <n v="40"/>
    <n v="250"/>
    <n v="41.666666666666664"/>
    <n v="21.25"/>
    <n v="2"/>
  </r>
  <r>
    <n v="184"/>
    <x v="183"/>
    <n v="8"/>
    <n v="285"/>
    <n v="189"/>
    <x v="2"/>
    <x v="4"/>
    <n v="100"/>
    <n v="50"/>
    <n v="80"/>
    <n v="60"/>
    <n v="80"/>
    <n v="50"/>
    <n v="420"/>
    <n v="70"/>
    <n v="35.625"/>
    <n v="2"/>
  </r>
  <r>
    <n v="185"/>
    <x v="184"/>
    <n v="12"/>
    <n v="380"/>
    <n v="144"/>
    <x v="11"/>
    <x v="1"/>
    <n v="70"/>
    <n v="100"/>
    <n v="115"/>
    <n v="30"/>
    <n v="65"/>
    <n v="30"/>
    <n v="410"/>
    <n v="68.333333333333329"/>
    <n v="31.666666666666668"/>
    <n v="1"/>
  </r>
  <r>
    <n v="186"/>
    <x v="185"/>
    <n v="11"/>
    <n v="339"/>
    <n v="225"/>
    <x v="2"/>
    <x v="1"/>
    <n v="90"/>
    <n v="75"/>
    <n v="75"/>
    <n v="90"/>
    <n v="100"/>
    <n v="70"/>
    <n v="500"/>
    <n v="83.333333333333329"/>
    <n v="30.818181818181817"/>
    <n v="1"/>
  </r>
  <r>
    <n v="187"/>
    <x v="186"/>
    <n v="4"/>
    <n v="5"/>
    <n v="50"/>
    <x v="0"/>
    <x v="2"/>
    <n v="35"/>
    <n v="35"/>
    <n v="40"/>
    <n v="35"/>
    <n v="55"/>
    <n v="50"/>
    <n v="250"/>
    <n v="41.666666666666664"/>
    <n v="1.25"/>
    <n v="2"/>
  </r>
  <r>
    <n v="188"/>
    <x v="187"/>
    <n v="6"/>
    <n v="10"/>
    <n v="119"/>
    <x v="0"/>
    <x v="2"/>
    <n v="55"/>
    <n v="45"/>
    <n v="50"/>
    <n v="45"/>
    <n v="65"/>
    <n v="80"/>
    <n v="340"/>
    <n v="56.666666666666664"/>
    <n v="1.6666666666666667"/>
    <n v="2"/>
  </r>
  <r>
    <n v="189"/>
    <x v="188"/>
    <n v="8"/>
    <n v="30"/>
    <n v="207"/>
    <x v="0"/>
    <x v="2"/>
    <n v="75"/>
    <n v="55"/>
    <n v="70"/>
    <n v="55"/>
    <n v="95"/>
    <n v="110"/>
    <n v="460"/>
    <n v="76.666666666666671"/>
    <n v="3.75"/>
    <n v="2"/>
  </r>
  <r>
    <n v="190"/>
    <x v="189"/>
    <n v="8"/>
    <n v="115"/>
    <n v="72"/>
    <x v="4"/>
    <x v="1"/>
    <n v="55"/>
    <n v="70"/>
    <n v="55"/>
    <n v="40"/>
    <n v="55"/>
    <n v="85"/>
    <n v="360"/>
    <n v="60"/>
    <n v="14.375"/>
    <n v="1"/>
  </r>
  <r>
    <n v="191"/>
    <x v="190"/>
    <n v="3"/>
    <n v="18"/>
    <n v="36"/>
    <x v="0"/>
    <x v="1"/>
    <n v="30"/>
    <n v="30"/>
    <n v="30"/>
    <n v="30"/>
    <n v="30"/>
    <n v="30"/>
    <n v="180"/>
    <n v="30"/>
    <n v="6"/>
    <n v="1"/>
  </r>
  <r>
    <n v="192"/>
    <x v="191"/>
    <n v="8"/>
    <n v="85"/>
    <n v="149"/>
    <x v="0"/>
    <x v="1"/>
    <n v="75"/>
    <n v="75"/>
    <n v="55"/>
    <n v="105"/>
    <n v="85"/>
    <n v="30"/>
    <n v="425"/>
    <n v="70.833333333333329"/>
    <n v="10.625"/>
    <n v="1"/>
  </r>
  <r>
    <n v="193"/>
    <x v="192"/>
    <n v="12"/>
    <n v="380"/>
    <n v="78"/>
    <x v="3"/>
    <x v="2"/>
    <n v="65"/>
    <n v="65"/>
    <n v="45"/>
    <n v="75"/>
    <n v="45"/>
    <n v="95"/>
    <n v="390"/>
    <n v="65"/>
    <n v="31.666666666666668"/>
    <n v="2"/>
  </r>
  <r>
    <n v="194"/>
    <x v="193"/>
    <n v="4"/>
    <n v="85"/>
    <n v="42"/>
    <x v="2"/>
    <x v="3"/>
    <n v="55"/>
    <n v="45"/>
    <n v="45"/>
    <n v="25"/>
    <n v="25"/>
    <n v="15"/>
    <n v="210"/>
    <n v="35"/>
    <n v="21.25"/>
    <n v="2"/>
  </r>
  <r>
    <n v="195"/>
    <x v="194"/>
    <n v="14"/>
    <n v="750"/>
    <n v="151"/>
    <x v="2"/>
    <x v="3"/>
    <n v="95"/>
    <n v="85"/>
    <n v="85"/>
    <n v="65"/>
    <n v="65"/>
    <n v="35"/>
    <n v="430"/>
    <n v="71.666666666666671"/>
    <n v="53.571428571428569"/>
    <n v="2"/>
  </r>
  <r>
    <n v="196"/>
    <x v="195"/>
    <n v="9"/>
    <n v="265"/>
    <n v="184"/>
    <x v="10"/>
    <x v="1"/>
    <n v="65"/>
    <n v="65"/>
    <n v="60"/>
    <n v="130"/>
    <n v="95"/>
    <n v="110"/>
    <n v="525"/>
    <n v="87.5"/>
    <n v="29.444444444444443"/>
    <n v="1"/>
  </r>
  <r>
    <n v="197"/>
    <x v="196"/>
    <n v="10"/>
    <n v="270"/>
    <n v="184"/>
    <x v="15"/>
    <x v="1"/>
    <n v="95"/>
    <n v="65"/>
    <n v="110"/>
    <n v="60"/>
    <n v="130"/>
    <n v="65"/>
    <n v="525"/>
    <n v="87.5"/>
    <n v="27"/>
    <n v="1"/>
  </r>
  <r>
    <n v="198"/>
    <x v="197"/>
    <n v="5"/>
    <n v="21"/>
    <n v="81"/>
    <x v="15"/>
    <x v="2"/>
    <n v="60"/>
    <n v="85"/>
    <n v="42"/>
    <n v="85"/>
    <n v="42"/>
    <n v="91"/>
    <n v="405"/>
    <n v="67.5"/>
    <n v="4.2"/>
    <n v="2"/>
  </r>
  <r>
    <n v="199"/>
    <x v="198"/>
    <n v="20"/>
    <n v="795"/>
    <n v="172"/>
    <x v="2"/>
    <x v="7"/>
    <n v="95"/>
    <n v="75"/>
    <n v="80"/>
    <n v="100"/>
    <n v="110"/>
    <n v="30"/>
    <n v="490"/>
    <n v="81.666666666666671"/>
    <n v="39.75"/>
    <n v="2"/>
  </r>
  <r>
    <n v="200"/>
    <x v="199"/>
    <n v="7"/>
    <n v="10"/>
    <n v="87"/>
    <x v="12"/>
    <x v="1"/>
    <n v="60"/>
    <n v="60"/>
    <n v="60"/>
    <n v="85"/>
    <n v="85"/>
    <n v="85"/>
    <n v="435"/>
    <n v="72.5"/>
    <n v="1.4285714285714286"/>
    <n v="1"/>
  </r>
  <r>
    <n v="201"/>
    <x v="200"/>
    <n v="5"/>
    <n v="50"/>
    <n v="118"/>
    <x v="10"/>
    <x v="1"/>
    <n v="48"/>
    <n v="72"/>
    <n v="48"/>
    <n v="72"/>
    <n v="48"/>
    <n v="48"/>
    <n v="336"/>
    <n v="56"/>
    <n v="10"/>
    <n v="1"/>
  </r>
  <r>
    <n v="202"/>
    <x v="201"/>
    <n v="13"/>
    <n v="285"/>
    <n v="142"/>
    <x v="10"/>
    <x v="1"/>
    <n v="190"/>
    <n v="33"/>
    <n v="58"/>
    <n v="33"/>
    <n v="58"/>
    <n v="33"/>
    <n v="405"/>
    <n v="67.5"/>
    <n v="21.923076923076923"/>
    <n v="1"/>
  </r>
  <r>
    <n v="203"/>
    <x v="202"/>
    <n v="15"/>
    <n v="415"/>
    <n v="159"/>
    <x v="4"/>
    <x v="7"/>
    <n v="70"/>
    <n v="80"/>
    <n v="65"/>
    <n v="90"/>
    <n v="65"/>
    <n v="85"/>
    <n v="455"/>
    <n v="75.833333333333329"/>
    <n v="27.666666666666668"/>
    <n v="2"/>
  </r>
  <r>
    <n v="204"/>
    <x v="203"/>
    <n v="6"/>
    <n v="72"/>
    <n v="58"/>
    <x v="3"/>
    <x v="1"/>
    <n v="50"/>
    <n v="65"/>
    <n v="90"/>
    <n v="35"/>
    <n v="35"/>
    <n v="15"/>
    <n v="290"/>
    <n v="48.333333333333336"/>
    <n v="12"/>
    <n v="1"/>
  </r>
  <r>
    <n v="205"/>
    <x v="204"/>
    <n v="12"/>
    <n v="1258"/>
    <n v="163"/>
    <x v="3"/>
    <x v="8"/>
    <n v="75"/>
    <n v="90"/>
    <n v="140"/>
    <n v="60"/>
    <n v="60"/>
    <n v="40"/>
    <n v="465"/>
    <n v="77.5"/>
    <n v="104.83333333333333"/>
    <n v="2"/>
  </r>
  <r>
    <n v="206"/>
    <x v="205"/>
    <n v="15"/>
    <n v="140"/>
    <n v="145"/>
    <x v="4"/>
    <x v="1"/>
    <n v="100"/>
    <n v="70"/>
    <n v="70"/>
    <n v="65"/>
    <n v="65"/>
    <n v="45"/>
    <n v="415"/>
    <n v="69.166666666666671"/>
    <n v="9.3333333333333339"/>
    <n v="1"/>
  </r>
  <r>
    <n v="207"/>
    <x v="206"/>
    <n v="11"/>
    <n v="648"/>
    <n v="86"/>
    <x v="7"/>
    <x v="2"/>
    <n v="65"/>
    <n v="75"/>
    <n v="105"/>
    <n v="35"/>
    <n v="65"/>
    <n v="85"/>
    <n v="430"/>
    <n v="71.666666666666671"/>
    <n v="58.909090909090907"/>
    <n v="2"/>
  </r>
  <r>
    <n v="208"/>
    <x v="207"/>
    <n v="92"/>
    <n v="4000"/>
    <n v="179"/>
    <x v="16"/>
    <x v="3"/>
    <n v="75"/>
    <n v="85"/>
    <n v="200"/>
    <n v="55"/>
    <n v="65"/>
    <n v="30"/>
    <n v="510"/>
    <n v="85"/>
    <n v="43.478260869565219"/>
    <n v="2"/>
  </r>
  <r>
    <n v="209"/>
    <x v="208"/>
    <n v="6"/>
    <n v="78"/>
    <n v="60"/>
    <x v="8"/>
    <x v="1"/>
    <n v="60"/>
    <n v="80"/>
    <n v="50"/>
    <n v="40"/>
    <n v="40"/>
    <n v="30"/>
    <n v="300"/>
    <n v="50"/>
    <n v="13"/>
    <n v="1"/>
  </r>
  <r>
    <n v="210"/>
    <x v="209"/>
    <n v="14"/>
    <n v="487"/>
    <n v="158"/>
    <x v="8"/>
    <x v="1"/>
    <n v="90"/>
    <n v="120"/>
    <n v="75"/>
    <n v="60"/>
    <n v="60"/>
    <n v="45"/>
    <n v="450"/>
    <n v="75"/>
    <n v="34.785714285714285"/>
    <n v="1"/>
  </r>
  <r>
    <n v="211"/>
    <x v="210"/>
    <n v="5"/>
    <n v="39"/>
    <n v="88"/>
    <x v="2"/>
    <x v="0"/>
    <n v="65"/>
    <n v="95"/>
    <n v="85"/>
    <n v="55"/>
    <n v="55"/>
    <n v="85"/>
    <n v="440"/>
    <n v="73.333333333333329"/>
    <n v="7.8"/>
    <n v="2"/>
  </r>
  <r>
    <n v="212"/>
    <x v="211"/>
    <n v="18"/>
    <n v="1180"/>
    <n v="175"/>
    <x v="3"/>
    <x v="8"/>
    <n v="70"/>
    <n v="130"/>
    <n v="100"/>
    <n v="55"/>
    <n v="80"/>
    <n v="65"/>
    <n v="500"/>
    <n v="83.333333333333329"/>
    <n v="65.555555555555557"/>
    <n v="2"/>
  </r>
  <r>
    <n v="213"/>
    <x v="212"/>
    <n v="6"/>
    <n v="205"/>
    <n v="177"/>
    <x v="3"/>
    <x v="10"/>
    <n v="20"/>
    <n v="10"/>
    <n v="230"/>
    <n v="10"/>
    <n v="230"/>
    <n v="5"/>
    <n v="505"/>
    <n v="84.166666666666671"/>
    <n v="34.166666666666664"/>
    <n v="2"/>
  </r>
  <r>
    <n v="214"/>
    <x v="213"/>
    <n v="15"/>
    <n v="540"/>
    <n v="175"/>
    <x v="3"/>
    <x v="6"/>
    <n v="80"/>
    <n v="125"/>
    <n v="75"/>
    <n v="40"/>
    <n v="95"/>
    <n v="85"/>
    <n v="500"/>
    <n v="83.333333333333329"/>
    <n v="36"/>
    <n v="2"/>
  </r>
  <r>
    <n v="215"/>
    <x v="214"/>
    <n v="9"/>
    <n v="280"/>
    <n v="86"/>
    <x v="15"/>
    <x v="9"/>
    <n v="55"/>
    <n v="95"/>
    <n v="55"/>
    <n v="35"/>
    <n v="75"/>
    <n v="115"/>
    <n v="430"/>
    <n v="71.666666666666671"/>
    <n v="31.111111111111111"/>
    <n v="2"/>
  </r>
  <r>
    <n v="216"/>
    <x v="215"/>
    <n v="6"/>
    <n v="88"/>
    <n v="66"/>
    <x v="4"/>
    <x v="1"/>
    <n v="60"/>
    <n v="80"/>
    <n v="50"/>
    <n v="50"/>
    <n v="50"/>
    <n v="40"/>
    <n v="330"/>
    <n v="55"/>
    <n v="14.666666666666666"/>
    <n v="1"/>
  </r>
  <r>
    <n v="217"/>
    <x v="216"/>
    <n v="18"/>
    <n v="1258"/>
    <n v="175"/>
    <x v="4"/>
    <x v="1"/>
    <n v="90"/>
    <n v="130"/>
    <n v="75"/>
    <n v="75"/>
    <n v="75"/>
    <n v="55"/>
    <n v="500"/>
    <n v="83.333333333333329"/>
    <n v="69.888888888888886"/>
    <n v="1"/>
  </r>
  <r>
    <n v="218"/>
    <x v="217"/>
    <n v="7"/>
    <n v="350"/>
    <n v="50"/>
    <x v="1"/>
    <x v="1"/>
    <n v="40"/>
    <n v="40"/>
    <n v="40"/>
    <n v="70"/>
    <n v="40"/>
    <n v="20"/>
    <n v="250"/>
    <n v="41.666666666666664"/>
    <n v="50"/>
    <n v="1"/>
  </r>
  <r>
    <n v="219"/>
    <x v="218"/>
    <n v="8"/>
    <n v="550"/>
    <n v="151"/>
    <x v="1"/>
    <x v="10"/>
    <n v="60"/>
    <n v="50"/>
    <n v="120"/>
    <n v="90"/>
    <n v="80"/>
    <n v="30"/>
    <n v="430"/>
    <n v="71.666666666666671"/>
    <n v="68.75"/>
    <n v="2"/>
  </r>
  <r>
    <n v="220"/>
    <x v="219"/>
    <n v="4"/>
    <n v="65"/>
    <n v="50"/>
    <x v="13"/>
    <x v="3"/>
    <n v="50"/>
    <n v="50"/>
    <n v="40"/>
    <n v="30"/>
    <n v="30"/>
    <n v="50"/>
    <n v="250"/>
    <n v="41.666666666666664"/>
    <n v="16.25"/>
    <n v="2"/>
  </r>
  <r>
    <n v="221"/>
    <x v="220"/>
    <n v="11"/>
    <n v="558"/>
    <n v="158"/>
    <x v="13"/>
    <x v="3"/>
    <n v="100"/>
    <n v="100"/>
    <n v="80"/>
    <n v="60"/>
    <n v="60"/>
    <n v="50"/>
    <n v="450"/>
    <n v="75"/>
    <n v="50.727272727272727"/>
    <n v="2"/>
  </r>
  <r>
    <n v="222"/>
    <x v="221"/>
    <n v="6"/>
    <n v="50"/>
    <n v="144"/>
    <x v="2"/>
    <x v="10"/>
    <n v="65"/>
    <n v="55"/>
    <n v="95"/>
    <n v="65"/>
    <n v="95"/>
    <n v="35"/>
    <n v="410"/>
    <n v="68.333333333333329"/>
    <n v="8.3333333333333339"/>
    <n v="2"/>
  </r>
  <r>
    <n v="223"/>
    <x v="222"/>
    <n v="6"/>
    <n v="120"/>
    <n v="60"/>
    <x v="2"/>
    <x v="1"/>
    <n v="35"/>
    <n v="65"/>
    <n v="35"/>
    <n v="65"/>
    <n v="35"/>
    <n v="65"/>
    <n v="300"/>
    <n v="50"/>
    <n v="20"/>
    <n v="1"/>
  </r>
  <r>
    <n v="224"/>
    <x v="223"/>
    <n v="9"/>
    <n v="285"/>
    <n v="168"/>
    <x v="2"/>
    <x v="1"/>
    <n v="75"/>
    <n v="105"/>
    <n v="75"/>
    <n v="105"/>
    <n v="75"/>
    <n v="45"/>
    <n v="480"/>
    <n v="80"/>
    <n v="31.666666666666668"/>
    <n v="1"/>
  </r>
  <r>
    <n v="225"/>
    <x v="224"/>
    <n v="9"/>
    <n v="160"/>
    <n v="116"/>
    <x v="13"/>
    <x v="2"/>
    <n v="45"/>
    <n v="55"/>
    <n v="45"/>
    <n v="65"/>
    <n v="45"/>
    <n v="75"/>
    <n v="330"/>
    <n v="55"/>
    <n v="17.777777777777779"/>
    <n v="2"/>
  </r>
  <r>
    <n v="226"/>
    <x v="225"/>
    <n v="21"/>
    <n v="2200"/>
    <n v="170"/>
    <x v="2"/>
    <x v="2"/>
    <n v="85"/>
    <n v="40"/>
    <n v="70"/>
    <n v="80"/>
    <n v="140"/>
    <n v="70"/>
    <n v="485"/>
    <n v="80.833333333333329"/>
    <n v="104.76190476190476"/>
    <n v="2"/>
  </r>
  <r>
    <n v="227"/>
    <x v="226"/>
    <n v="17"/>
    <n v="505"/>
    <n v="163"/>
    <x v="16"/>
    <x v="2"/>
    <n v="65"/>
    <n v="80"/>
    <n v="140"/>
    <n v="40"/>
    <n v="70"/>
    <n v="70"/>
    <n v="465"/>
    <n v="77.5"/>
    <n v="29.705882352941178"/>
    <n v="2"/>
  </r>
  <r>
    <n v="228"/>
    <x v="227"/>
    <n v="6"/>
    <n v="108"/>
    <n v="66"/>
    <x v="15"/>
    <x v="13"/>
    <n v="45"/>
    <n v="60"/>
    <n v="30"/>
    <n v="80"/>
    <n v="50"/>
    <n v="65"/>
    <n v="330"/>
    <n v="55"/>
    <n v="18"/>
    <n v="2"/>
  </r>
  <r>
    <n v="229"/>
    <x v="228"/>
    <n v="14"/>
    <n v="350"/>
    <n v="175"/>
    <x v="15"/>
    <x v="13"/>
    <n v="75"/>
    <n v="90"/>
    <n v="50"/>
    <n v="110"/>
    <n v="80"/>
    <n v="95"/>
    <n v="500"/>
    <n v="83.333333333333329"/>
    <n v="25"/>
    <n v="2"/>
  </r>
  <r>
    <n v="230"/>
    <x v="229"/>
    <n v="18"/>
    <n v="1520"/>
    <n v="243"/>
    <x v="2"/>
    <x v="14"/>
    <n v="75"/>
    <n v="95"/>
    <n v="95"/>
    <n v="95"/>
    <n v="95"/>
    <n v="85"/>
    <n v="540"/>
    <n v="90"/>
    <n v="84.444444444444443"/>
    <n v="2"/>
  </r>
  <r>
    <n v="231"/>
    <x v="230"/>
    <n v="5"/>
    <n v="335"/>
    <n v="66"/>
    <x v="7"/>
    <x v="1"/>
    <n v="90"/>
    <n v="60"/>
    <n v="60"/>
    <n v="40"/>
    <n v="40"/>
    <n v="40"/>
    <n v="330"/>
    <n v="55"/>
    <n v="67"/>
    <n v="1"/>
  </r>
  <r>
    <n v="232"/>
    <x v="231"/>
    <n v="11"/>
    <n v="1200"/>
    <n v="175"/>
    <x v="7"/>
    <x v="1"/>
    <n v="90"/>
    <n v="120"/>
    <n v="120"/>
    <n v="60"/>
    <n v="60"/>
    <n v="50"/>
    <n v="500"/>
    <n v="83.333333333333329"/>
    <n v="109.09090909090909"/>
    <n v="1"/>
  </r>
  <r>
    <n v="233"/>
    <x v="232"/>
    <n v="6"/>
    <n v="325"/>
    <n v="180"/>
    <x v="4"/>
    <x v="1"/>
    <n v="85"/>
    <n v="80"/>
    <n v="90"/>
    <n v="105"/>
    <n v="95"/>
    <n v="60"/>
    <n v="515"/>
    <n v="85.833333333333329"/>
    <n v="54.166666666666664"/>
    <n v="1"/>
  </r>
  <r>
    <n v="234"/>
    <x v="233"/>
    <n v="14"/>
    <n v="712"/>
    <n v="163"/>
    <x v="4"/>
    <x v="1"/>
    <n v="73"/>
    <n v="95"/>
    <n v="62"/>
    <n v="85"/>
    <n v="65"/>
    <n v="85"/>
    <n v="465"/>
    <n v="77.5"/>
    <n v="50.857142857142854"/>
    <n v="1"/>
  </r>
  <r>
    <n v="235"/>
    <x v="234"/>
    <n v="12"/>
    <n v="580"/>
    <n v="88"/>
    <x v="4"/>
    <x v="1"/>
    <n v="55"/>
    <n v="20"/>
    <n v="35"/>
    <n v="20"/>
    <n v="45"/>
    <n v="75"/>
    <n v="250"/>
    <n v="41.666666666666664"/>
    <n v="48.333333333333336"/>
    <n v="1"/>
  </r>
  <r>
    <n v="236"/>
    <x v="235"/>
    <n v="7"/>
    <n v="210"/>
    <n v="42"/>
    <x v="9"/>
    <x v="1"/>
    <n v="35"/>
    <n v="35"/>
    <n v="35"/>
    <n v="35"/>
    <n v="35"/>
    <n v="35"/>
    <n v="210"/>
    <n v="35"/>
    <n v="30"/>
    <n v="1"/>
  </r>
  <r>
    <n v="237"/>
    <x v="236"/>
    <n v="14"/>
    <n v="480"/>
    <n v="159"/>
    <x v="9"/>
    <x v="1"/>
    <n v="50"/>
    <n v="95"/>
    <n v="95"/>
    <n v="35"/>
    <n v="110"/>
    <n v="70"/>
    <n v="455"/>
    <n v="75.833333333333329"/>
    <n v="34.285714285714285"/>
    <n v="1"/>
  </r>
  <r>
    <n v="238"/>
    <x v="237"/>
    <n v="4"/>
    <n v="60"/>
    <n v="61"/>
    <x v="13"/>
    <x v="7"/>
    <n v="45"/>
    <n v="30"/>
    <n v="15"/>
    <n v="85"/>
    <n v="65"/>
    <n v="65"/>
    <n v="305"/>
    <n v="50.833333333333336"/>
    <n v="15"/>
    <n v="2"/>
  </r>
  <r>
    <n v="239"/>
    <x v="238"/>
    <n v="6"/>
    <n v="235"/>
    <n v="72"/>
    <x v="6"/>
    <x v="1"/>
    <n v="45"/>
    <n v="63"/>
    <n v="37"/>
    <n v="65"/>
    <n v="55"/>
    <n v="95"/>
    <n v="360"/>
    <n v="60"/>
    <n v="39.166666666666664"/>
    <n v="1"/>
  </r>
  <r>
    <n v="240"/>
    <x v="239"/>
    <n v="7"/>
    <n v="214"/>
    <n v="73"/>
    <x v="1"/>
    <x v="1"/>
    <n v="45"/>
    <n v="75"/>
    <n v="37"/>
    <n v="70"/>
    <n v="55"/>
    <n v="83"/>
    <n v="365"/>
    <n v="60.833333333333336"/>
    <n v="30.571428571428573"/>
    <n v="1"/>
  </r>
  <r>
    <n v="241"/>
    <x v="240"/>
    <n v="12"/>
    <n v="755"/>
    <n v="172"/>
    <x v="4"/>
    <x v="1"/>
    <n v="95"/>
    <n v="80"/>
    <n v="105"/>
    <n v="40"/>
    <n v="70"/>
    <n v="100"/>
    <n v="490"/>
    <n v="81.666666666666671"/>
    <n v="62.916666666666664"/>
    <n v="1"/>
  </r>
  <r>
    <n v="242"/>
    <x v="241"/>
    <n v="15"/>
    <n v="468"/>
    <n v="608"/>
    <x v="4"/>
    <x v="1"/>
    <n v="255"/>
    <n v="10"/>
    <n v="10"/>
    <n v="75"/>
    <n v="135"/>
    <n v="55"/>
    <n v="540"/>
    <n v="90"/>
    <n v="31.2"/>
    <n v="1"/>
  </r>
  <r>
    <n v="243"/>
    <x v="242"/>
    <n v="19"/>
    <n v="1780"/>
    <n v="261"/>
    <x v="6"/>
    <x v="1"/>
    <n v="90"/>
    <n v="85"/>
    <n v="75"/>
    <n v="115"/>
    <n v="100"/>
    <n v="115"/>
    <n v="580"/>
    <n v="96.666666666666671"/>
    <n v="93.684210526315795"/>
    <n v="1"/>
  </r>
  <r>
    <n v="244"/>
    <x v="243"/>
    <n v="21"/>
    <n v="1980"/>
    <n v="261"/>
    <x v="1"/>
    <x v="1"/>
    <n v="115"/>
    <n v="115"/>
    <n v="85"/>
    <n v="90"/>
    <n v="75"/>
    <n v="100"/>
    <n v="580"/>
    <n v="96.666666666666671"/>
    <n v="94.285714285714292"/>
    <n v="1"/>
  </r>
  <r>
    <n v="245"/>
    <x v="244"/>
    <n v="20"/>
    <n v="1870"/>
    <n v="261"/>
    <x v="2"/>
    <x v="1"/>
    <n v="100"/>
    <n v="75"/>
    <n v="115"/>
    <n v="90"/>
    <n v="115"/>
    <n v="85"/>
    <n v="580"/>
    <n v="96.666666666666671"/>
    <n v="93.5"/>
    <n v="1"/>
  </r>
  <r>
    <n v="246"/>
    <x v="245"/>
    <n v="6"/>
    <n v="720"/>
    <n v="60"/>
    <x v="11"/>
    <x v="3"/>
    <n v="50"/>
    <n v="64"/>
    <n v="50"/>
    <n v="45"/>
    <n v="50"/>
    <n v="41"/>
    <n v="300"/>
    <n v="50"/>
    <n v="120"/>
    <n v="2"/>
  </r>
  <r>
    <n v="247"/>
    <x v="246"/>
    <n v="12"/>
    <n v="1520"/>
    <n v="144"/>
    <x v="11"/>
    <x v="3"/>
    <n v="70"/>
    <n v="84"/>
    <n v="70"/>
    <n v="65"/>
    <n v="70"/>
    <n v="51"/>
    <n v="410"/>
    <n v="68.333333333333329"/>
    <n v="126.66666666666667"/>
    <n v="2"/>
  </r>
  <r>
    <n v="248"/>
    <x v="247"/>
    <n v="20"/>
    <n v="2020"/>
    <n v="270"/>
    <x v="11"/>
    <x v="15"/>
    <n v="100"/>
    <n v="134"/>
    <n v="110"/>
    <n v="95"/>
    <n v="100"/>
    <n v="61"/>
    <n v="600"/>
    <n v="100"/>
    <n v="101"/>
    <n v="2"/>
  </r>
  <r>
    <n v="249"/>
    <x v="248"/>
    <n v="52"/>
    <n v="2160"/>
    <n v="306"/>
    <x v="10"/>
    <x v="2"/>
    <n v="106"/>
    <n v="90"/>
    <n v="130"/>
    <n v="90"/>
    <n v="154"/>
    <n v="110"/>
    <n v="680"/>
    <n v="113.33333333333333"/>
    <n v="41.53846153846154"/>
    <n v="2"/>
  </r>
  <r>
    <n v="250"/>
    <x v="249"/>
    <n v="38"/>
    <n v="1990"/>
    <n v="306"/>
    <x v="1"/>
    <x v="2"/>
    <n v="106"/>
    <n v="130"/>
    <n v="90"/>
    <n v="110"/>
    <n v="154"/>
    <n v="90"/>
    <n v="680"/>
    <n v="113.33333333333333"/>
    <n v="52.368421052631582"/>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n v="7"/>
    <n v="69"/>
    <n v="64"/>
    <x v="0"/>
    <s v="poison"/>
    <n v="45"/>
    <n v="49"/>
    <n v="49"/>
    <n v="65"/>
    <n v="65"/>
    <n v="45"/>
    <n v="318"/>
    <n v="53"/>
    <n v="9.8571428571428577"/>
    <n v="2"/>
    <x v="0"/>
  </r>
  <r>
    <x v="1"/>
    <n v="10"/>
    <n v="130"/>
    <n v="142"/>
    <x v="0"/>
    <s v="poison"/>
    <n v="60"/>
    <n v="62"/>
    <n v="63"/>
    <n v="80"/>
    <n v="80"/>
    <n v="60"/>
    <n v="405"/>
    <n v="67.5"/>
    <n v="13"/>
    <n v="2"/>
    <x v="1"/>
  </r>
  <r>
    <x v="2"/>
    <n v="20"/>
    <n v="1000"/>
    <n v="236"/>
    <x v="0"/>
    <s v="poison"/>
    <n v="80"/>
    <n v="82"/>
    <n v="83"/>
    <n v="100"/>
    <n v="100"/>
    <n v="80"/>
    <n v="525"/>
    <n v="87.5"/>
    <n v="50"/>
    <n v="2"/>
    <x v="2"/>
  </r>
  <r>
    <x v="3"/>
    <n v="6"/>
    <n v="85"/>
    <n v="62"/>
    <x v="1"/>
    <s v="None"/>
    <n v="39"/>
    <n v="52"/>
    <n v="43"/>
    <n v="60"/>
    <n v="50"/>
    <n v="65"/>
    <n v="309"/>
    <n v="51.5"/>
    <n v="14.166666666666666"/>
    <n v="1"/>
    <x v="0"/>
  </r>
  <r>
    <x v="4"/>
    <n v="11"/>
    <n v="190"/>
    <n v="142"/>
    <x v="1"/>
    <s v="None"/>
    <n v="58"/>
    <n v="64"/>
    <n v="58"/>
    <n v="80"/>
    <n v="65"/>
    <n v="80"/>
    <n v="405"/>
    <n v="67.5"/>
    <n v="17.272727272727273"/>
    <n v="1"/>
    <x v="1"/>
  </r>
  <r>
    <x v="5"/>
    <n v="17"/>
    <n v="905"/>
    <n v="240"/>
    <x v="1"/>
    <s v="flying"/>
    <n v="78"/>
    <n v="84"/>
    <n v="78"/>
    <n v="109"/>
    <n v="85"/>
    <n v="100"/>
    <n v="534"/>
    <n v="89"/>
    <n v="53.235294117647058"/>
    <n v="2"/>
    <x v="2"/>
  </r>
  <r>
    <x v="6"/>
    <n v="5"/>
    <n v="90"/>
    <n v="63"/>
    <x v="2"/>
    <s v="None"/>
    <n v="44"/>
    <n v="48"/>
    <n v="65"/>
    <n v="50"/>
    <n v="64"/>
    <n v="43"/>
    <n v="314"/>
    <n v="52.333333333333336"/>
    <n v="18"/>
    <n v="1"/>
    <x v="0"/>
  </r>
  <r>
    <x v="7"/>
    <n v="10"/>
    <n v="225"/>
    <n v="142"/>
    <x v="2"/>
    <s v="None"/>
    <n v="59"/>
    <n v="63"/>
    <n v="80"/>
    <n v="65"/>
    <n v="80"/>
    <n v="58"/>
    <n v="405"/>
    <n v="67.5"/>
    <n v="22.5"/>
    <n v="1"/>
    <x v="1"/>
  </r>
  <r>
    <x v="8"/>
    <n v="16"/>
    <n v="855"/>
    <n v="239"/>
    <x v="2"/>
    <s v="None"/>
    <n v="79"/>
    <n v="83"/>
    <n v="100"/>
    <n v="85"/>
    <n v="105"/>
    <n v="78"/>
    <n v="530"/>
    <n v="88.333333333333329"/>
    <n v="53.4375"/>
    <n v="1"/>
    <x v="2"/>
  </r>
  <r>
    <x v="9"/>
    <n v="3"/>
    <n v="29"/>
    <n v="39"/>
    <x v="3"/>
    <s v="None"/>
    <n v="45"/>
    <n v="30"/>
    <n v="35"/>
    <n v="20"/>
    <n v="20"/>
    <n v="45"/>
    <n v="195"/>
    <n v="32.5"/>
    <n v="9.6666666666666661"/>
    <n v="1"/>
    <x v="0"/>
  </r>
  <r>
    <x v="10"/>
    <n v="7"/>
    <n v="99"/>
    <n v="72"/>
    <x v="3"/>
    <s v="None"/>
    <n v="50"/>
    <n v="20"/>
    <n v="55"/>
    <n v="25"/>
    <n v="25"/>
    <n v="30"/>
    <n v="205"/>
    <n v="34.166666666666664"/>
    <n v="14.142857142857142"/>
    <n v="1"/>
    <x v="0"/>
  </r>
  <r>
    <x v="11"/>
    <n v="11"/>
    <n v="320"/>
    <n v="178"/>
    <x v="3"/>
    <s v="flying"/>
    <n v="60"/>
    <n v="45"/>
    <n v="50"/>
    <n v="90"/>
    <n v="80"/>
    <n v="70"/>
    <n v="395"/>
    <n v="65.833333333333329"/>
    <n v="29.09090909090909"/>
    <n v="2"/>
    <x v="1"/>
  </r>
  <r>
    <x v="12"/>
    <n v="3"/>
    <n v="32"/>
    <n v="39"/>
    <x v="3"/>
    <s v="poison"/>
    <n v="40"/>
    <n v="35"/>
    <n v="30"/>
    <n v="20"/>
    <n v="20"/>
    <n v="50"/>
    <n v="195"/>
    <n v="32.5"/>
    <n v="10.666666666666666"/>
    <n v="2"/>
    <x v="0"/>
  </r>
  <r>
    <x v="13"/>
    <n v="6"/>
    <n v="100"/>
    <n v="72"/>
    <x v="3"/>
    <s v="poison"/>
    <n v="45"/>
    <n v="25"/>
    <n v="50"/>
    <n v="25"/>
    <n v="25"/>
    <n v="35"/>
    <n v="205"/>
    <n v="34.166666666666664"/>
    <n v="16.666666666666668"/>
    <n v="2"/>
    <x v="0"/>
  </r>
  <r>
    <x v="14"/>
    <n v="10"/>
    <n v="295"/>
    <n v="178"/>
    <x v="3"/>
    <s v="poison"/>
    <n v="65"/>
    <n v="90"/>
    <n v="40"/>
    <n v="45"/>
    <n v="80"/>
    <n v="75"/>
    <n v="395"/>
    <n v="65.833333333333329"/>
    <n v="29.5"/>
    <n v="2"/>
    <x v="1"/>
  </r>
  <r>
    <x v="15"/>
    <n v="3"/>
    <n v="18"/>
    <n v="50"/>
    <x v="4"/>
    <s v="flying"/>
    <n v="40"/>
    <n v="45"/>
    <n v="40"/>
    <n v="35"/>
    <n v="35"/>
    <n v="56"/>
    <n v="251"/>
    <n v="41.833333333333336"/>
    <n v="6"/>
    <n v="2"/>
    <x v="0"/>
  </r>
  <r>
    <x v="16"/>
    <n v="11"/>
    <n v="300"/>
    <n v="122"/>
    <x v="4"/>
    <s v="flying"/>
    <n v="63"/>
    <n v="60"/>
    <n v="55"/>
    <n v="50"/>
    <n v="50"/>
    <n v="71"/>
    <n v="349"/>
    <n v="58.166666666666664"/>
    <n v="27.272727272727273"/>
    <n v="2"/>
    <x v="1"/>
  </r>
  <r>
    <x v="17"/>
    <n v="15"/>
    <n v="395"/>
    <n v="216"/>
    <x v="4"/>
    <s v="flying"/>
    <n v="83"/>
    <n v="80"/>
    <n v="75"/>
    <n v="70"/>
    <n v="70"/>
    <n v="101"/>
    <n v="479"/>
    <n v="79.833333333333329"/>
    <n v="26.333333333333332"/>
    <n v="2"/>
    <x v="2"/>
  </r>
  <r>
    <x v="18"/>
    <n v="3"/>
    <n v="35"/>
    <n v="51"/>
    <x v="4"/>
    <s v="None"/>
    <n v="30"/>
    <n v="56"/>
    <n v="35"/>
    <n v="25"/>
    <n v="35"/>
    <n v="72"/>
    <n v="253"/>
    <n v="42.166666666666664"/>
    <n v="11.666666666666666"/>
    <n v="1"/>
    <x v="0"/>
  </r>
  <r>
    <x v="19"/>
    <n v="7"/>
    <n v="185"/>
    <n v="145"/>
    <x v="4"/>
    <s v="None"/>
    <n v="55"/>
    <n v="81"/>
    <n v="60"/>
    <n v="50"/>
    <n v="70"/>
    <n v="97"/>
    <n v="413"/>
    <n v="68.833333333333329"/>
    <n v="26.428571428571427"/>
    <n v="1"/>
    <x v="1"/>
  </r>
  <r>
    <x v="20"/>
    <n v="3"/>
    <n v="20"/>
    <n v="52"/>
    <x v="4"/>
    <s v="flying"/>
    <n v="40"/>
    <n v="60"/>
    <n v="30"/>
    <n v="31"/>
    <n v="31"/>
    <n v="70"/>
    <n v="262"/>
    <n v="43.666666666666664"/>
    <n v="6.666666666666667"/>
    <n v="2"/>
    <x v="0"/>
  </r>
  <r>
    <x v="21"/>
    <n v="12"/>
    <n v="380"/>
    <n v="155"/>
    <x v="4"/>
    <s v="flying"/>
    <n v="65"/>
    <n v="90"/>
    <n v="65"/>
    <n v="61"/>
    <n v="61"/>
    <n v="100"/>
    <n v="442"/>
    <n v="73.666666666666671"/>
    <n v="31.666666666666668"/>
    <n v="2"/>
    <x v="1"/>
  </r>
  <r>
    <x v="22"/>
    <n v="20"/>
    <n v="69"/>
    <n v="58"/>
    <x v="5"/>
    <s v="None"/>
    <n v="35"/>
    <n v="60"/>
    <n v="44"/>
    <n v="40"/>
    <n v="54"/>
    <n v="55"/>
    <n v="288"/>
    <n v="48"/>
    <n v="3.45"/>
    <n v="1"/>
    <x v="0"/>
  </r>
  <r>
    <x v="23"/>
    <n v="35"/>
    <n v="650"/>
    <n v="157"/>
    <x v="5"/>
    <s v="None"/>
    <n v="60"/>
    <n v="95"/>
    <n v="69"/>
    <n v="65"/>
    <n v="79"/>
    <n v="80"/>
    <n v="448"/>
    <n v="74.666666666666671"/>
    <n v="18.571428571428573"/>
    <n v="1"/>
    <x v="1"/>
  </r>
  <r>
    <x v="24"/>
    <n v="4"/>
    <n v="60"/>
    <n v="112"/>
    <x v="6"/>
    <s v="None"/>
    <n v="35"/>
    <n v="55"/>
    <n v="40"/>
    <n v="50"/>
    <n v="50"/>
    <n v="90"/>
    <n v="320"/>
    <n v="53.333333333333336"/>
    <n v="15"/>
    <n v="1"/>
    <x v="1"/>
  </r>
  <r>
    <x v="25"/>
    <n v="8"/>
    <n v="300"/>
    <n v="218"/>
    <x v="6"/>
    <s v="None"/>
    <n v="60"/>
    <n v="90"/>
    <n v="55"/>
    <n v="90"/>
    <n v="80"/>
    <n v="110"/>
    <n v="485"/>
    <n v="80.833333333333329"/>
    <n v="37.5"/>
    <n v="1"/>
    <x v="2"/>
  </r>
  <r>
    <x v="26"/>
    <n v="6"/>
    <n v="120"/>
    <n v="60"/>
    <x v="7"/>
    <s v="None"/>
    <n v="50"/>
    <n v="75"/>
    <n v="85"/>
    <n v="20"/>
    <n v="30"/>
    <n v="40"/>
    <n v="300"/>
    <n v="50"/>
    <n v="20"/>
    <n v="1"/>
    <x v="0"/>
  </r>
  <r>
    <x v="27"/>
    <n v="10"/>
    <n v="295"/>
    <n v="158"/>
    <x v="7"/>
    <s v="None"/>
    <n v="75"/>
    <n v="100"/>
    <n v="110"/>
    <n v="45"/>
    <n v="55"/>
    <n v="65"/>
    <n v="450"/>
    <n v="75"/>
    <n v="29.5"/>
    <n v="1"/>
    <x v="1"/>
  </r>
  <r>
    <x v="28"/>
    <n v="4"/>
    <n v="70"/>
    <n v="55"/>
    <x v="5"/>
    <s v="None"/>
    <n v="55"/>
    <n v="47"/>
    <n v="52"/>
    <n v="40"/>
    <n v="40"/>
    <n v="41"/>
    <n v="275"/>
    <n v="45.833333333333336"/>
    <n v="17.5"/>
    <n v="1"/>
    <x v="0"/>
  </r>
  <r>
    <x v="29"/>
    <n v="8"/>
    <n v="200"/>
    <n v="128"/>
    <x v="5"/>
    <s v="None"/>
    <n v="70"/>
    <n v="62"/>
    <n v="67"/>
    <n v="55"/>
    <n v="55"/>
    <n v="56"/>
    <n v="365"/>
    <n v="60.833333333333336"/>
    <n v="25"/>
    <n v="1"/>
    <x v="1"/>
  </r>
  <r>
    <x v="30"/>
    <n v="13"/>
    <n v="600"/>
    <n v="227"/>
    <x v="5"/>
    <s v="ground"/>
    <n v="90"/>
    <n v="92"/>
    <n v="87"/>
    <n v="75"/>
    <n v="85"/>
    <n v="76"/>
    <n v="505"/>
    <n v="84.166666666666671"/>
    <n v="46.153846153846153"/>
    <n v="2"/>
    <x v="2"/>
  </r>
  <r>
    <x v="31"/>
    <n v="5"/>
    <n v="90"/>
    <n v="55"/>
    <x v="5"/>
    <s v="None"/>
    <n v="46"/>
    <n v="57"/>
    <n v="40"/>
    <n v="40"/>
    <n v="40"/>
    <n v="50"/>
    <n v="273"/>
    <n v="45.5"/>
    <n v="18"/>
    <n v="1"/>
    <x v="0"/>
  </r>
  <r>
    <x v="32"/>
    <n v="9"/>
    <n v="195"/>
    <n v="128"/>
    <x v="5"/>
    <s v="None"/>
    <n v="61"/>
    <n v="72"/>
    <n v="57"/>
    <n v="55"/>
    <n v="55"/>
    <n v="65"/>
    <n v="365"/>
    <n v="60.833333333333336"/>
    <n v="21.666666666666668"/>
    <n v="1"/>
    <x v="1"/>
  </r>
  <r>
    <x v="33"/>
    <n v="14"/>
    <n v="620"/>
    <n v="227"/>
    <x v="5"/>
    <s v="ground"/>
    <n v="81"/>
    <n v="102"/>
    <n v="77"/>
    <n v="85"/>
    <n v="75"/>
    <n v="85"/>
    <n v="505"/>
    <n v="84.166666666666671"/>
    <n v="44.285714285714285"/>
    <n v="2"/>
    <x v="2"/>
  </r>
  <r>
    <x v="34"/>
    <n v="6"/>
    <n v="75"/>
    <n v="113"/>
    <x v="8"/>
    <s v="None"/>
    <n v="70"/>
    <n v="45"/>
    <n v="48"/>
    <n v="60"/>
    <n v="65"/>
    <n v="35"/>
    <n v="323"/>
    <n v="53.833333333333336"/>
    <n v="12.5"/>
    <n v="1"/>
    <x v="1"/>
  </r>
  <r>
    <x v="35"/>
    <n v="13"/>
    <n v="400"/>
    <n v="217"/>
    <x v="8"/>
    <s v="None"/>
    <n v="95"/>
    <n v="70"/>
    <n v="73"/>
    <n v="95"/>
    <n v="90"/>
    <n v="60"/>
    <n v="483"/>
    <n v="80.5"/>
    <n v="30.76923076923077"/>
    <n v="1"/>
    <x v="2"/>
  </r>
  <r>
    <x v="36"/>
    <n v="6"/>
    <n v="99"/>
    <n v="60"/>
    <x v="1"/>
    <s v="None"/>
    <n v="38"/>
    <n v="41"/>
    <n v="40"/>
    <n v="50"/>
    <n v="65"/>
    <n v="65"/>
    <n v="299"/>
    <n v="49.833333333333336"/>
    <n v="16.5"/>
    <n v="1"/>
    <x v="0"/>
  </r>
  <r>
    <x v="37"/>
    <n v="11"/>
    <n v="199"/>
    <n v="177"/>
    <x v="1"/>
    <s v="None"/>
    <n v="73"/>
    <n v="76"/>
    <n v="75"/>
    <n v="81"/>
    <n v="100"/>
    <n v="100"/>
    <n v="505"/>
    <n v="84.166666666666671"/>
    <n v="18.09090909090909"/>
    <n v="1"/>
    <x v="1"/>
  </r>
  <r>
    <x v="38"/>
    <n v="5"/>
    <n v="55"/>
    <n v="95"/>
    <x v="4"/>
    <s v="fairy"/>
    <n v="115"/>
    <n v="45"/>
    <n v="20"/>
    <n v="45"/>
    <n v="25"/>
    <n v="20"/>
    <n v="270"/>
    <n v="45"/>
    <n v="11"/>
    <n v="2"/>
    <x v="0"/>
  </r>
  <r>
    <x v="39"/>
    <n v="10"/>
    <n v="120"/>
    <n v="196"/>
    <x v="4"/>
    <s v="fairy"/>
    <n v="140"/>
    <n v="70"/>
    <n v="45"/>
    <n v="85"/>
    <n v="50"/>
    <n v="45"/>
    <n v="435"/>
    <n v="72.5"/>
    <n v="12"/>
    <n v="2"/>
    <x v="1"/>
  </r>
  <r>
    <x v="40"/>
    <n v="8"/>
    <n v="75"/>
    <n v="49"/>
    <x v="5"/>
    <s v="flying"/>
    <n v="40"/>
    <n v="45"/>
    <n v="35"/>
    <n v="30"/>
    <n v="40"/>
    <n v="55"/>
    <n v="245"/>
    <n v="40.833333333333336"/>
    <n v="9.375"/>
    <n v="2"/>
    <x v="0"/>
  </r>
  <r>
    <x v="41"/>
    <n v="16"/>
    <n v="550"/>
    <n v="159"/>
    <x v="5"/>
    <s v="flying"/>
    <n v="75"/>
    <n v="80"/>
    <n v="70"/>
    <n v="65"/>
    <n v="75"/>
    <n v="90"/>
    <n v="455"/>
    <n v="75.833333333333329"/>
    <n v="34.375"/>
    <n v="2"/>
    <x v="1"/>
  </r>
  <r>
    <x v="42"/>
    <n v="5"/>
    <n v="54"/>
    <n v="64"/>
    <x v="0"/>
    <s v="poison"/>
    <n v="45"/>
    <n v="50"/>
    <n v="55"/>
    <n v="75"/>
    <n v="65"/>
    <n v="30"/>
    <n v="320"/>
    <n v="53.333333333333336"/>
    <n v="10.8"/>
    <n v="2"/>
    <x v="0"/>
  </r>
  <r>
    <x v="43"/>
    <n v="8"/>
    <n v="86"/>
    <n v="138"/>
    <x v="0"/>
    <s v="poison"/>
    <n v="60"/>
    <n v="65"/>
    <n v="70"/>
    <n v="85"/>
    <n v="75"/>
    <n v="40"/>
    <n v="395"/>
    <n v="65.833333333333329"/>
    <n v="10.75"/>
    <n v="2"/>
    <x v="1"/>
  </r>
  <r>
    <x v="44"/>
    <n v="12"/>
    <n v="186"/>
    <n v="221"/>
    <x v="0"/>
    <s v="poison"/>
    <n v="75"/>
    <n v="80"/>
    <n v="85"/>
    <n v="110"/>
    <n v="90"/>
    <n v="50"/>
    <n v="490"/>
    <n v="81.666666666666671"/>
    <n v="15.5"/>
    <n v="2"/>
    <x v="2"/>
  </r>
  <r>
    <x v="45"/>
    <n v="3"/>
    <n v="54"/>
    <n v="57"/>
    <x v="3"/>
    <s v="grass"/>
    <n v="35"/>
    <n v="70"/>
    <n v="55"/>
    <n v="45"/>
    <n v="55"/>
    <n v="25"/>
    <n v="285"/>
    <n v="47.5"/>
    <n v="18"/>
    <n v="2"/>
    <x v="0"/>
  </r>
  <r>
    <x v="46"/>
    <n v="10"/>
    <n v="295"/>
    <n v="142"/>
    <x v="3"/>
    <s v="grass"/>
    <n v="60"/>
    <n v="95"/>
    <n v="80"/>
    <n v="60"/>
    <n v="80"/>
    <n v="30"/>
    <n v="405"/>
    <n v="67.5"/>
    <n v="29.5"/>
    <n v="2"/>
    <x v="1"/>
  </r>
  <r>
    <x v="47"/>
    <n v="10"/>
    <n v="300"/>
    <n v="61"/>
    <x v="3"/>
    <s v="poison"/>
    <n v="60"/>
    <n v="55"/>
    <n v="50"/>
    <n v="40"/>
    <n v="55"/>
    <n v="45"/>
    <n v="305"/>
    <n v="50.833333333333336"/>
    <n v="30"/>
    <n v="2"/>
    <x v="0"/>
  </r>
  <r>
    <x v="48"/>
    <n v="15"/>
    <n v="125"/>
    <n v="158"/>
    <x v="3"/>
    <s v="poison"/>
    <n v="70"/>
    <n v="65"/>
    <n v="60"/>
    <n v="90"/>
    <n v="75"/>
    <n v="90"/>
    <n v="450"/>
    <n v="75"/>
    <n v="8.3333333333333339"/>
    <n v="2"/>
    <x v="1"/>
  </r>
  <r>
    <x v="49"/>
    <n v="2"/>
    <n v="8"/>
    <n v="53"/>
    <x v="7"/>
    <s v="None"/>
    <n v="10"/>
    <n v="55"/>
    <n v="25"/>
    <n v="35"/>
    <n v="45"/>
    <n v="95"/>
    <n v="265"/>
    <n v="44.166666666666664"/>
    <n v="4"/>
    <n v="1"/>
    <x v="0"/>
  </r>
  <r>
    <x v="50"/>
    <n v="7"/>
    <n v="333"/>
    <n v="149"/>
    <x v="7"/>
    <s v="None"/>
    <n v="35"/>
    <n v="100"/>
    <n v="50"/>
    <n v="50"/>
    <n v="70"/>
    <n v="120"/>
    <n v="425"/>
    <n v="70.833333333333329"/>
    <n v="47.571428571428569"/>
    <n v="1"/>
    <x v="1"/>
  </r>
  <r>
    <x v="51"/>
    <n v="4"/>
    <n v="42"/>
    <n v="58"/>
    <x v="4"/>
    <s v="None"/>
    <n v="40"/>
    <n v="45"/>
    <n v="35"/>
    <n v="40"/>
    <n v="40"/>
    <n v="90"/>
    <n v="290"/>
    <n v="48.333333333333336"/>
    <n v="10.5"/>
    <n v="1"/>
    <x v="0"/>
  </r>
  <r>
    <x v="52"/>
    <n v="10"/>
    <n v="320"/>
    <n v="154"/>
    <x v="4"/>
    <s v="None"/>
    <n v="65"/>
    <n v="70"/>
    <n v="60"/>
    <n v="65"/>
    <n v="65"/>
    <n v="115"/>
    <n v="440"/>
    <n v="73.333333333333329"/>
    <n v="32"/>
    <n v="1"/>
    <x v="1"/>
  </r>
  <r>
    <x v="53"/>
    <n v="8"/>
    <n v="196"/>
    <n v="64"/>
    <x v="2"/>
    <s v="None"/>
    <n v="50"/>
    <n v="52"/>
    <n v="48"/>
    <n v="65"/>
    <n v="50"/>
    <n v="55"/>
    <n v="320"/>
    <n v="53.333333333333336"/>
    <n v="24.5"/>
    <n v="1"/>
    <x v="0"/>
  </r>
  <r>
    <x v="54"/>
    <n v="17"/>
    <n v="766"/>
    <n v="175"/>
    <x v="2"/>
    <s v="None"/>
    <n v="80"/>
    <n v="82"/>
    <n v="78"/>
    <n v="95"/>
    <n v="80"/>
    <n v="85"/>
    <n v="500"/>
    <n v="83.333333333333329"/>
    <n v="45.058823529411768"/>
    <n v="1"/>
    <x v="1"/>
  </r>
  <r>
    <x v="55"/>
    <n v="5"/>
    <n v="280"/>
    <n v="61"/>
    <x v="9"/>
    <s v="None"/>
    <n v="40"/>
    <n v="80"/>
    <n v="35"/>
    <n v="35"/>
    <n v="45"/>
    <n v="70"/>
    <n v="305"/>
    <n v="50.833333333333336"/>
    <n v="56"/>
    <n v="1"/>
    <x v="0"/>
  </r>
  <r>
    <x v="56"/>
    <n v="10"/>
    <n v="320"/>
    <n v="159"/>
    <x v="9"/>
    <s v="None"/>
    <n v="65"/>
    <n v="105"/>
    <n v="60"/>
    <n v="60"/>
    <n v="70"/>
    <n v="95"/>
    <n v="455"/>
    <n v="75.833333333333329"/>
    <n v="32"/>
    <n v="1"/>
    <x v="1"/>
  </r>
  <r>
    <x v="57"/>
    <n v="7"/>
    <n v="190"/>
    <n v="70"/>
    <x v="1"/>
    <s v="None"/>
    <n v="55"/>
    <n v="70"/>
    <n v="45"/>
    <n v="70"/>
    <n v="50"/>
    <n v="60"/>
    <n v="350"/>
    <n v="58.333333333333336"/>
    <n v="27.142857142857142"/>
    <n v="1"/>
    <x v="0"/>
  </r>
  <r>
    <x v="58"/>
    <n v="19"/>
    <n v="1550"/>
    <n v="194"/>
    <x v="1"/>
    <s v="None"/>
    <n v="90"/>
    <n v="110"/>
    <n v="80"/>
    <n v="100"/>
    <n v="80"/>
    <n v="95"/>
    <n v="555"/>
    <n v="92.5"/>
    <n v="81.578947368421055"/>
    <n v="1"/>
    <x v="1"/>
  </r>
  <r>
    <x v="59"/>
    <n v="6"/>
    <n v="124"/>
    <n v="60"/>
    <x v="2"/>
    <s v="None"/>
    <n v="40"/>
    <n v="50"/>
    <n v="40"/>
    <n v="40"/>
    <n v="40"/>
    <n v="90"/>
    <n v="300"/>
    <n v="50"/>
    <n v="20.666666666666668"/>
    <n v="1"/>
    <x v="0"/>
  </r>
  <r>
    <x v="60"/>
    <n v="10"/>
    <n v="200"/>
    <n v="135"/>
    <x v="2"/>
    <s v="None"/>
    <n v="65"/>
    <n v="65"/>
    <n v="65"/>
    <n v="50"/>
    <n v="50"/>
    <n v="90"/>
    <n v="385"/>
    <n v="64.166666666666671"/>
    <n v="20"/>
    <n v="1"/>
    <x v="1"/>
  </r>
  <r>
    <x v="61"/>
    <n v="13"/>
    <n v="540"/>
    <n v="230"/>
    <x v="2"/>
    <s v="fighting"/>
    <n v="90"/>
    <n v="95"/>
    <n v="95"/>
    <n v="70"/>
    <n v="90"/>
    <n v="70"/>
    <n v="510"/>
    <n v="85"/>
    <n v="41.53846153846154"/>
    <n v="2"/>
    <x v="2"/>
  </r>
  <r>
    <x v="62"/>
    <n v="9"/>
    <n v="195"/>
    <n v="62"/>
    <x v="10"/>
    <s v="None"/>
    <n v="25"/>
    <n v="20"/>
    <n v="15"/>
    <n v="105"/>
    <n v="55"/>
    <n v="90"/>
    <n v="310"/>
    <n v="51.666666666666664"/>
    <n v="21.666666666666668"/>
    <n v="1"/>
    <x v="0"/>
  </r>
  <r>
    <x v="63"/>
    <n v="13"/>
    <n v="565"/>
    <n v="140"/>
    <x v="10"/>
    <s v="None"/>
    <n v="40"/>
    <n v="35"/>
    <n v="30"/>
    <n v="120"/>
    <n v="70"/>
    <n v="105"/>
    <n v="400"/>
    <n v="66.666666666666671"/>
    <n v="43.46153846153846"/>
    <n v="1"/>
    <x v="1"/>
  </r>
  <r>
    <x v="64"/>
    <n v="15"/>
    <n v="480"/>
    <n v="225"/>
    <x v="10"/>
    <s v="None"/>
    <n v="55"/>
    <n v="50"/>
    <n v="45"/>
    <n v="135"/>
    <n v="95"/>
    <n v="120"/>
    <n v="500"/>
    <n v="83.333333333333329"/>
    <n v="32"/>
    <n v="1"/>
    <x v="2"/>
  </r>
  <r>
    <x v="65"/>
    <n v="8"/>
    <n v="195"/>
    <n v="61"/>
    <x v="9"/>
    <s v="None"/>
    <n v="70"/>
    <n v="80"/>
    <n v="50"/>
    <n v="35"/>
    <n v="35"/>
    <n v="35"/>
    <n v="305"/>
    <n v="50.833333333333336"/>
    <n v="24.375"/>
    <n v="1"/>
    <x v="0"/>
  </r>
  <r>
    <x v="66"/>
    <n v="15"/>
    <n v="705"/>
    <n v="142"/>
    <x v="9"/>
    <s v="None"/>
    <n v="80"/>
    <n v="100"/>
    <n v="70"/>
    <n v="50"/>
    <n v="60"/>
    <n v="45"/>
    <n v="405"/>
    <n v="67.5"/>
    <n v="47"/>
    <n v="1"/>
    <x v="1"/>
  </r>
  <r>
    <x v="67"/>
    <n v="16"/>
    <n v="1300"/>
    <n v="227"/>
    <x v="9"/>
    <s v="None"/>
    <n v="90"/>
    <n v="130"/>
    <n v="80"/>
    <n v="65"/>
    <n v="85"/>
    <n v="55"/>
    <n v="505"/>
    <n v="84.166666666666671"/>
    <n v="81.25"/>
    <n v="1"/>
    <x v="2"/>
  </r>
  <r>
    <x v="68"/>
    <n v="7"/>
    <n v="40"/>
    <n v="60"/>
    <x v="0"/>
    <s v="poison"/>
    <n v="50"/>
    <n v="75"/>
    <n v="35"/>
    <n v="70"/>
    <n v="30"/>
    <n v="40"/>
    <n v="300"/>
    <n v="50"/>
    <n v="5.7142857142857144"/>
    <n v="2"/>
    <x v="0"/>
  </r>
  <r>
    <x v="69"/>
    <n v="10"/>
    <n v="64"/>
    <n v="137"/>
    <x v="0"/>
    <s v="poison"/>
    <n v="65"/>
    <n v="90"/>
    <n v="50"/>
    <n v="85"/>
    <n v="45"/>
    <n v="55"/>
    <n v="390"/>
    <n v="65"/>
    <n v="6.4"/>
    <n v="2"/>
    <x v="1"/>
  </r>
  <r>
    <x v="70"/>
    <n v="17"/>
    <n v="155"/>
    <n v="221"/>
    <x v="0"/>
    <s v="poison"/>
    <n v="80"/>
    <n v="105"/>
    <n v="65"/>
    <n v="100"/>
    <n v="70"/>
    <n v="70"/>
    <n v="490"/>
    <n v="81.666666666666671"/>
    <n v="9.117647058823529"/>
    <n v="2"/>
    <x v="2"/>
  </r>
  <r>
    <x v="71"/>
    <n v="9"/>
    <n v="455"/>
    <n v="67"/>
    <x v="2"/>
    <s v="poison"/>
    <n v="40"/>
    <n v="40"/>
    <n v="35"/>
    <n v="50"/>
    <n v="100"/>
    <n v="70"/>
    <n v="335"/>
    <n v="55.833333333333336"/>
    <n v="50.555555555555557"/>
    <n v="2"/>
    <x v="0"/>
  </r>
  <r>
    <x v="72"/>
    <n v="16"/>
    <n v="550"/>
    <n v="180"/>
    <x v="2"/>
    <s v="poison"/>
    <n v="80"/>
    <n v="70"/>
    <n v="65"/>
    <n v="80"/>
    <n v="120"/>
    <n v="100"/>
    <n v="515"/>
    <n v="85.833333333333329"/>
    <n v="34.375"/>
    <n v="2"/>
    <x v="1"/>
  </r>
  <r>
    <x v="73"/>
    <n v="4"/>
    <n v="200"/>
    <n v="60"/>
    <x v="11"/>
    <s v="ground"/>
    <n v="40"/>
    <n v="80"/>
    <n v="100"/>
    <n v="30"/>
    <n v="30"/>
    <n v="20"/>
    <n v="300"/>
    <n v="50"/>
    <n v="50"/>
    <n v="2"/>
    <x v="0"/>
  </r>
  <r>
    <x v="74"/>
    <n v="10"/>
    <n v="1050"/>
    <n v="137"/>
    <x v="11"/>
    <s v="ground"/>
    <n v="55"/>
    <n v="95"/>
    <n v="115"/>
    <n v="45"/>
    <n v="45"/>
    <n v="35"/>
    <n v="390"/>
    <n v="65"/>
    <n v="105"/>
    <n v="2"/>
    <x v="1"/>
  </r>
  <r>
    <x v="75"/>
    <n v="14"/>
    <n v="3000"/>
    <n v="223"/>
    <x v="11"/>
    <s v="ground"/>
    <n v="80"/>
    <n v="120"/>
    <n v="130"/>
    <n v="55"/>
    <n v="65"/>
    <n v="45"/>
    <n v="495"/>
    <n v="82.5"/>
    <n v="214.28571428571428"/>
    <n v="2"/>
    <x v="2"/>
  </r>
  <r>
    <x v="76"/>
    <n v="10"/>
    <n v="300"/>
    <n v="82"/>
    <x v="1"/>
    <s v="None"/>
    <n v="50"/>
    <n v="85"/>
    <n v="55"/>
    <n v="65"/>
    <n v="65"/>
    <n v="90"/>
    <n v="410"/>
    <n v="68.333333333333329"/>
    <n v="30"/>
    <n v="1"/>
    <x v="0"/>
  </r>
  <r>
    <x v="77"/>
    <n v="17"/>
    <n v="950"/>
    <n v="175"/>
    <x v="1"/>
    <s v="None"/>
    <n v="65"/>
    <n v="100"/>
    <n v="70"/>
    <n v="80"/>
    <n v="80"/>
    <n v="105"/>
    <n v="500"/>
    <n v="83.333333333333329"/>
    <n v="55.882352941176471"/>
    <n v="1"/>
    <x v="1"/>
  </r>
  <r>
    <x v="78"/>
    <n v="12"/>
    <n v="360"/>
    <n v="63"/>
    <x v="2"/>
    <s v="psychic"/>
    <n v="90"/>
    <n v="65"/>
    <n v="65"/>
    <n v="40"/>
    <n v="40"/>
    <n v="15"/>
    <n v="315"/>
    <n v="52.5"/>
    <n v="30"/>
    <n v="2"/>
    <x v="0"/>
  </r>
  <r>
    <x v="79"/>
    <n v="16"/>
    <n v="785"/>
    <n v="172"/>
    <x v="2"/>
    <s v="psychic"/>
    <n v="95"/>
    <n v="75"/>
    <n v="110"/>
    <n v="100"/>
    <n v="80"/>
    <n v="30"/>
    <n v="490"/>
    <n v="81.666666666666671"/>
    <n v="49.0625"/>
    <n v="2"/>
    <x v="1"/>
  </r>
  <r>
    <x v="80"/>
    <n v="3"/>
    <n v="60"/>
    <n v="65"/>
    <x v="6"/>
    <s v="steel"/>
    <n v="25"/>
    <n v="35"/>
    <n v="70"/>
    <n v="95"/>
    <n v="55"/>
    <n v="45"/>
    <n v="325"/>
    <n v="54.166666666666664"/>
    <n v="20"/>
    <n v="2"/>
    <x v="0"/>
  </r>
  <r>
    <x v="81"/>
    <n v="10"/>
    <n v="600"/>
    <n v="163"/>
    <x v="6"/>
    <s v="steel"/>
    <n v="50"/>
    <n v="60"/>
    <n v="95"/>
    <n v="120"/>
    <n v="70"/>
    <n v="70"/>
    <n v="465"/>
    <n v="77.5"/>
    <n v="60"/>
    <n v="2"/>
    <x v="1"/>
  </r>
  <r>
    <x v="82"/>
    <n v="8"/>
    <n v="150"/>
    <n v="132"/>
    <x v="4"/>
    <s v="flying"/>
    <n v="52"/>
    <n v="90"/>
    <n v="55"/>
    <n v="58"/>
    <n v="62"/>
    <n v="60"/>
    <n v="377"/>
    <n v="62.833333333333336"/>
    <n v="18.75"/>
    <n v="2"/>
    <x v="1"/>
  </r>
  <r>
    <x v="83"/>
    <n v="14"/>
    <n v="392"/>
    <n v="62"/>
    <x v="4"/>
    <s v="flying"/>
    <n v="35"/>
    <n v="85"/>
    <n v="45"/>
    <n v="35"/>
    <n v="35"/>
    <n v="75"/>
    <n v="310"/>
    <n v="51.666666666666664"/>
    <n v="28"/>
    <n v="2"/>
    <x v="0"/>
  </r>
  <r>
    <x v="84"/>
    <n v="18"/>
    <n v="852"/>
    <n v="165"/>
    <x v="4"/>
    <s v="flying"/>
    <n v="60"/>
    <n v="110"/>
    <n v="70"/>
    <n v="60"/>
    <n v="60"/>
    <n v="110"/>
    <n v="470"/>
    <n v="78.333333333333329"/>
    <n v="47.333333333333336"/>
    <n v="2"/>
    <x v="1"/>
  </r>
  <r>
    <x v="85"/>
    <n v="11"/>
    <n v="900"/>
    <n v="65"/>
    <x v="2"/>
    <s v="None"/>
    <n v="65"/>
    <n v="45"/>
    <n v="55"/>
    <n v="45"/>
    <n v="70"/>
    <n v="45"/>
    <n v="325"/>
    <n v="54.166666666666664"/>
    <n v="81.818181818181813"/>
    <n v="1"/>
    <x v="0"/>
  </r>
  <r>
    <x v="86"/>
    <n v="17"/>
    <n v="1200"/>
    <n v="166"/>
    <x v="2"/>
    <s v="ice"/>
    <n v="90"/>
    <n v="70"/>
    <n v="80"/>
    <n v="70"/>
    <n v="95"/>
    <n v="70"/>
    <n v="475"/>
    <n v="79.166666666666671"/>
    <n v="70.588235294117652"/>
    <n v="2"/>
    <x v="1"/>
  </r>
  <r>
    <x v="87"/>
    <n v="9"/>
    <n v="300"/>
    <n v="65"/>
    <x v="5"/>
    <s v="None"/>
    <n v="80"/>
    <n v="80"/>
    <n v="50"/>
    <n v="40"/>
    <n v="50"/>
    <n v="25"/>
    <n v="325"/>
    <n v="54.166666666666664"/>
    <n v="33.333333333333336"/>
    <n v="1"/>
    <x v="0"/>
  </r>
  <r>
    <x v="88"/>
    <n v="12"/>
    <n v="300"/>
    <n v="175"/>
    <x v="5"/>
    <s v="None"/>
    <n v="105"/>
    <n v="105"/>
    <n v="75"/>
    <n v="65"/>
    <n v="100"/>
    <n v="50"/>
    <n v="500"/>
    <n v="83.333333333333329"/>
    <n v="25"/>
    <n v="1"/>
    <x v="1"/>
  </r>
  <r>
    <x v="89"/>
    <n v="3"/>
    <n v="40"/>
    <n v="61"/>
    <x v="2"/>
    <s v="None"/>
    <n v="30"/>
    <n v="65"/>
    <n v="100"/>
    <n v="45"/>
    <n v="25"/>
    <n v="40"/>
    <n v="305"/>
    <n v="50.833333333333336"/>
    <n v="13.333333333333334"/>
    <n v="1"/>
    <x v="0"/>
  </r>
  <r>
    <x v="90"/>
    <n v="15"/>
    <n v="1325"/>
    <n v="184"/>
    <x v="2"/>
    <s v="ice"/>
    <n v="50"/>
    <n v="95"/>
    <n v="180"/>
    <n v="85"/>
    <n v="45"/>
    <n v="70"/>
    <n v="525"/>
    <n v="87.5"/>
    <n v="88.333333333333329"/>
    <n v="2"/>
    <x v="1"/>
  </r>
  <r>
    <x v="91"/>
    <n v="13"/>
    <n v="1"/>
    <n v="62"/>
    <x v="12"/>
    <s v="poison"/>
    <n v="30"/>
    <n v="35"/>
    <n v="30"/>
    <n v="100"/>
    <n v="35"/>
    <n v="80"/>
    <n v="310"/>
    <n v="51.666666666666664"/>
    <n v="7.6923076923076927E-2"/>
    <n v="2"/>
    <x v="0"/>
  </r>
  <r>
    <x v="92"/>
    <n v="16"/>
    <n v="1"/>
    <n v="142"/>
    <x v="12"/>
    <s v="poison"/>
    <n v="45"/>
    <n v="50"/>
    <n v="45"/>
    <n v="115"/>
    <n v="55"/>
    <n v="95"/>
    <n v="405"/>
    <n v="67.5"/>
    <n v="6.25E-2"/>
    <n v="2"/>
    <x v="1"/>
  </r>
  <r>
    <x v="93"/>
    <n v="15"/>
    <n v="405"/>
    <n v="225"/>
    <x v="12"/>
    <s v="poison"/>
    <n v="60"/>
    <n v="65"/>
    <n v="60"/>
    <n v="130"/>
    <n v="75"/>
    <n v="110"/>
    <n v="500"/>
    <n v="83.333333333333329"/>
    <n v="27"/>
    <n v="2"/>
    <x v="2"/>
  </r>
  <r>
    <x v="94"/>
    <n v="88"/>
    <n v="2100"/>
    <n v="77"/>
    <x v="11"/>
    <s v="ground"/>
    <n v="35"/>
    <n v="45"/>
    <n v="160"/>
    <n v="30"/>
    <n v="45"/>
    <n v="70"/>
    <n v="385"/>
    <n v="64.166666666666671"/>
    <n v="23.863636363636363"/>
    <n v="2"/>
    <x v="0"/>
  </r>
  <r>
    <x v="95"/>
    <n v="10"/>
    <n v="324"/>
    <n v="66"/>
    <x v="10"/>
    <s v="None"/>
    <n v="60"/>
    <n v="48"/>
    <n v="45"/>
    <n v="43"/>
    <n v="90"/>
    <n v="42"/>
    <n v="328"/>
    <n v="54.666666666666664"/>
    <n v="32.4"/>
    <n v="1"/>
    <x v="0"/>
  </r>
  <r>
    <x v="96"/>
    <n v="16"/>
    <n v="756"/>
    <n v="169"/>
    <x v="10"/>
    <s v="None"/>
    <n v="85"/>
    <n v="73"/>
    <n v="70"/>
    <n v="73"/>
    <n v="115"/>
    <n v="67"/>
    <n v="483"/>
    <n v="80.5"/>
    <n v="47.25"/>
    <n v="1"/>
    <x v="1"/>
  </r>
  <r>
    <x v="97"/>
    <n v="4"/>
    <n v="65"/>
    <n v="65"/>
    <x v="2"/>
    <s v="None"/>
    <n v="30"/>
    <n v="105"/>
    <n v="90"/>
    <n v="25"/>
    <n v="25"/>
    <n v="50"/>
    <n v="325"/>
    <n v="54.166666666666664"/>
    <n v="16.25"/>
    <n v="1"/>
    <x v="0"/>
  </r>
  <r>
    <x v="98"/>
    <n v="13"/>
    <n v="600"/>
    <n v="166"/>
    <x v="2"/>
    <s v="None"/>
    <n v="55"/>
    <n v="130"/>
    <n v="115"/>
    <n v="50"/>
    <n v="50"/>
    <n v="75"/>
    <n v="475"/>
    <n v="79.166666666666671"/>
    <n v="46.153846153846153"/>
    <n v="1"/>
    <x v="1"/>
  </r>
  <r>
    <x v="99"/>
    <n v="5"/>
    <n v="104"/>
    <n v="66"/>
    <x v="6"/>
    <s v="None"/>
    <n v="40"/>
    <n v="30"/>
    <n v="50"/>
    <n v="55"/>
    <n v="55"/>
    <n v="100"/>
    <n v="330"/>
    <n v="55"/>
    <n v="20.8"/>
    <n v="1"/>
    <x v="0"/>
  </r>
  <r>
    <x v="100"/>
    <n v="12"/>
    <n v="666"/>
    <n v="172"/>
    <x v="6"/>
    <s v="None"/>
    <n v="60"/>
    <n v="50"/>
    <n v="70"/>
    <n v="80"/>
    <n v="80"/>
    <n v="150"/>
    <n v="490"/>
    <n v="81.666666666666671"/>
    <n v="55.5"/>
    <n v="1"/>
    <x v="1"/>
  </r>
  <r>
    <x v="101"/>
    <n v="4"/>
    <n v="25"/>
    <n v="65"/>
    <x v="0"/>
    <s v="psychic"/>
    <n v="60"/>
    <n v="40"/>
    <n v="80"/>
    <n v="60"/>
    <n v="45"/>
    <n v="40"/>
    <n v="325"/>
    <n v="54.166666666666664"/>
    <n v="6.25"/>
    <n v="2"/>
    <x v="0"/>
  </r>
  <r>
    <x v="102"/>
    <n v="20"/>
    <n v="1200"/>
    <n v="186"/>
    <x v="0"/>
    <s v="psychic"/>
    <n v="95"/>
    <n v="95"/>
    <n v="85"/>
    <n v="125"/>
    <n v="75"/>
    <n v="55"/>
    <n v="530"/>
    <n v="88.333333333333329"/>
    <n v="60"/>
    <n v="2"/>
    <x v="1"/>
  </r>
  <r>
    <x v="103"/>
    <n v="4"/>
    <n v="65"/>
    <n v="64"/>
    <x v="7"/>
    <s v="None"/>
    <n v="50"/>
    <n v="50"/>
    <n v="95"/>
    <n v="40"/>
    <n v="50"/>
    <n v="35"/>
    <n v="320"/>
    <n v="53.333333333333336"/>
    <n v="16.25"/>
    <n v="1"/>
    <x v="0"/>
  </r>
  <r>
    <x v="104"/>
    <n v="10"/>
    <n v="450"/>
    <n v="149"/>
    <x v="7"/>
    <s v="None"/>
    <n v="60"/>
    <n v="80"/>
    <n v="110"/>
    <n v="50"/>
    <n v="80"/>
    <n v="45"/>
    <n v="425"/>
    <n v="70.833333333333329"/>
    <n v="45"/>
    <n v="1"/>
    <x v="1"/>
  </r>
  <r>
    <x v="105"/>
    <n v="15"/>
    <n v="498"/>
    <n v="159"/>
    <x v="9"/>
    <s v="None"/>
    <n v="50"/>
    <n v="120"/>
    <n v="53"/>
    <n v="35"/>
    <n v="110"/>
    <n v="87"/>
    <n v="455"/>
    <n v="75.833333333333329"/>
    <n v="33.200000000000003"/>
    <n v="1"/>
    <x v="1"/>
  </r>
  <r>
    <x v="106"/>
    <n v="14"/>
    <n v="502"/>
    <n v="159"/>
    <x v="9"/>
    <s v="None"/>
    <n v="50"/>
    <n v="105"/>
    <n v="79"/>
    <n v="35"/>
    <n v="110"/>
    <n v="76"/>
    <n v="455"/>
    <n v="75.833333333333329"/>
    <n v="35.857142857142854"/>
    <n v="1"/>
    <x v="1"/>
  </r>
  <r>
    <x v="107"/>
    <n v="12"/>
    <n v="655"/>
    <n v="77"/>
    <x v="4"/>
    <s v="None"/>
    <n v="90"/>
    <n v="55"/>
    <n v="75"/>
    <n v="60"/>
    <n v="75"/>
    <n v="30"/>
    <n v="385"/>
    <n v="64.166666666666671"/>
    <n v="54.583333333333336"/>
    <n v="1"/>
    <x v="0"/>
  </r>
  <r>
    <x v="108"/>
    <n v="6"/>
    <n v="10"/>
    <n v="68"/>
    <x v="5"/>
    <s v="None"/>
    <n v="40"/>
    <n v="65"/>
    <n v="95"/>
    <n v="60"/>
    <n v="45"/>
    <n v="35"/>
    <n v="340"/>
    <n v="56.666666666666664"/>
    <n v="1.6666666666666667"/>
    <n v="1"/>
    <x v="0"/>
  </r>
  <r>
    <x v="109"/>
    <n v="12"/>
    <n v="95"/>
    <n v="172"/>
    <x v="5"/>
    <s v="None"/>
    <n v="65"/>
    <n v="90"/>
    <n v="120"/>
    <n v="85"/>
    <n v="70"/>
    <n v="60"/>
    <n v="490"/>
    <n v="81.666666666666671"/>
    <n v="7.916666666666667"/>
    <n v="1"/>
    <x v="1"/>
  </r>
  <r>
    <x v="110"/>
    <n v="10"/>
    <n v="1150"/>
    <n v="69"/>
    <x v="7"/>
    <s v="rock"/>
    <n v="80"/>
    <n v="85"/>
    <n v="95"/>
    <n v="30"/>
    <n v="30"/>
    <n v="25"/>
    <n v="345"/>
    <n v="57.5"/>
    <n v="115"/>
    <n v="2"/>
    <x v="0"/>
  </r>
  <r>
    <x v="111"/>
    <n v="19"/>
    <n v="1200"/>
    <n v="170"/>
    <x v="7"/>
    <s v="rock"/>
    <n v="105"/>
    <n v="130"/>
    <n v="120"/>
    <n v="45"/>
    <n v="45"/>
    <n v="40"/>
    <n v="485"/>
    <n v="80.833333333333329"/>
    <n v="63.157894736842103"/>
    <n v="2"/>
    <x v="1"/>
  </r>
  <r>
    <x v="112"/>
    <n v="11"/>
    <n v="346"/>
    <n v="395"/>
    <x v="4"/>
    <s v="None"/>
    <n v="250"/>
    <n v="5"/>
    <n v="5"/>
    <n v="35"/>
    <n v="105"/>
    <n v="50"/>
    <n v="450"/>
    <n v="75"/>
    <n v="31.454545454545453"/>
    <n v="1"/>
    <x v="3"/>
  </r>
  <r>
    <x v="113"/>
    <n v="10"/>
    <n v="350"/>
    <n v="87"/>
    <x v="0"/>
    <s v="None"/>
    <n v="65"/>
    <n v="55"/>
    <n v="115"/>
    <n v="100"/>
    <n v="40"/>
    <n v="60"/>
    <n v="435"/>
    <n v="72.5"/>
    <n v="35"/>
    <n v="1"/>
    <x v="0"/>
  </r>
  <r>
    <x v="114"/>
    <n v="22"/>
    <n v="800"/>
    <n v="172"/>
    <x v="4"/>
    <s v="None"/>
    <n v="105"/>
    <n v="95"/>
    <n v="80"/>
    <n v="40"/>
    <n v="80"/>
    <n v="90"/>
    <n v="490"/>
    <n v="81.666666666666671"/>
    <n v="36.363636363636367"/>
    <n v="1"/>
    <x v="1"/>
  </r>
  <r>
    <x v="115"/>
    <n v="4"/>
    <n v="80"/>
    <n v="59"/>
    <x v="2"/>
    <s v="None"/>
    <n v="30"/>
    <n v="40"/>
    <n v="70"/>
    <n v="70"/>
    <n v="25"/>
    <n v="60"/>
    <n v="295"/>
    <n v="49.166666666666664"/>
    <n v="20"/>
    <n v="1"/>
    <x v="0"/>
  </r>
  <r>
    <x v="116"/>
    <n v="12"/>
    <n v="250"/>
    <n v="154"/>
    <x v="2"/>
    <s v="None"/>
    <n v="55"/>
    <n v="65"/>
    <n v="95"/>
    <n v="95"/>
    <n v="45"/>
    <n v="85"/>
    <n v="440"/>
    <n v="73.333333333333329"/>
    <n v="20.833333333333332"/>
    <n v="1"/>
    <x v="1"/>
  </r>
  <r>
    <x v="117"/>
    <n v="6"/>
    <n v="150"/>
    <n v="64"/>
    <x v="2"/>
    <s v="None"/>
    <n v="45"/>
    <n v="67"/>
    <n v="60"/>
    <n v="35"/>
    <n v="50"/>
    <n v="63"/>
    <n v="320"/>
    <n v="53.333333333333336"/>
    <n v="25"/>
    <n v="1"/>
    <x v="0"/>
  </r>
  <r>
    <x v="118"/>
    <n v="13"/>
    <n v="390"/>
    <n v="158"/>
    <x v="2"/>
    <s v="None"/>
    <n v="80"/>
    <n v="92"/>
    <n v="65"/>
    <n v="65"/>
    <n v="80"/>
    <n v="68"/>
    <n v="450"/>
    <n v="75"/>
    <n v="30"/>
    <n v="1"/>
    <x v="1"/>
  </r>
  <r>
    <x v="119"/>
    <n v="8"/>
    <n v="345"/>
    <n v="68"/>
    <x v="2"/>
    <s v="None"/>
    <n v="30"/>
    <n v="45"/>
    <n v="55"/>
    <n v="70"/>
    <n v="55"/>
    <n v="85"/>
    <n v="340"/>
    <n v="56.666666666666664"/>
    <n v="43.125"/>
    <n v="1"/>
    <x v="0"/>
  </r>
  <r>
    <x v="120"/>
    <n v="11"/>
    <n v="800"/>
    <n v="182"/>
    <x v="2"/>
    <s v="psychic"/>
    <n v="60"/>
    <n v="75"/>
    <n v="85"/>
    <n v="100"/>
    <n v="85"/>
    <n v="115"/>
    <n v="520"/>
    <n v="86.666666666666671"/>
    <n v="72.727272727272734"/>
    <n v="2"/>
    <x v="1"/>
  </r>
  <r>
    <x v="121"/>
    <n v="13"/>
    <n v="545"/>
    <n v="161"/>
    <x v="10"/>
    <s v="fairy"/>
    <n v="40"/>
    <n v="45"/>
    <n v="65"/>
    <n v="100"/>
    <n v="120"/>
    <n v="90"/>
    <n v="460"/>
    <n v="76.666666666666671"/>
    <n v="41.92307692307692"/>
    <n v="2"/>
    <x v="1"/>
  </r>
  <r>
    <x v="122"/>
    <n v="15"/>
    <n v="560"/>
    <n v="100"/>
    <x v="3"/>
    <s v="flying"/>
    <n v="70"/>
    <n v="110"/>
    <n v="80"/>
    <n v="55"/>
    <n v="80"/>
    <n v="105"/>
    <n v="500"/>
    <n v="83.333333333333329"/>
    <n v="37.333333333333336"/>
    <n v="2"/>
    <x v="1"/>
  </r>
  <r>
    <x v="123"/>
    <n v="14"/>
    <n v="406"/>
    <n v="159"/>
    <x v="13"/>
    <s v="psychic"/>
    <n v="65"/>
    <n v="50"/>
    <n v="35"/>
    <n v="115"/>
    <n v="95"/>
    <n v="95"/>
    <n v="455"/>
    <n v="75.833333333333329"/>
    <n v="29"/>
    <n v="2"/>
    <x v="1"/>
  </r>
  <r>
    <x v="124"/>
    <n v="11"/>
    <n v="300"/>
    <n v="172"/>
    <x v="6"/>
    <s v="None"/>
    <n v="65"/>
    <n v="83"/>
    <n v="57"/>
    <n v="95"/>
    <n v="85"/>
    <n v="105"/>
    <n v="490"/>
    <n v="81.666666666666671"/>
    <n v="27.272727272727273"/>
    <n v="1"/>
    <x v="1"/>
  </r>
  <r>
    <x v="125"/>
    <n v="13"/>
    <n v="445"/>
    <n v="173"/>
    <x v="1"/>
    <s v="None"/>
    <n v="65"/>
    <n v="95"/>
    <n v="57"/>
    <n v="100"/>
    <n v="85"/>
    <n v="93"/>
    <n v="495"/>
    <n v="82.5"/>
    <n v="34.230769230769234"/>
    <n v="1"/>
    <x v="1"/>
  </r>
  <r>
    <x v="126"/>
    <n v="15"/>
    <n v="550"/>
    <n v="175"/>
    <x v="3"/>
    <s v="None"/>
    <n v="65"/>
    <n v="125"/>
    <n v="100"/>
    <n v="55"/>
    <n v="70"/>
    <n v="85"/>
    <n v="500"/>
    <n v="83.333333333333329"/>
    <n v="36.666666666666664"/>
    <n v="1"/>
    <x v="1"/>
  </r>
  <r>
    <x v="127"/>
    <n v="14"/>
    <n v="884"/>
    <n v="172"/>
    <x v="4"/>
    <s v="None"/>
    <n v="75"/>
    <n v="100"/>
    <n v="95"/>
    <n v="40"/>
    <n v="70"/>
    <n v="110"/>
    <n v="490"/>
    <n v="81.666666666666671"/>
    <n v="63.142857142857146"/>
    <n v="1"/>
    <x v="1"/>
  </r>
  <r>
    <x v="128"/>
    <n v="9"/>
    <n v="100"/>
    <n v="40"/>
    <x v="2"/>
    <s v="None"/>
    <n v="20"/>
    <n v="10"/>
    <n v="55"/>
    <n v="15"/>
    <n v="20"/>
    <n v="80"/>
    <n v="200"/>
    <n v="33.333333333333336"/>
    <n v="11.111111111111111"/>
    <n v="1"/>
    <x v="0"/>
  </r>
  <r>
    <x v="129"/>
    <n v="65"/>
    <n v="2350"/>
    <n v="189"/>
    <x v="2"/>
    <s v="flying"/>
    <n v="95"/>
    <n v="125"/>
    <n v="79"/>
    <n v="60"/>
    <n v="100"/>
    <n v="81"/>
    <n v="540"/>
    <n v="90"/>
    <n v="36.153846153846153"/>
    <n v="2"/>
    <x v="1"/>
  </r>
  <r>
    <x v="130"/>
    <n v="25"/>
    <n v="2200"/>
    <n v="187"/>
    <x v="2"/>
    <s v="ice"/>
    <n v="130"/>
    <n v="85"/>
    <n v="80"/>
    <n v="85"/>
    <n v="95"/>
    <n v="60"/>
    <n v="535"/>
    <n v="89.166666666666671"/>
    <n v="88"/>
    <n v="2"/>
    <x v="1"/>
  </r>
  <r>
    <x v="131"/>
    <n v="3"/>
    <n v="40"/>
    <n v="101"/>
    <x v="4"/>
    <s v="None"/>
    <n v="48"/>
    <n v="48"/>
    <n v="48"/>
    <n v="48"/>
    <n v="48"/>
    <n v="48"/>
    <n v="288"/>
    <n v="48"/>
    <n v="13.333333333333334"/>
    <n v="1"/>
    <x v="1"/>
  </r>
  <r>
    <x v="132"/>
    <n v="3"/>
    <n v="65"/>
    <n v="65"/>
    <x v="4"/>
    <s v="None"/>
    <n v="55"/>
    <n v="55"/>
    <n v="50"/>
    <n v="45"/>
    <n v="65"/>
    <n v="55"/>
    <n v="325"/>
    <n v="54.166666666666664"/>
    <n v="21.666666666666668"/>
    <n v="1"/>
    <x v="0"/>
  </r>
  <r>
    <x v="133"/>
    <n v="10"/>
    <n v="290"/>
    <n v="184"/>
    <x v="2"/>
    <s v="None"/>
    <n v="130"/>
    <n v="65"/>
    <n v="60"/>
    <n v="110"/>
    <n v="95"/>
    <n v="65"/>
    <n v="525"/>
    <n v="87.5"/>
    <n v="29"/>
    <n v="1"/>
    <x v="1"/>
  </r>
  <r>
    <x v="134"/>
    <n v="8"/>
    <n v="245"/>
    <n v="184"/>
    <x v="6"/>
    <s v="None"/>
    <n v="65"/>
    <n v="65"/>
    <n v="60"/>
    <n v="110"/>
    <n v="95"/>
    <n v="130"/>
    <n v="525"/>
    <n v="87.5"/>
    <n v="30.625"/>
    <n v="1"/>
    <x v="1"/>
  </r>
  <r>
    <x v="135"/>
    <n v="9"/>
    <n v="250"/>
    <n v="184"/>
    <x v="1"/>
    <s v="None"/>
    <n v="65"/>
    <n v="130"/>
    <n v="60"/>
    <n v="95"/>
    <n v="110"/>
    <n v="65"/>
    <n v="525"/>
    <n v="87.5"/>
    <n v="27.777777777777779"/>
    <n v="1"/>
    <x v="1"/>
  </r>
  <r>
    <x v="136"/>
    <n v="8"/>
    <n v="365"/>
    <n v="79"/>
    <x v="4"/>
    <s v="None"/>
    <n v="65"/>
    <n v="60"/>
    <n v="70"/>
    <n v="85"/>
    <n v="75"/>
    <n v="40"/>
    <n v="395"/>
    <n v="65.833333333333329"/>
    <n v="45.625"/>
    <n v="1"/>
    <x v="0"/>
  </r>
  <r>
    <x v="137"/>
    <n v="4"/>
    <n v="75"/>
    <n v="71"/>
    <x v="11"/>
    <s v="water"/>
    <n v="35"/>
    <n v="40"/>
    <n v="100"/>
    <n v="90"/>
    <n v="55"/>
    <n v="35"/>
    <n v="355"/>
    <n v="59.166666666666664"/>
    <n v="18.75"/>
    <n v="2"/>
    <x v="0"/>
  </r>
  <r>
    <x v="138"/>
    <n v="10"/>
    <n v="350"/>
    <n v="173"/>
    <x v="11"/>
    <s v="water"/>
    <n v="70"/>
    <n v="60"/>
    <n v="125"/>
    <n v="115"/>
    <n v="70"/>
    <n v="55"/>
    <n v="495"/>
    <n v="82.5"/>
    <n v="35"/>
    <n v="2"/>
    <x v="1"/>
  </r>
  <r>
    <x v="139"/>
    <n v="5"/>
    <n v="115"/>
    <n v="71"/>
    <x v="11"/>
    <s v="water"/>
    <n v="30"/>
    <n v="80"/>
    <n v="90"/>
    <n v="55"/>
    <n v="45"/>
    <n v="55"/>
    <n v="355"/>
    <n v="59.166666666666664"/>
    <n v="23"/>
    <n v="2"/>
    <x v="0"/>
  </r>
  <r>
    <x v="140"/>
    <n v="13"/>
    <n v="405"/>
    <n v="173"/>
    <x v="11"/>
    <s v="water"/>
    <n v="60"/>
    <n v="115"/>
    <n v="105"/>
    <n v="65"/>
    <n v="70"/>
    <n v="80"/>
    <n v="495"/>
    <n v="82.5"/>
    <n v="31.153846153846153"/>
    <n v="2"/>
    <x v="1"/>
  </r>
  <r>
    <x v="141"/>
    <n v="18"/>
    <n v="590"/>
    <n v="180"/>
    <x v="11"/>
    <s v="flying"/>
    <n v="80"/>
    <n v="105"/>
    <n v="65"/>
    <n v="60"/>
    <n v="75"/>
    <n v="130"/>
    <n v="515"/>
    <n v="85.833333333333329"/>
    <n v="32.777777777777779"/>
    <n v="2"/>
    <x v="1"/>
  </r>
  <r>
    <x v="142"/>
    <n v="21"/>
    <n v="4600"/>
    <n v="189"/>
    <x v="4"/>
    <s v="None"/>
    <n v="160"/>
    <n v="110"/>
    <n v="65"/>
    <n v="65"/>
    <n v="110"/>
    <n v="30"/>
    <n v="540"/>
    <n v="90"/>
    <n v="219.04761904761904"/>
    <n v="1"/>
    <x v="1"/>
  </r>
  <r>
    <x v="143"/>
    <n v="17"/>
    <n v="554"/>
    <n v="261"/>
    <x v="13"/>
    <s v="flying"/>
    <n v="90"/>
    <n v="85"/>
    <n v="100"/>
    <n v="95"/>
    <n v="125"/>
    <n v="85"/>
    <n v="580"/>
    <n v="96.666666666666671"/>
    <n v="32.588235294117645"/>
    <n v="2"/>
    <x v="3"/>
  </r>
  <r>
    <x v="144"/>
    <n v="16"/>
    <n v="526"/>
    <n v="261"/>
    <x v="6"/>
    <s v="flying"/>
    <n v="90"/>
    <n v="90"/>
    <n v="85"/>
    <n v="125"/>
    <n v="90"/>
    <n v="100"/>
    <n v="580"/>
    <n v="96.666666666666671"/>
    <n v="32.875"/>
    <n v="2"/>
    <x v="3"/>
  </r>
  <r>
    <x v="145"/>
    <n v="20"/>
    <n v="600"/>
    <n v="261"/>
    <x v="1"/>
    <s v="flying"/>
    <n v="90"/>
    <n v="100"/>
    <n v="90"/>
    <n v="125"/>
    <n v="85"/>
    <n v="90"/>
    <n v="580"/>
    <n v="96.666666666666671"/>
    <n v="30"/>
    <n v="2"/>
    <x v="3"/>
  </r>
  <r>
    <x v="146"/>
    <n v="18"/>
    <n v="33"/>
    <n v="60"/>
    <x v="14"/>
    <s v="None"/>
    <n v="41"/>
    <n v="64"/>
    <n v="45"/>
    <n v="50"/>
    <n v="50"/>
    <n v="50"/>
    <n v="300"/>
    <n v="50"/>
    <n v="1.8333333333333333"/>
    <n v="1"/>
    <x v="0"/>
  </r>
  <r>
    <x v="147"/>
    <n v="40"/>
    <n v="165"/>
    <n v="147"/>
    <x v="14"/>
    <s v="None"/>
    <n v="61"/>
    <n v="84"/>
    <n v="65"/>
    <n v="70"/>
    <n v="70"/>
    <n v="70"/>
    <n v="420"/>
    <n v="70"/>
    <n v="4.125"/>
    <n v="1"/>
    <x v="1"/>
  </r>
  <r>
    <x v="148"/>
    <n v="22"/>
    <n v="2100"/>
    <n v="270"/>
    <x v="14"/>
    <s v="flying"/>
    <n v="91"/>
    <n v="134"/>
    <n v="95"/>
    <n v="100"/>
    <n v="100"/>
    <n v="80"/>
    <n v="600"/>
    <n v="100"/>
    <n v="95.454545454545453"/>
    <n v="2"/>
    <x v="3"/>
  </r>
  <r>
    <x v="149"/>
    <n v="20"/>
    <n v="1220"/>
    <n v="306"/>
    <x v="10"/>
    <s v="None"/>
    <n v="106"/>
    <n v="110"/>
    <n v="90"/>
    <n v="154"/>
    <n v="90"/>
    <n v="130"/>
    <n v="680"/>
    <n v="113.33333333333333"/>
    <n v="61"/>
    <n v="1"/>
    <x v="3"/>
  </r>
  <r>
    <x v="150"/>
    <n v="4"/>
    <n v="40"/>
    <n v="270"/>
    <x v="10"/>
    <s v="None"/>
    <n v="100"/>
    <n v="100"/>
    <n v="100"/>
    <n v="100"/>
    <n v="100"/>
    <n v="100"/>
    <n v="600"/>
    <n v="100"/>
    <n v="10"/>
    <n v="1"/>
    <x v="3"/>
  </r>
  <r>
    <x v="151"/>
    <n v="9"/>
    <n v="64"/>
    <n v="64"/>
    <x v="0"/>
    <s v="None"/>
    <n v="45"/>
    <n v="49"/>
    <n v="65"/>
    <n v="49"/>
    <n v="65"/>
    <n v="45"/>
    <n v="318"/>
    <n v="53"/>
    <n v="7.1111111111111107"/>
    <n v="1"/>
    <x v="0"/>
  </r>
  <r>
    <x v="152"/>
    <n v="12"/>
    <n v="158"/>
    <n v="142"/>
    <x v="0"/>
    <s v="None"/>
    <n v="60"/>
    <n v="62"/>
    <n v="80"/>
    <n v="63"/>
    <n v="80"/>
    <n v="60"/>
    <n v="405"/>
    <n v="67.5"/>
    <n v="13.166666666666666"/>
    <n v="1"/>
    <x v="1"/>
  </r>
  <r>
    <x v="153"/>
    <n v="18"/>
    <n v="1005"/>
    <n v="236"/>
    <x v="0"/>
    <s v="None"/>
    <n v="80"/>
    <n v="82"/>
    <n v="100"/>
    <n v="83"/>
    <n v="100"/>
    <n v="80"/>
    <n v="525"/>
    <n v="87.5"/>
    <n v="55.833333333333336"/>
    <n v="1"/>
    <x v="2"/>
  </r>
  <r>
    <x v="154"/>
    <n v="5"/>
    <n v="79"/>
    <n v="62"/>
    <x v="1"/>
    <s v="None"/>
    <n v="39"/>
    <n v="52"/>
    <n v="43"/>
    <n v="60"/>
    <n v="50"/>
    <n v="65"/>
    <n v="309"/>
    <n v="51.5"/>
    <n v="15.8"/>
    <n v="1"/>
    <x v="0"/>
  </r>
  <r>
    <x v="155"/>
    <n v="9"/>
    <n v="190"/>
    <n v="142"/>
    <x v="1"/>
    <s v="None"/>
    <n v="58"/>
    <n v="64"/>
    <n v="58"/>
    <n v="80"/>
    <n v="65"/>
    <n v="80"/>
    <n v="405"/>
    <n v="67.5"/>
    <n v="21.111111111111111"/>
    <n v="1"/>
    <x v="1"/>
  </r>
  <r>
    <x v="156"/>
    <n v="17"/>
    <n v="795"/>
    <n v="240"/>
    <x v="1"/>
    <s v="None"/>
    <n v="78"/>
    <n v="84"/>
    <n v="78"/>
    <n v="109"/>
    <n v="85"/>
    <n v="100"/>
    <n v="534"/>
    <n v="89"/>
    <n v="46.764705882352942"/>
    <n v="1"/>
    <x v="2"/>
  </r>
  <r>
    <x v="157"/>
    <n v="6"/>
    <n v="95"/>
    <n v="63"/>
    <x v="2"/>
    <s v="None"/>
    <n v="50"/>
    <n v="65"/>
    <n v="64"/>
    <n v="44"/>
    <n v="48"/>
    <n v="43"/>
    <n v="314"/>
    <n v="52.333333333333336"/>
    <n v="15.833333333333334"/>
    <n v="1"/>
    <x v="0"/>
  </r>
  <r>
    <x v="158"/>
    <n v="11"/>
    <n v="250"/>
    <n v="142"/>
    <x v="2"/>
    <s v="None"/>
    <n v="65"/>
    <n v="80"/>
    <n v="80"/>
    <n v="59"/>
    <n v="63"/>
    <n v="58"/>
    <n v="405"/>
    <n v="67.5"/>
    <n v="22.727272727272727"/>
    <n v="1"/>
    <x v="1"/>
  </r>
  <r>
    <x v="159"/>
    <n v="23"/>
    <n v="888"/>
    <n v="239"/>
    <x v="2"/>
    <s v="None"/>
    <n v="85"/>
    <n v="105"/>
    <n v="100"/>
    <n v="79"/>
    <n v="83"/>
    <n v="78"/>
    <n v="530"/>
    <n v="88.333333333333329"/>
    <n v="38.608695652173914"/>
    <n v="1"/>
    <x v="2"/>
  </r>
  <r>
    <x v="160"/>
    <n v="8"/>
    <n v="60"/>
    <n v="43"/>
    <x v="4"/>
    <s v="None"/>
    <n v="35"/>
    <n v="46"/>
    <n v="34"/>
    <n v="35"/>
    <n v="45"/>
    <n v="20"/>
    <n v="215"/>
    <n v="35.833333333333336"/>
    <n v="7.5"/>
    <n v="1"/>
    <x v="0"/>
  </r>
  <r>
    <x v="161"/>
    <n v="18"/>
    <n v="325"/>
    <n v="145"/>
    <x v="4"/>
    <s v="None"/>
    <n v="85"/>
    <n v="76"/>
    <n v="64"/>
    <n v="45"/>
    <n v="55"/>
    <n v="90"/>
    <n v="415"/>
    <n v="69.166666666666671"/>
    <n v="18.055555555555557"/>
    <n v="1"/>
    <x v="1"/>
  </r>
  <r>
    <x v="162"/>
    <n v="7"/>
    <n v="212"/>
    <n v="52"/>
    <x v="4"/>
    <s v="flying"/>
    <n v="60"/>
    <n v="30"/>
    <n v="30"/>
    <n v="36"/>
    <n v="56"/>
    <n v="50"/>
    <n v="262"/>
    <n v="43.666666666666664"/>
    <n v="30.285714285714285"/>
    <n v="2"/>
    <x v="0"/>
  </r>
  <r>
    <x v="163"/>
    <n v="16"/>
    <n v="408"/>
    <n v="158"/>
    <x v="4"/>
    <s v="flying"/>
    <n v="100"/>
    <n v="50"/>
    <n v="50"/>
    <n v="86"/>
    <n v="96"/>
    <n v="70"/>
    <n v="452"/>
    <n v="75.333333333333329"/>
    <n v="25.5"/>
    <n v="2"/>
    <x v="1"/>
  </r>
  <r>
    <x v="164"/>
    <n v="10"/>
    <n v="108"/>
    <n v="53"/>
    <x v="3"/>
    <s v="flying"/>
    <n v="40"/>
    <n v="20"/>
    <n v="30"/>
    <n v="40"/>
    <n v="80"/>
    <n v="55"/>
    <n v="265"/>
    <n v="44.166666666666664"/>
    <n v="10.8"/>
    <n v="2"/>
    <x v="0"/>
  </r>
  <r>
    <x v="165"/>
    <n v="14"/>
    <n v="356"/>
    <n v="137"/>
    <x v="3"/>
    <s v="flying"/>
    <n v="55"/>
    <n v="35"/>
    <n v="50"/>
    <n v="55"/>
    <n v="110"/>
    <n v="85"/>
    <n v="390"/>
    <n v="65"/>
    <n v="25.428571428571427"/>
    <n v="2"/>
    <x v="1"/>
  </r>
  <r>
    <x v="166"/>
    <n v="5"/>
    <n v="85"/>
    <n v="50"/>
    <x v="3"/>
    <s v="poison"/>
    <n v="40"/>
    <n v="60"/>
    <n v="40"/>
    <n v="40"/>
    <n v="40"/>
    <n v="30"/>
    <n v="250"/>
    <n v="41.666666666666664"/>
    <n v="17"/>
    <n v="2"/>
    <x v="0"/>
  </r>
  <r>
    <x v="167"/>
    <n v="11"/>
    <n v="335"/>
    <n v="140"/>
    <x v="3"/>
    <s v="poison"/>
    <n v="70"/>
    <n v="90"/>
    <n v="70"/>
    <n v="60"/>
    <n v="70"/>
    <n v="40"/>
    <n v="400"/>
    <n v="66.666666666666671"/>
    <n v="30.454545454545453"/>
    <n v="2"/>
    <x v="1"/>
  </r>
  <r>
    <x v="168"/>
    <n v="18"/>
    <n v="750"/>
    <n v="241"/>
    <x v="5"/>
    <s v="flying"/>
    <n v="85"/>
    <n v="90"/>
    <n v="80"/>
    <n v="70"/>
    <n v="80"/>
    <n v="130"/>
    <n v="535"/>
    <n v="89.166666666666671"/>
    <n v="41.666666666666664"/>
    <n v="2"/>
    <x v="2"/>
  </r>
  <r>
    <x v="169"/>
    <n v="5"/>
    <n v="120"/>
    <n v="66"/>
    <x v="2"/>
    <s v="electric"/>
    <n v="75"/>
    <n v="38"/>
    <n v="38"/>
    <n v="56"/>
    <n v="56"/>
    <n v="67"/>
    <n v="330"/>
    <n v="55"/>
    <n v="24"/>
    <n v="2"/>
    <x v="0"/>
  </r>
  <r>
    <x v="170"/>
    <n v="12"/>
    <n v="225"/>
    <n v="161"/>
    <x v="2"/>
    <s v="electric"/>
    <n v="125"/>
    <n v="58"/>
    <n v="58"/>
    <n v="76"/>
    <n v="76"/>
    <n v="67"/>
    <n v="460"/>
    <n v="76.666666666666671"/>
    <n v="18.75"/>
    <n v="2"/>
    <x v="1"/>
  </r>
  <r>
    <x v="171"/>
    <n v="3"/>
    <n v="20"/>
    <n v="41"/>
    <x v="6"/>
    <s v="None"/>
    <n v="20"/>
    <n v="40"/>
    <n v="15"/>
    <n v="35"/>
    <n v="35"/>
    <n v="60"/>
    <n v="205"/>
    <n v="34.166666666666664"/>
    <n v="6.666666666666667"/>
    <n v="1"/>
    <x v="0"/>
  </r>
  <r>
    <x v="172"/>
    <n v="3"/>
    <n v="30"/>
    <n v="44"/>
    <x v="8"/>
    <s v="None"/>
    <n v="50"/>
    <n v="25"/>
    <n v="28"/>
    <n v="45"/>
    <n v="55"/>
    <n v="15"/>
    <n v="218"/>
    <n v="36.333333333333336"/>
    <n v="10"/>
    <n v="1"/>
    <x v="0"/>
  </r>
  <r>
    <x v="173"/>
    <n v="3"/>
    <n v="10"/>
    <n v="42"/>
    <x v="4"/>
    <s v="fairy"/>
    <n v="90"/>
    <n v="30"/>
    <n v="15"/>
    <n v="40"/>
    <n v="20"/>
    <n v="15"/>
    <n v="210"/>
    <n v="35"/>
    <n v="3.3333333333333335"/>
    <n v="2"/>
    <x v="0"/>
  </r>
  <r>
    <x v="174"/>
    <n v="3"/>
    <n v="15"/>
    <n v="49"/>
    <x v="8"/>
    <s v="None"/>
    <n v="35"/>
    <n v="20"/>
    <n v="65"/>
    <n v="40"/>
    <n v="65"/>
    <n v="20"/>
    <n v="245"/>
    <n v="40.833333333333336"/>
    <n v="5"/>
    <n v="1"/>
    <x v="0"/>
  </r>
  <r>
    <x v="175"/>
    <n v="6"/>
    <n v="32"/>
    <n v="142"/>
    <x v="8"/>
    <s v="flying"/>
    <n v="55"/>
    <n v="40"/>
    <n v="85"/>
    <n v="80"/>
    <n v="105"/>
    <n v="40"/>
    <n v="405"/>
    <n v="67.5"/>
    <n v="5.333333333333333"/>
    <n v="2"/>
    <x v="1"/>
  </r>
  <r>
    <x v="176"/>
    <n v="2"/>
    <n v="20"/>
    <n v="64"/>
    <x v="10"/>
    <s v="flying"/>
    <n v="40"/>
    <n v="50"/>
    <n v="45"/>
    <n v="70"/>
    <n v="45"/>
    <n v="70"/>
    <n v="320"/>
    <n v="53.333333333333336"/>
    <n v="10"/>
    <n v="2"/>
    <x v="0"/>
  </r>
  <r>
    <x v="177"/>
    <n v="15"/>
    <n v="150"/>
    <n v="165"/>
    <x v="10"/>
    <s v="flying"/>
    <n v="65"/>
    <n v="75"/>
    <n v="70"/>
    <n v="95"/>
    <n v="70"/>
    <n v="95"/>
    <n v="470"/>
    <n v="78.333333333333329"/>
    <n v="10"/>
    <n v="2"/>
    <x v="1"/>
  </r>
  <r>
    <x v="178"/>
    <n v="6"/>
    <n v="78"/>
    <n v="56"/>
    <x v="6"/>
    <s v="None"/>
    <n v="55"/>
    <n v="40"/>
    <n v="40"/>
    <n v="65"/>
    <n v="45"/>
    <n v="35"/>
    <n v="280"/>
    <n v="46.666666666666664"/>
    <n v="13"/>
    <n v="1"/>
    <x v="0"/>
  </r>
  <r>
    <x v="179"/>
    <n v="8"/>
    <n v="133"/>
    <n v="128"/>
    <x v="6"/>
    <s v="None"/>
    <n v="70"/>
    <n v="55"/>
    <n v="55"/>
    <n v="80"/>
    <n v="60"/>
    <n v="45"/>
    <n v="365"/>
    <n v="60.833333333333336"/>
    <n v="16.625"/>
    <n v="1"/>
    <x v="1"/>
  </r>
  <r>
    <x v="180"/>
    <n v="14"/>
    <n v="615"/>
    <n v="230"/>
    <x v="6"/>
    <s v="None"/>
    <n v="90"/>
    <n v="75"/>
    <n v="85"/>
    <n v="115"/>
    <n v="90"/>
    <n v="55"/>
    <n v="510"/>
    <n v="85"/>
    <n v="43.928571428571431"/>
    <n v="1"/>
    <x v="2"/>
  </r>
  <r>
    <x v="181"/>
    <n v="4"/>
    <n v="58"/>
    <n v="221"/>
    <x v="0"/>
    <s v="None"/>
    <n v="75"/>
    <n v="80"/>
    <n v="95"/>
    <n v="90"/>
    <n v="100"/>
    <n v="50"/>
    <n v="490"/>
    <n v="81.666666666666671"/>
    <n v="14.5"/>
    <n v="1"/>
    <x v="2"/>
  </r>
  <r>
    <x v="182"/>
    <n v="4"/>
    <n v="85"/>
    <n v="88"/>
    <x v="2"/>
    <s v="fairy"/>
    <n v="70"/>
    <n v="20"/>
    <n v="50"/>
    <n v="20"/>
    <n v="50"/>
    <n v="40"/>
    <n v="250"/>
    <n v="41.666666666666664"/>
    <n v="21.25"/>
    <n v="2"/>
    <x v="0"/>
  </r>
  <r>
    <x v="183"/>
    <n v="8"/>
    <n v="285"/>
    <n v="189"/>
    <x v="2"/>
    <s v="fairy"/>
    <n v="100"/>
    <n v="50"/>
    <n v="80"/>
    <n v="60"/>
    <n v="80"/>
    <n v="50"/>
    <n v="420"/>
    <n v="70"/>
    <n v="35.625"/>
    <n v="2"/>
    <x v="1"/>
  </r>
  <r>
    <x v="184"/>
    <n v="12"/>
    <n v="380"/>
    <n v="144"/>
    <x v="11"/>
    <s v="None"/>
    <n v="70"/>
    <n v="100"/>
    <n v="115"/>
    <n v="30"/>
    <n v="65"/>
    <n v="30"/>
    <n v="410"/>
    <n v="68.333333333333329"/>
    <n v="31.666666666666668"/>
    <n v="1"/>
    <x v="1"/>
  </r>
  <r>
    <x v="185"/>
    <n v="11"/>
    <n v="339"/>
    <n v="225"/>
    <x v="2"/>
    <s v="None"/>
    <n v="90"/>
    <n v="75"/>
    <n v="75"/>
    <n v="90"/>
    <n v="100"/>
    <n v="70"/>
    <n v="500"/>
    <n v="83.333333333333329"/>
    <n v="30.818181818181817"/>
    <n v="1"/>
    <x v="2"/>
  </r>
  <r>
    <x v="186"/>
    <n v="4"/>
    <n v="5"/>
    <n v="50"/>
    <x v="0"/>
    <s v="flying"/>
    <n v="35"/>
    <n v="35"/>
    <n v="40"/>
    <n v="35"/>
    <n v="55"/>
    <n v="50"/>
    <n v="250"/>
    <n v="41.666666666666664"/>
    <n v="1.25"/>
    <n v="2"/>
    <x v="0"/>
  </r>
  <r>
    <x v="187"/>
    <n v="6"/>
    <n v="10"/>
    <n v="119"/>
    <x v="0"/>
    <s v="flying"/>
    <n v="55"/>
    <n v="45"/>
    <n v="50"/>
    <n v="45"/>
    <n v="65"/>
    <n v="80"/>
    <n v="340"/>
    <n v="56.666666666666664"/>
    <n v="1.6666666666666667"/>
    <n v="2"/>
    <x v="1"/>
  </r>
  <r>
    <x v="188"/>
    <n v="8"/>
    <n v="30"/>
    <n v="207"/>
    <x v="0"/>
    <s v="flying"/>
    <n v="75"/>
    <n v="55"/>
    <n v="70"/>
    <n v="55"/>
    <n v="95"/>
    <n v="110"/>
    <n v="460"/>
    <n v="76.666666666666671"/>
    <n v="3.75"/>
    <n v="2"/>
    <x v="2"/>
  </r>
  <r>
    <x v="189"/>
    <n v="8"/>
    <n v="115"/>
    <n v="72"/>
    <x v="4"/>
    <s v="None"/>
    <n v="55"/>
    <n v="70"/>
    <n v="55"/>
    <n v="40"/>
    <n v="55"/>
    <n v="85"/>
    <n v="360"/>
    <n v="60"/>
    <n v="14.375"/>
    <n v="1"/>
    <x v="0"/>
  </r>
  <r>
    <x v="190"/>
    <n v="3"/>
    <n v="18"/>
    <n v="36"/>
    <x v="0"/>
    <s v="None"/>
    <n v="30"/>
    <n v="30"/>
    <n v="30"/>
    <n v="30"/>
    <n v="30"/>
    <n v="30"/>
    <n v="180"/>
    <n v="30"/>
    <n v="6"/>
    <n v="1"/>
    <x v="0"/>
  </r>
  <r>
    <x v="191"/>
    <n v="8"/>
    <n v="85"/>
    <n v="149"/>
    <x v="0"/>
    <s v="None"/>
    <n v="75"/>
    <n v="75"/>
    <n v="55"/>
    <n v="105"/>
    <n v="85"/>
    <n v="30"/>
    <n v="425"/>
    <n v="70.833333333333329"/>
    <n v="10.625"/>
    <n v="1"/>
    <x v="1"/>
  </r>
  <r>
    <x v="192"/>
    <n v="12"/>
    <n v="380"/>
    <n v="78"/>
    <x v="3"/>
    <s v="flying"/>
    <n v="65"/>
    <n v="65"/>
    <n v="45"/>
    <n v="75"/>
    <n v="45"/>
    <n v="95"/>
    <n v="390"/>
    <n v="65"/>
    <n v="31.666666666666668"/>
    <n v="2"/>
    <x v="0"/>
  </r>
  <r>
    <x v="193"/>
    <n v="4"/>
    <n v="85"/>
    <n v="42"/>
    <x v="2"/>
    <s v="ground"/>
    <n v="55"/>
    <n v="45"/>
    <n v="45"/>
    <n v="25"/>
    <n v="25"/>
    <n v="15"/>
    <n v="210"/>
    <n v="35"/>
    <n v="21.25"/>
    <n v="2"/>
    <x v="0"/>
  </r>
  <r>
    <x v="194"/>
    <n v="14"/>
    <n v="750"/>
    <n v="151"/>
    <x v="2"/>
    <s v="ground"/>
    <n v="95"/>
    <n v="85"/>
    <n v="85"/>
    <n v="65"/>
    <n v="65"/>
    <n v="35"/>
    <n v="430"/>
    <n v="71.666666666666671"/>
    <n v="53.571428571428569"/>
    <n v="2"/>
    <x v="1"/>
  </r>
  <r>
    <x v="195"/>
    <n v="9"/>
    <n v="265"/>
    <n v="184"/>
    <x v="10"/>
    <s v="None"/>
    <n v="65"/>
    <n v="65"/>
    <n v="60"/>
    <n v="130"/>
    <n v="95"/>
    <n v="110"/>
    <n v="525"/>
    <n v="87.5"/>
    <n v="29.444444444444443"/>
    <n v="1"/>
    <x v="1"/>
  </r>
  <r>
    <x v="196"/>
    <n v="10"/>
    <n v="270"/>
    <n v="184"/>
    <x v="15"/>
    <s v="None"/>
    <n v="95"/>
    <n v="65"/>
    <n v="110"/>
    <n v="60"/>
    <n v="130"/>
    <n v="65"/>
    <n v="525"/>
    <n v="87.5"/>
    <n v="27"/>
    <n v="1"/>
    <x v="1"/>
  </r>
  <r>
    <x v="197"/>
    <n v="5"/>
    <n v="21"/>
    <n v="81"/>
    <x v="15"/>
    <s v="flying"/>
    <n v="60"/>
    <n v="85"/>
    <n v="42"/>
    <n v="85"/>
    <n v="42"/>
    <n v="91"/>
    <n v="405"/>
    <n v="67.5"/>
    <n v="4.2"/>
    <n v="2"/>
    <x v="0"/>
  </r>
  <r>
    <x v="198"/>
    <n v="20"/>
    <n v="795"/>
    <n v="172"/>
    <x v="2"/>
    <s v="psychic"/>
    <n v="95"/>
    <n v="75"/>
    <n v="80"/>
    <n v="100"/>
    <n v="110"/>
    <n v="30"/>
    <n v="490"/>
    <n v="81.666666666666671"/>
    <n v="39.75"/>
    <n v="2"/>
    <x v="1"/>
  </r>
  <r>
    <x v="199"/>
    <n v="7"/>
    <n v="10"/>
    <n v="87"/>
    <x v="12"/>
    <s v="None"/>
    <n v="60"/>
    <n v="60"/>
    <n v="60"/>
    <n v="85"/>
    <n v="85"/>
    <n v="85"/>
    <n v="435"/>
    <n v="72.5"/>
    <n v="1.4285714285714286"/>
    <n v="1"/>
    <x v="0"/>
  </r>
  <r>
    <x v="200"/>
    <n v="5"/>
    <n v="50"/>
    <n v="118"/>
    <x v="10"/>
    <s v="None"/>
    <n v="48"/>
    <n v="72"/>
    <n v="48"/>
    <n v="72"/>
    <n v="48"/>
    <n v="48"/>
    <n v="336"/>
    <n v="56"/>
    <n v="10"/>
    <n v="1"/>
    <x v="1"/>
  </r>
  <r>
    <x v="201"/>
    <n v="13"/>
    <n v="285"/>
    <n v="142"/>
    <x v="10"/>
    <s v="None"/>
    <n v="190"/>
    <n v="33"/>
    <n v="58"/>
    <n v="33"/>
    <n v="58"/>
    <n v="33"/>
    <n v="405"/>
    <n v="67.5"/>
    <n v="21.923076923076923"/>
    <n v="1"/>
    <x v="1"/>
  </r>
  <r>
    <x v="202"/>
    <n v="15"/>
    <n v="415"/>
    <n v="159"/>
    <x v="4"/>
    <s v="psychic"/>
    <n v="70"/>
    <n v="80"/>
    <n v="65"/>
    <n v="90"/>
    <n v="65"/>
    <n v="85"/>
    <n v="455"/>
    <n v="75.833333333333329"/>
    <n v="27.666666666666668"/>
    <n v="2"/>
    <x v="1"/>
  </r>
  <r>
    <x v="203"/>
    <n v="6"/>
    <n v="72"/>
    <n v="58"/>
    <x v="3"/>
    <s v="None"/>
    <n v="50"/>
    <n v="65"/>
    <n v="90"/>
    <n v="35"/>
    <n v="35"/>
    <n v="15"/>
    <n v="290"/>
    <n v="48.333333333333336"/>
    <n v="12"/>
    <n v="1"/>
    <x v="0"/>
  </r>
  <r>
    <x v="204"/>
    <n v="12"/>
    <n v="1258"/>
    <n v="163"/>
    <x v="3"/>
    <s v="steel"/>
    <n v="75"/>
    <n v="90"/>
    <n v="140"/>
    <n v="60"/>
    <n v="60"/>
    <n v="40"/>
    <n v="465"/>
    <n v="77.5"/>
    <n v="104.83333333333333"/>
    <n v="2"/>
    <x v="1"/>
  </r>
  <r>
    <x v="205"/>
    <n v="15"/>
    <n v="140"/>
    <n v="145"/>
    <x v="4"/>
    <s v="None"/>
    <n v="100"/>
    <n v="70"/>
    <n v="70"/>
    <n v="65"/>
    <n v="65"/>
    <n v="45"/>
    <n v="415"/>
    <n v="69.166666666666671"/>
    <n v="9.3333333333333339"/>
    <n v="1"/>
    <x v="1"/>
  </r>
  <r>
    <x v="206"/>
    <n v="11"/>
    <n v="648"/>
    <n v="86"/>
    <x v="7"/>
    <s v="flying"/>
    <n v="65"/>
    <n v="75"/>
    <n v="105"/>
    <n v="35"/>
    <n v="65"/>
    <n v="85"/>
    <n v="430"/>
    <n v="71.666666666666671"/>
    <n v="58.909090909090907"/>
    <n v="2"/>
    <x v="0"/>
  </r>
  <r>
    <x v="207"/>
    <n v="92"/>
    <n v="4000"/>
    <n v="179"/>
    <x v="16"/>
    <s v="ground"/>
    <n v="75"/>
    <n v="85"/>
    <n v="200"/>
    <n v="55"/>
    <n v="65"/>
    <n v="30"/>
    <n v="510"/>
    <n v="85"/>
    <n v="43.478260869565219"/>
    <n v="2"/>
    <x v="1"/>
  </r>
  <r>
    <x v="208"/>
    <n v="6"/>
    <n v="78"/>
    <n v="60"/>
    <x v="8"/>
    <s v="None"/>
    <n v="60"/>
    <n v="80"/>
    <n v="50"/>
    <n v="40"/>
    <n v="40"/>
    <n v="30"/>
    <n v="300"/>
    <n v="50"/>
    <n v="13"/>
    <n v="1"/>
    <x v="0"/>
  </r>
  <r>
    <x v="209"/>
    <n v="14"/>
    <n v="487"/>
    <n v="158"/>
    <x v="8"/>
    <s v="None"/>
    <n v="90"/>
    <n v="120"/>
    <n v="75"/>
    <n v="60"/>
    <n v="60"/>
    <n v="45"/>
    <n v="450"/>
    <n v="75"/>
    <n v="34.785714285714285"/>
    <n v="1"/>
    <x v="1"/>
  </r>
  <r>
    <x v="210"/>
    <n v="5"/>
    <n v="39"/>
    <n v="88"/>
    <x v="2"/>
    <s v="poison"/>
    <n v="65"/>
    <n v="95"/>
    <n v="85"/>
    <n v="55"/>
    <n v="55"/>
    <n v="85"/>
    <n v="440"/>
    <n v="73.333333333333329"/>
    <n v="7.8"/>
    <n v="2"/>
    <x v="0"/>
  </r>
  <r>
    <x v="211"/>
    <n v="18"/>
    <n v="1180"/>
    <n v="175"/>
    <x v="3"/>
    <s v="steel"/>
    <n v="70"/>
    <n v="130"/>
    <n v="100"/>
    <n v="55"/>
    <n v="80"/>
    <n v="65"/>
    <n v="500"/>
    <n v="83.333333333333329"/>
    <n v="65.555555555555557"/>
    <n v="2"/>
    <x v="1"/>
  </r>
  <r>
    <x v="212"/>
    <n v="6"/>
    <n v="205"/>
    <n v="177"/>
    <x v="3"/>
    <s v="rock"/>
    <n v="20"/>
    <n v="10"/>
    <n v="230"/>
    <n v="10"/>
    <n v="230"/>
    <n v="5"/>
    <n v="505"/>
    <n v="84.166666666666671"/>
    <n v="34.166666666666664"/>
    <n v="2"/>
    <x v="1"/>
  </r>
  <r>
    <x v="213"/>
    <n v="15"/>
    <n v="540"/>
    <n v="175"/>
    <x v="3"/>
    <s v="fighting"/>
    <n v="80"/>
    <n v="125"/>
    <n v="75"/>
    <n v="40"/>
    <n v="95"/>
    <n v="85"/>
    <n v="500"/>
    <n v="83.333333333333329"/>
    <n v="36"/>
    <n v="2"/>
    <x v="1"/>
  </r>
  <r>
    <x v="214"/>
    <n v="9"/>
    <n v="280"/>
    <n v="86"/>
    <x v="15"/>
    <s v="ice"/>
    <n v="55"/>
    <n v="95"/>
    <n v="55"/>
    <n v="35"/>
    <n v="75"/>
    <n v="115"/>
    <n v="430"/>
    <n v="71.666666666666671"/>
    <n v="31.111111111111111"/>
    <n v="2"/>
    <x v="0"/>
  </r>
  <r>
    <x v="215"/>
    <n v="6"/>
    <n v="88"/>
    <n v="66"/>
    <x v="4"/>
    <s v="None"/>
    <n v="60"/>
    <n v="80"/>
    <n v="50"/>
    <n v="50"/>
    <n v="50"/>
    <n v="40"/>
    <n v="330"/>
    <n v="55"/>
    <n v="14.666666666666666"/>
    <n v="1"/>
    <x v="0"/>
  </r>
  <r>
    <x v="216"/>
    <n v="18"/>
    <n v="1258"/>
    <n v="175"/>
    <x v="4"/>
    <s v="None"/>
    <n v="90"/>
    <n v="130"/>
    <n v="75"/>
    <n v="75"/>
    <n v="75"/>
    <n v="55"/>
    <n v="500"/>
    <n v="83.333333333333329"/>
    <n v="69.888888888888886"/>
    <n v="1"/>
    <x v="1"/>
  </r>
  <r>
    <x v="217"/>
    <n v="7"/>
    <n v="350"/>
    <n v="50"/>
    <x v="1"/>
    <s v="None"/>
    <n v="40"/>
    <n v="40"/>
    <n v="40"/>
    <n v="70"/>
    <n v="40"/>
    <n v="20"/>
    <n v="250"/>
    <n v="41.666666666666664"/>
    <n v="50"/>
    <n v="1"/>
    <x v="0"/>
  </r>
  <r>
    <x v="218"/>
    <n v="8"/>
    <n v="550"/>
    <n v="151"/>
    <x v="1"/>
    <s v="rock"/>
    <n v="60"/>
    <n v="50"/>
    <n v="120"/>
    <n v="90"/>
    <n v="80"/>
    <n v="30"/>
    <n v="430"/>
    <n v="71.666666666666671"/>
    <n v="68.75"/>
    <n v="2"/>
    <x v="1"/>
  </r>
  <r>
    <x v="219"/>
    <n v="4"/>
    <n v="65"/>
    <n v="50"/>
    <x v="13"/>
    <s v="ground"/>
    <n v="50"/>
    <n v="50"/>
    <n v="40"/>
    <n v="30"/>
    <n v="30"/>
    <n v="50"/>
    <n v="250"/>
    <n v="41.666666666666664"/>
    <n v="16.25"/>
    <n v="2"/>
    <x v="0"/>
  </r>
  <r>
    <x v="220"/>
    <n v="11"/>
    <n v="558"/>
    <n v="158"/>
    <x v="13"/>
    <s v="ground"/>
    <n v="100"/>
    <n v="100"/>
    <n v="80"/>
    <n v="60"/>
    <n v="60"/>
    <n v="50"/>
    <n v="450"/>
    <n v="75"/>
    <n v="50.727272727272727"/>
    <n v="2"/>
    <x v="1"/>
  </r>
  <r>
    <x v="221"/>
    <n v="6"/>
    <n v="50"/>
    <n v="144"/>
    <x v="2"/>
    <s v="rock"/>
    <n v="65"/>
    <n v="55"/>
    <n v="95"/>
    <n v="65"/>
    <n v="95"/>
    <n v="35"/>
    <n v="410"/>
    <n v="68.333333333333329"/>
    <n v="8.3333333333333339"/>
    <n v="2"/>
    <x v="1"/>
  </r>
  <r>
    <x v="222"/>
    <n v="6"/>
    <n v="120"/>
    <n v="60"/>
    <x v="2"/>
    <s v="None"/>
    <n v="35"/>
    <n v="65"/>
    <n v="35"/>
    <n v="65"/>
    <n v="35"/>
    <n v="65"/>
    <n v="300"/>
    <n v="50"/>
    <n v="20"/>
    <n v="1"/>
    <x v="0"/>
  </r>
  <r>
    <x v="223"/>
    <n v="9"/>
    <n v="285"/>
    <n v="168"/>
    <x v="2"/>
    <s v="None"/>
    <n v="75"/>
    <n v="105"/>
    <n v="75"/>
    <n v="105"/>
    <n v="75"/>
    <n v="45"/>
    <n v="480"/>
    <n v="80"/>
    <n v="31.666666666666668"/>
    <n v="1"/>
    <x v="1"/>
  </r>
  <r>
    <x v="224"/>
    <n v="9"/>
    <n v="160"/>
    <n v="116"/>
    <x v="13"/>
    <s v="flying"/>
    <n v="45"/>
    <n v="55"/>
    <n v="45"/>
    <n v="65"/>
    <n v="45"/>
    <n v="75"/>
    <n v="330"/>
    <n v="55"/>
    <n v="17.777777777777779"/>
    <n v="2"/>
    <x v="1"/>
  </r>
  <r>
    <x v="225"/>
    <n v="21"/>
    <n v="2200"/>
    <n v="170"/>
    <x v="2"/>
    <s v="flying"/>
    <n v="85"/>
    <n v="40"/>
    <n v="70"/>
    <n v="80"/>
    <n v="140"/>
    <n v="70"/>
    <n v="485"/>
    <n v="80.833333333333329"/>
    <n v="104.76190476190476"/>
    <n v="2"/>
    <x v="1"/>
  </r>
  <r>
    <x v="226"/>
    <n v="17"/>
    <n v="505"/>
    <n v="163"/>
    <x v="16"/>
    <s v="flying"/>
    <n v="65"/>
    <n v="80"/>
    <n v="140"/>
    <n v="40"/>
    <n v="70"/>
    <n v="70"/>
    <n v="465"/>
    <n v="77.5"/>
    <n v="29.705882352941178"/>
    <n v="2"/>
    <x v="1"/>
  </r>
  <r>
    <x v="227"/>
    <n v="6"/>
    <n v="108"/>
    <n v="66"/>
    <x v="15"/>
    <s v="fire"/>
    <n v="45"/>
    <n v="60"/>
    <n v="30"/>
    <n v="80"/>
    <n v="50"/>
    <n v="65"/>
    <n v="330"/>
    <n v="55"/>
    <n v="18"/>
    <n v="2"/>
    <x v="0"/>
  </r>
  <r>
    <x v="228"/>
    <n v="14"/>
    <n v="350"/>
    <n v="175"/>
    <x v="15"/>
    <s v="fire"/>
    <n v="75"/>
    <n v="90"/>
    <n v="50"/>
    <n v="110"/>
    <n v="80"/>
    <n v="95"/>
    <n v="500"/>
    <n v="83.333333333333329"/>
    <n v="25"/>
    <n v="2"/>
    <x v="1"/>
  </r>
  <r>
    <x v="229"/>
    <n v="18"/>
    <n v="1520"/>
    <n v="243"/>
    <x v="2"/>
    <s v="dragon"/>
    <n v="75"/>
    <n v="95"/>
    <n v="95"/>
    <n v="95"/>
    <n v="95"/>
    <n v="85"/>
    <n v="540"/>
    <n v="90"/>
    <n v="84.444444444444443"/>
    <n v="2"/>
    <x v="2"/>
  </r>
  <r>
    <x v="230"/>
    <n v="5"/>
    <n v="335"/>
    <n v="66"/>
    <x v="7"/>
    <s v="None"/>
    <n v="90"/>
    <n v="60"/>
    <n v="60"/>
    <n v="40"/>
    <n v="40"/>
    <n v="40"/>
    <n v="330"/>
    <n v="55"/>
    <n v="67"/>
    <n v="1"/>
    <x v="0"/>
  </r>
  <r>
    <x v="231"/>
    <n v="11"/>
    <n v="1200"/>
    <n v="175"/>
    <x v="7"/>
    <s v="None"/>
    <n v="90"/>
    <n v="120"/>
    <n v="120"/>
    <n v="60"/>
    <n v="60"/>
    <n v="50"/>
    <n v="500"/>
    <n v="83.333333333333329"/>
    <n v="109.09090909090909"/>
    <n v="1"/>
    <x v="1"/>
  </r>
  <r>
    <x v="232"/>
    <n v="6"/>
    <n v="325"/>
    <n v="180"/>
    <x v="4"/>
    <s v="None"/>
    <n v="85"/>
    <n v="80"/>
    <n v="90"/>
    <n v="105"/>
    <n v="95"/>
    <n v="60"/>
    <n v="515"/>
    <n v="85.833333333333329"/>
    <n v="54.166666666666664"/>
    <n v="1"/>
    <x v="1"/>
  </r>
  <r>
    <x v="233"/>
    <n v="14"/>
    <n v="712"/>
    <n v="163"/>
    <x v="4"/>
    <s v="None"/>
    <n v="73"/>
    <n v="95"/>
    <n v="62"/>
    <n v="85"/>
    <n v="65"/>
    <n v="85"/>
    <n v="465"/>
    <n v="77.5"/>
    <n v="50.857142857142854"/>
    <n v="1"/>
    <x v="1"/>
  </r>
  <r>
    <x v="234"/>
    <n v="12"/>
    <n v="580"/>
    <n v="88"/>
    <x v="4"/>
    <s v="None"/>
    <n v="55"/>
    <n v="20"/>
    <n v="35"/>
    <n v="20"/>
    <n v="45"/>
    <n v="75"/>
    <n v="250"/>
    <n v="41.666666666666664"/>
    <n v="48.333333333333336"/>
    <n v="1"/>
    <x v="0"/>
  </r>
  <r>
    <x v="235"/>
    <n v="7"/>
    <n v="210"/>
    <n v="42"/>
    <x v="9"/>
    <s v="None"/>
    <n v="35"/>
    <n v="35"/>
    <n v="35"/>
    <n v="35"/>
    <n v="35"/>
    <n v="35"/>
    <n v="210"/>
    <n v="35"/>
    <n v="30"/>
    <n v="1"/>
    <x v="0"/>
  </r>
  <r>
    <x v="236"/>
    <n v="14"/>
    <n v="480"/>
    <n v="159"/>
    <x v="9"/>
    <s v="None"/>
    <n v="50"/>
    <n v="95"/>
    <n v="95"/>
    <n v="35"/>
    <n v="110"/>
    <n v="70"/>
    <n v="455"/>
    <n v="75.833333333333329"/>
    <n v="34.285714285714285"/>
    <n v="1"/>
    <x v="1"/>
  </r>
  <r>
    <x v="237"/>
    <n v="4"/>
    <n v="60"/>
    <n v="61"/>
    <x v="13"/>
    <s v="psychic"/>
    <n v="45"/>
    <n v="30"/>
    <n v="15"/>
    <n v="85"/>
    <n v="65"/>
    <n v="65"/>
    <n v="305"/>
    <n v="50.833333333333336"/>
    <n v="15"/>
    <n v="2"/>
    <x v="0"/>
  </r>
  <r>
    <x v="238"/>
    <n v="6"/>
    <n v="235"/>
    <n v="72"/>
    <x v="6"/>
    <s v="None"/>
    <n v="45"/>
    <n v="63"/>
    <n v="37"/>
    <n v="65"/>
    <n v="55"/>
    <n v="95"/>
    <n v="360"/>
    <n v="60"/>
    <n v="39.166666666666664"/>
    <n v="1"/>
    <x v="0"/>
  </r>
  <r>
    <x v="239"/>
    <n v="7"/>
    <n v="214"/>
    <n v="73"/>
    <x v="1"/>
    <s v="None"/>
    <n v="45"/>
    <n v="75"/>
    <n v="37"/>
    <n v="70"/>
    <n v="55"/>
    <n v="83"/>
    <n v="365"/>
    <n v="60.833333333333336"/>
    <n v="30.571428571428573"/>
    <n v="1"/>
    <x v="0"/>
  </r>
  <r>
    <x v="240"/>
    <n v="12"/>
    <n v="755"/>
    <n v="172"/>
    <x v="4"/>
    <s v="None"/>
    <n v="95"/>
    <n v="80"/>
    <n v="105"/>
    <n v="40"/>
    <n v="70"/>
    <n v="100"/>
    <n v="490"/>
    <n v="81.666666666666671"/>
    <n v="62.916666666666664"/>
    <n v="1"/>
    <x v="1"/>
  </r>
  <r>
    <x v="241"/>
    <n v="15"/>
    <n v="468"/>
    <n v="608"/>
    <x v="4"/>
    <s v="None"/>
    <n v="255"/>
    <n v="10"/>
    <n v="10"/>
    <n v="75"/>
    <n v="135"/>
    <n v="55"/>
    <n v="540"/>
    <n v="90"/>
    <n v="31.2"/>
    <n v="1"/>
    <x v="3"/>
  </r>
  <r>
    <x v="242"/>
    <n v="19"/>
    <n v="1780"/>
    <n v="261"/>
    <x v="6"/>
    <s v="None"/>
    <n v="90"/>
    <n v="85"/>
    <n v="75"/>
    <n v="115"/>
    <n v="100"/>
    <n v="115"/>
    <n v="580"/>
    <n v="96.666666666666671"/>
    <n v="93.684210526315795"/>
    <n v="1"/>
    <x v="3"/>
  </r>
  <r>
    <x v="243"/>
    <n v="21"/>
    <n v="1980"/>
    <n v="261"/>
    <x v="1"/>
    <s v="None"/>
    <n v="115"/>
    <n v="115"/>
    <n v="85"/>
    <n v="90"/>
    <n v="75"/>
    <n v="100"/>
    <n v="580"/>
    <n v="96.666666666666671"/>
    <n v="94.285714285714292"/>
    <n v="1"/>
    <x v="3"/>
  </r>
  <r>
    <x v="244"/>
    <n v="20"/>
    <n v="1870"/>
    <n v="261"/>
    <x v="2"/>
    <s v="None"/>
    <n v="100"/>
    <n v="75"/>
    <n v="115"/>
    <n v="90"/>
    <n v="115"/>
    <n v="85"/>
    <n v="580"/>
    <n v="96.666666666666671"/>
    <n v="93.5"/>
    <n v="1"/>
    <x v="3"/>
  </r>
  <r>
    <x v="245"/>
    <n v="6"/>
    <n v="720"/>
    <n v="60"/>
    <x v="11"/>
    <s v="ground"/>
    <n v="50"/>
    <n v="64"/>
    <n v="50"/>
    <n v="45"/>
    <n v="50"/>
    <n v="41"/>
    <n v="300"/>
    <n v="50"/>
    <n v="120"/>
    <n v="2"/>
    <x v="0"/>
  </r>
  <r>
    <x v="246"/>
    <n v="12"/>
    <n v="1520"/>
    <n v="144"/>
    <x v="11"/>
    <s v="ground"/>
    <n v="70"/>
    <n v="84"/>
    <n v="70"/>
    <n v="65"/>
    <n v="70"/>
    <n v="51"/>
    <n v="410"/>
    <n v="68.333333333333329"/>
    <n v="126.66666666666667"/>
    <n v="2"/>
    <x v="1"/>
  </r>
  <r>
    <x v="247"/>
    <n v="20"/>
    <n v="2020"/>
    <n v="270"/>
    <x v="11"/>
    <s v="dark"/>
    <n v="100"/>
    <n v="134"/>
    <n v="110"/>
    <n v="95"/>
    <n v="100"/>
    <n v="61"/>
    <n v="600"/>
    <n v="100"/>
    <n v="101"/>
    <n v="2"/>
    <x v="3"/>
  </r>
  <r>
    <x v="248"/>
    <n v="52"/>
    <n v="2160"/>
    <n v="306"/>
    <x v="10"/>
    <s v="flying"/>
    <n v="106"/>
    <n v="90"/>
    <n v="130"/>
    <n v="90"/>
    <n v="154"/>
    <n v="110"/>
    <n v="680"/>
    <n v="113.33333333333333"/>
    <n v="41.53846153846154"/>
    <n v="2"/>
    <x v="3"/>
  </r>
  <r>
    <x v="249"/>
    <n v="38"/>
    <n v="1990"/>
    <n v="306"/>
    <x v="1"/>
    <s v="flying"/>
    <n v="106"/>
    <n v="130"/>
    <n v="90"/>
    <n v="110"/>
    <n v="154"/>
    <n v="90"/>
    <n v="680"/>
    <n v="113.33333333333333"/>
    <n v="52.368421052631582"/>
    <n v="2"/>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242"/>
    <x v="0"/>
    <n v="15"/>
    <n v="468"/>
    <n v="608"/>
    <s v="normal"/>
    <s v="None"/>
    <n v="255"/>
    <n v="10"/>
    <n v="10"/>
    <n v="75"/>
    <n v="135"/>
    <n v="55"/>
    <n v="540"/>
    <n v="90"/>
    <n v="31.2"/>
    <n v="1"/>
    <s v="Legendary"/>
  </r>
  <r>
    <n v="113"/>
    <x v="1"/>
    <n v="11"/>
    <n v="346"/>
    <n v="395"/>
    <s v="normal"/>
    <s v="None"/>
    <n v="250"/>
    <n v="5"/>
    <n v="5"/>
    <n v="35"/>
    <n v="105"/>
    <n v="50"/>
    <n v="450"/>
    <n v="75"/>
    <n v="31.454545454545453"/>
    <n v="1"/>
    <s v="Legendary"/>
  </r>
  <r>
    <n v="202"/>
    <x v="2"/>
    <n v="13"/>
    <n v="285"/>
    <n v="142"/>
    <s v="psychic"/>
    <s v="None"/>
    <n v="190"/>
    <n v="33"/>
    <n v="58"/>
    <n v="33"/>
    <n v="58"/>
    <n v="33"/>
    <n v="405"/>
    <n v="67.5"/>
    <n v="21.923076923076923"/>
    <n v="1"/>
    <s v="Medium"/>
  </r>
  <r>
    <n v="143"/>
    <x v="3"/>
    <n v="21"/>
    <n v="4600"/>
    <n v="189"/>
    <s v="normal"/>
    <s v="None"/>
    <n v="160"/>
    <n v="110"/>
    <n v="65"/>
    <n v="65"/>
    <n v="110"/>
    <n v="30"/>
    <n v="540"/>
    <n v="90"/>
    <n v="219.04761904761904"/>
    <n v="1"/>
    <s v="Medium"/>
  </r>
  <r>
    <n v="40"/>
    <x v="4"/>
    <n v="10"/>
    <n v="120"/>
    <n v="196"/>
    <s v="normal"/>
    <s v="fairy"/>
    <n v="140"/>
    <n v="70"/>
    <n v="45"/>
    <n v="85"/>
    <n v="50"/>
    <n v="45"/>
    <n v="435"/>
    <n v="72.5"/>
    <n v="12"/>
    <n v="2"/>
    <s v="Medium"/>
  </r>
  <r>
    <n v="134"/>
    <x v="5"/>
    <n v="10"/>
    <n v="290"/>
    <n v="184"/>
    <s v="water"/>
    <s v="None"/>
    <n v="130"/>
    <n v="65"/>
    <n v="60"/>
    <n v="110"/>
    <n v="95"/>
    <n v="65"/>
    <n v="525"/>
    <n v="87.5"/>
    <n v="29"/>
    <n v="1"/>
    <s v="Medium"/>
  </r>
  <r>
    <n v="131"/>
    <x v="6"/>
    <n v="25"/>
    <n v="2200"/>
    <n v="187"/>
    <s v="water"/>
    <s v="ice"/>
    <n v="130"/>
    <n v="85"/>
    <n v="80"/>
    <n v="85"/>
    <n v="95"/>
    <n v="60"/>
    <n v="535"/>
    <n v="89.166666666666671"/>
    <n v="88"/>
    <n v="2"/>
    <s v="Medium"/>
  </r>
  <r>
    <n v="171"/>
    <x v="7"/>
    <n v="12"/>
    <n v="225"/>
    <n v="161"/>
    <s v="water"/>
    <s v="electric"/>
    <n v="125"/>
    <n v="58"/>
    <n v="58"/>
    <n v="76"/>
    <n v="76"/>
    <n v="67"/>
    <n v="460"/>
    <n v="76.666666666666671"/>
    <n v="18.75"/>
    <n v="2"/>
    <s v="Medium"/>
  </r>
  <r>
    <n v="39"/>
    <x v="8"/>
    <n v="5"/>
    <n v="55"/>
    <n v="95"/>
    <s v="normal"/>
    <s v="fairy"/>
    <n v="115"/>
    <n v="45"/>
    <n v="20"/>
    <n v="45"/>
    <n v="25"/>
    <n v="20"/>
    <n v="270"/>
    <n v="45"/>
    <n v="11"/>
    <n v="2"/>
    <s v="Low"/>
  </r>
  <r>
    <n v="244"/>
    <x v="9"/>
    <n v="21"/>
    <n v="1980"/>
    <n v="261"/>
    <s v="fire"/>
    <s v="None"/>
    <n v="115"/>
    <n v="115"/>
    <n v="85"/>
    <n v="90"/>
    <n v="75"/>
    <n v="100"/>
    <n v="580"/>
    <n v="96.666666666666671"/>
    <n v="94.285714285714292"/>
    <n v="1"/>
    <s v="Legendary"/>
  </r>
  <r>
    <n v="150"/>
    <x v="10"/>
    <n v="20"/>
    <n v="1220"/>
    <n v="306"/>
    <s v="psychic"/>
    <s v="None"/>
    <n v="106"/>
    <n v="110"/>
    <n v="90"/>
    <n v="154"/>
    <n v="90"/>
    <n v="130"/>
    <n v="680"/>
    <n v="113.33333333333333"/>
    <n v="61"/>
    <n v="1"/>
    <s v="Legendary"/>
  </r>
  <r>
    <n v="249"/>
    <x v="11"/>
    <n v="52"/>
    <n v="2160"/>
    <n v="306"/>
    <s v="psychic"/>
    <s v="flying"/>
    <n v="106"/>
    <n v="90"/>
    <n v="130"/>
    <n v="90"/>
    <n v="154"/>
    <n v="110"/>
    <n v="680"/>
    <n v="113.33333333333333"/>
    <n v="41.53846153846154"/>
    <n v="2"/>
    <s v="Legendary"/>
  </r>
  <r>
    <n v="250"/>
    <x v="12"/>
    <n v="38"/>
    <n v="1990"/>
    <n v="306"/>
    <s v="fire"/>
    <s v="flying"/>
    <n v="106"/>
    <n v="130"/>
    <n v="90"/>
    <n v="110"/>
    <n v="154"/>
    <n v="90"/>
    <n v="680"/>
    <n v="113.33333333333333"/>
    <n v="52.368421052631582"/>
    <n v="2"/>
    <s v="Legendary"/>
  </r>
  <r>
    <n v="112"/>
    <x v="13"/>
    <n v="19"/>
    <n v="1200"/>
    <n v="170"/>
    <s v="ground"/>
    <s v="rock"/>
    <n v="105"/>
    <n v="130"/>
    <n v="120"/>
    <n v="45"/>
    <n v="45"/>
    <n v="40"/>
    <n v="485"/>
    <n v="80.833333333333329"/>
    <n v="63.157894736842103"/>
    <n v="2"/>
    <s v="Medium"/>
  </r>
  <r>
    <n v="115"/>
    <x v="14"/>
    <n v="22"/>
    <n v="800"/>
    <n v="172"/>
    <s v="normal"/>
    <s v="None"/>
    <n v="105"/>
    <n v="95"/>
    <n v="80"/>
    <n v="40"/>
    <n v="80"/>
    <n v="90"/>
    <n v="490"/>
    <n v="81.666666666666671"/>
    <n v="36.363636363636367"/>
    <n v="1"/>
    <s v="Medium"/>
  </r>
  <r>
    <n v="89"/>
    <x v="15"/>
    <n v="12"/>
    <n v="300"/>
    <n v="175"/>
    <s v="poison"/>
    <s v="None"/>
    <n v="105"/>
    <n v="105"/>
    <n v="75"/>
    <n v="65"/>
    <n v="100"/>
    <n v="50"/>
    <n v="500"/>
    <n v="83.333333333333329"/>
    <n v="25"/>
    <n v="1"/>
    <s v="Medium"/>
  </r>
  <r>
    <n v="206"/>
    <x v="16"/>
    <n v="15"/>
    <n v="140"/>
    <n v="145"/>
    <s v="normal"/>
    <s v="None"/>
    <n v="100"/>
    <n v="70"/>
    <n v="70"/>
    <n v="65"/>
    <n v="65"/>
    <n v="45"/>
    <n v="415"/>
    <n v="69.166666666666671"/>
    <n v="9.3333333333333339"/>
    <n v="1"/>
    <s v="Medium"/>
  </r>
  <r>
    <n v="184"/>
    <x v="17"/>
    <n v="8"/>
    <n v="285"/>
    <n v="189"/>
    <s v="water"/>
    <s v="fairy"/>
    <n v="100"/>
    <n v="50"/>
    <n v="80"/>
    <n v="60"/>
    <n v="80"/>
    <n v="50"/>
    <n v="420"/>
    <n v="70"/>
    <n v="35.625"/>
    <n v="2"/>
    <s v="Medium"/>
  </r>
  <r>
    <n v="221"/>
    <x v="18"/>
    <n v="11"/>
    <n v="558"/>
    <n v="158"/>
    <s v="ice"/>
    <s v="ground"/>
    <n v="100"/>
    <n v="100"/>
    <n v="80"/>
    <n v="60"/>
    <n v="60"/>
    <n v="50"/>
    <n v="450"/>
    <n v="75"/>
    <n v="50.727272727272727"/>
    <n v="2"/>
    <s v="Medium"/>
  </r>
  <r>
    <n v="164"/>
    <x v="19"/>
    <n v="16"/>
    <n v="408"/>
    <n v="158"/>
    <s v="normal"/>
    <s v="flying"/>
    <n v="100"/>
    <n v="50"/>
    <n v="50"/>
    <n v="86"/>
    <n v="96"/>
    <n v="70"/>
    <n v="452"/>
    <n v="75.333333333333329"/>
    <n v="25.5"/>
    <n v="2"/>
    <s v="Medium"/>
  </r>
  <r>
    <n v="245"/>
    <x v="20"/>
    <n v="20"/>
    <n v="1870"/>
    <n v="261"/>
    <s v="water"/>
    <s v="None"/>
    <n v="100"/>
    <n v="75"/>
    <n v="115"/>
    <n v="90"/>
    <n v="115"/>
    <n v="85"/>
    <n v="580"/>
    <n v="96.666666666666671"/>
    <n v="93.5"/>
    <n v="1"/>
    <s v="Legendary"/>
  </r>
  <r>
    <n v="151"/>
    <x v="21"/>
    <n v="4"/>
    <n v="40"/>
    <n v="270"/>
    <s v="psychic"/>
    <s v="None"/>
    <n v="100"/>
    <n v="100"/>
    <n v="100"/>
    <n v="100"/>
    <n v="100"/>
    <n v="100"/>
    <n v="600"/>
    <n v="100"/>
    <n v="10"/>
    <n v="1"/>
    <s v="Legendary"/>
  </r>
  <r>
    <n v="248"/>
    <x v="22"/>
    <n v="20"/>
    <n v="2020"/>
    <n v="270"/>
    <s v="rock"/>
    <s v="dark"/>
    <n v="100"/>
    <n v="134"/>
    <n v="110"/>
    <n v="95"/>
    <n v="100"/>
    <n v="61"/>
    <n v="600"/>
    <n v="100"/>
    <n v="101"/>
    <n v="2"/>
    <s v="Legendary"/>
  </r>
  <r>
    <n v="195"/>
    <x v="23"/>
    <n v="14"/>
    <n v="750"/>
    <n v="151"/>
    <s v="water"/>
    <s v="ground"/>
    <n v="95"/>
    <n v="85"/>
    <n v="85"/>
    <n v="65"/>
    <n v="65"/>
    <n v="35"/>
    <n v="430"/>
    <n v="71.666666666666671"/>
    <n v="53.571428571428569"/>
    <n v="2"/>
    <s v="Medium"/>
  </r>
  <r>
    <n v="36"/>
    <x v="24"/>
    <n v="13"/>
    <n v="400"/>
    <n v="217"/>
    <s v="fairy"/>
    <s v="None"/>
    <n v="95"/>
    <n v="70"/>
    <n v="73"/>
    <n v="95"/>
    <n v="90"/>
    <n v="60"/>
    <n v="483"/>
    <n v="80.5"/>
    <n v="30.76923076923077"/>
    <n v="1"/>
    <s v="HIGH"/>
  </r>
  <r>
    <n v="80"/>
    <x v="25"/>
    <n v="16"/>
    <n v="785"/>
    <n v="172"/>
    <s v="water"/>
    <s v="psychic"/>
    <n v="95"/>
    <n v="75"/>
    <n v="110"/>
    <n v="100"/>
    <n v="80"/>
    <n v="30"/>
    <n v="490"/>
    <n v="81.666666666666671"/>
    <n v="49.0625"/>
    <n v="2"/>
    <s v="Medium"/>
  </r>
  <r>
    <n v="199"/>
    <x v="26"/>
    <n v="20"/>
    <n v="795"/>
    <n v="172"/>
    <s v="water"/>
    <s v="psychic"/>
    <n v="95"/>
    <n v="75"/>
    <n v="80"/>
    <n v="100"/>
    <n v="110"/>
    <n v="30"/>
    <n v="490"/>
    <n v="81.666666666666671"/>
    <n v="39.75"/>
    <n v="2"/>
    <s v="Medium"/>
  </r>
  <r>
    <n v="241"/>
    <x v="27"/>
    <n v="12"/>
    <n v="755"/>
    <n v="172"/>
    <s v="normal"/>
    <s v="None"/>
    <n v="95"/>
    <n v="80"/>
    <n v="105"/>
    <n v="40"/>
    <n v="70"/>
    <n v="100"/>
    <n v="490"/>
    <n v="81.666666666666671"/>
    <n v="62.916666666666664"/>
    <n v="1"/>
    <s v="Medium"/>
  </r>
  <r>
    <n v="197"/>
    <x v="28"/>
    <n v="10"/>
    <n v="270"/>
    <n v="184"/>
    <s v="dark"/>
    <s v="None"/>
    <n v="95"/>
    <n v="65"/>
    <n v="110"/>
    <n v="60"/>
    <n v="130"/>
    <n v="65"/>
    <n v="525"/>
    <n v="87.5"/>
    <n v="27"/>
    <n v="1"/>
    <s v="Medium"/>
  </r>
  <r>
    <n v="103"/>
    <x v="29"/>
    <n v="20"/>
    <n v="1200"/>
    <n v="186"/>
    <s v="grass"/>
    <s v="psychic"/>
    <n v="95"/>
    <n v="95"/>
    <n v="85"/>
    <n v="125"/>
    <n v="75"/>
    <n v="55"/>
    <n v="530"/>
    <n v="88.333333333333329"/>
    <n v="60"/>
    <n v="2"/>
    <s v="Medium"/>
  </r>
  <r>
    <n v="130"/>
    <x v="30"/>
    <n v="65"/>
    <n v="2350"/>
    <n v="189"/>
    <s v="water"/>
    <s v="flying"/>
    <n v="95"/>
    <n v="125"/>
    <n v="79"/>
    <n v="60"/>
    <n v="100"/>
    <n v="81"/>
    <n v="540"/>
    <n v="90"/>
    <n v="36.153846153846153"/>
    <n v="2"/>
    <s v="Medium"/>
  </r>
  <r>
    <n v="149"/>
    <x v="31"/>
    <n v="22"/>
    <n v="2100"/>
    <n v="270"/>
    <s v="dragon"/>
    <s v="flying"/>
    <n v="91"/>
    <n v="134"/>
    <n v="95"/>
    <n v="100"/>
    <n v="100"/>
    <n v="80"/>
    <n v="600"/>
    <n v="100"/>
    <n v="95.454545454545453"/>
    <n v="2"/>
    <s v="Legendary"/>
  </r>
  <r>
    <n v="174"/>
    <x v="32"/>
    <n v="3"/>
    <n v="10"/>
    <n v="42"/>
    <s v="normal"/>
    <s v="fairy"/>
    <n v="90"/>
    <n v="30"/>
    <n v="15"/>
    <n v="40"/>
    <n v="20"/>
    <n v="15"/>
    <n v="210"/>
    <n v="35"/>
    <n v="3.3333333333333335"/>
    <n v="2"/>
    <s v="Low"/>
  </r>
  <r>
    <n v="79"/>
    <x v="33"/>
    <n v="12"/>
    <n v="360"/>
    <n v="63"/>
    <s v="water"/>
    <s v="psychic"/>
    <n v="90"/>
    <n v="65"/>
    <n v="65"/>
    <n v="40"/>
    <n v="40"/>
    <n v="15"/>
    <n v="315"/>
    <n v="52.5"/>
    <n v="30"/>
    <n v="2"/>
    <s v="Low"/>
  </r>
  <r>
    <n v="231"/>
    <x v="34"/>
    <n v="5"/>
    <n v="335"/>
    <n v="66"/>
    <s v="ground"/>
    <s v="None"/>
    <n v="90"/>
    <n v="60"/>
    <n v="60"/>
    <n v="40"/>
    <n v="40"/>
    <n v="40"/>
    <n v="330"/>
    <n v="55"/>
    <n v="67"/>
    <n v="1"/>
    <s v="Low"/>
  </r>
  <r>
    <n v="108"/>
    <x v="35"/>
    <n v="12"/>
    <n v="655"/>
    <n v="77"/>
    <s v="normal"/>
    <s v="None"/>
    <n v="90"/>
    <n v="55"/>
    <n v="75"/>
    <n v="60"/>
    <n v="75"/>
    <n v="30"/>
    <n v="385"/>
    <n v="64.166666666666671"/>
    <n v="54.583333333333336"/>
    <n v="1"/>
    <s v="Low"/>
  </r>
  <r>
    <n v="210"/>
    <x v="36"/>
    <n v="14"/>
    <n v="487"/>
    <n v="158"/>
    <s v="fairy"/>
    <s v="None"/>
    <n v="90"/>
    <n v="120"/>
    <n v="75"/>
    <n v="60"/>
    <n v="60"/>
    <n v="45"/>
    <n v="450"/>
    <n v="75"/>
    <n v="34.785714285714285"/>
    <n v="1"/>
    <s v="Medium"/>
  </r>
  <r>
    <n v="87"/>
    <x v="37"/>
    <n v="17"/>
    <n v="1200"/>
    <n v="166"/>
    <s v="water"/>
    <s v="ice"/>
    <n v="90"/>
    <n v="70"/>
    <n v="80"/>
    <n v="70"/>
    <n v="95"/>
    <n v="70"/>
    <n v="475"/>
    <n v="79.166666666666671"/>
    <n v="70.588235294117652"/>
    <n v="2"/>
    <s v="Medium"/>
  </r>
  <r>
    <n v="186"/>
    <x v="38"/>
    <n v="11"/>
    <n v="339"/>
    <n v="225"/>
    <s v="water"/>
    <s v="None"/>
    <n v="90"/>
    <n v="75"/>
    <n v="75"/>
    <n v="90"/>
    <n v="100"/>
    <n v="70"/>
    <n v="500"/>
    <n v="83.333333333333329"/>
    <n v="30.818181818181817"/>
    <n v="1"/>
    <s v="HIGH"/>
  </r>
  <r>
    <n v="217"/>
    <x v="39"/>
    <n v="18"/>
    <n v="1258"/>
    <n v="175"/>
    <s v="normal"/>
    <s v="None"/>
    <n v="90"/>
    <n v="130"/>
    <n v="75"/>
    <n v="75"/>
    <n v="75"/>
    <n v="55"/>
    <n v="500"/>
    <n v="83.333333333333329"/>
    <n v="69.888888888888886"/>
    <n v="1"/>
    <s v="Medium"/>
  </r>
  <r>
    <n v="232"/>
    <x v="40"/>
    <n v="11"/>
    <n v="1200"/>
    <n v="175"/>
    <s v="ground"/>
    <s v="None"/>
    <n v="90"/>
    <n v="120"/>
    <n v="120"/>
    <n v="60"/>
    <n v="60"/>
    <n v="50"/>
    <n v="500"/>
    <n v="83.333333333333329"/>
    <n v="109.09090909090909"/>
    <n v="1"/>
    <s v="Medium"/>
  </r>
  <r>
    <n v="31"/>
    <x v="41"/>
    <n v="13"/>
    <n v="600"/>
    <n v="227"/>
    <s v="poison"/>
    <s v="ground"/>
    <n v="90"/>
    <n v="92"/>
    <n v="87"/>
    <n v="75"/>
    <n v="85"/>
    <n v="76"/>
    <n v="505"/>
    <n v="84.166666666666671"/>
    <n v="46.153846153846153"/>
    <n v="2"/>
    <s v="HIGH"/>
  </r>
  <r>
    <n v="68"/>
    <x v="42"/>
    <n v="16"/>
    <n v="1300"/>
    <n v="227"/>
    <s v="fighting"/>
    <s v="None"/>
    <n v="90"/>
    <n v="130"/>
    <n v="80"/>
    <n v="65"/>
    <n v="85"/>
    <n v="55"/>
    <n v="505"/>
    <n v="84.166666666666671"/>
    <n v="81.25"/>
    <n v="1"/>
    <s v="HIGH"/>
  </r>
  <r>
    <n v="62"/>
    <x v="43"/>
    <n v="13"/>
    <n v="540"/>
    <n v="230"/>
    <s v="water"/>
    <s v="fighting"/>
    <n v="90"/>
    <n v="95"/>
    <n v="95"/>
    <n v="70"/>
    <n v="90"/>
    <n v="70"/>
    <n v="510"/>
    <n v="85"/>
    <n v="41.53846153846154"/>
    <n v="2"/>
    <s v="HIGH"/>
  </r>
  <r>
    <n v="181"/>
    <x v="44"/>
    <n v="14"/>
    <n v="615"/>
    <n v="230"/>
    <s v="electric"/>
    <s v="None"/>
    <n v="90"/>
    <n v="75"/>
    <n v="85"/>
    <n v="115"/>
    <n v="90"/>
    <n v="55"/>
    <n v="510"/>
    <n v="85"/>
    <n v="43.928571428571431"/>
    <n v="1"/>
    <s v="HIGH"/>
  </r>
  <r>
    <n v="59"/>
    <x v="45"/>
    <n v="19"/>
    <n v="1550"/>
    <n v="194"/>
    <s v="fire"/>
    <s v="None"/>
    <n v="90"/>
    <n v="110"/>
    <n v="80"/>
    <n v="100"/>
    <n v="80"/>
    <n v="95"/>
    <n v="555"/>
    <n v="92.5"/>
    <n v="81.578947368421055"/>
    <n v="1"/>
    <s v="Medium"/>
  </r>
  <r>
    <n v="144"/>
    <x v="46"/>
    <n v="17"/>
    <n v="554"/>
    <n v="261"/>
    <s v="ice"/>
    <s v="flying"/>
    <n v="90"/>
    <n v="85"/>
    <n v="100"/>
    <n v="95"/>
    <n v="125"/>
    <n v="85"/>
    <n v="580"/>
    <n v="96.666666666666671"/>
    <n v="32.588235294117645"/>
    <n v="2"/>
    <s v="Legendary"/>
  </r>
  <r>
    <n v="145"/>
    <x v="47"/>
    <n v="16"/>
    <n v="526"/>
    <n v="261"/>
    <s v="electric"/>
    <s v="flying"/>
    <n v="90"/>
    <n v="90"/>
    <n v="85"/>
    <n v="125"/>
    <n v="90"/>
    <n v="100"/>
    <n v="580"/>
    <n v="96.666666666666671"/>
    <n v="32.875"/>
    <n v="2"/>
    <s v="Legendary"/>
  </r>
  <r>
    <n v="146"/>
    <x v="48"/>
    <n v="20"/>
    <n v="600"/>
    <n v="261"/>
    <s v="fire"/>
    <s v="flying"/>
    <n v="90"/>
    <n v="100"/>
    <n v="90"/>
    <n v="125"/>
    <n v="85"/>
    <n v="90"/>
    <n v="580"/>
    <n v="96.666666666666671"/>
    <n v="30"/>
    <n v="2"/>
    <s v="Legendary"/>
  </r>
  <r>
    <n v="243"/>
    <x v="49"/>
    <n v="19"/>
    <n v="1780"/>
    <n v="261"/>
    <s v="electric"/>
    <s v="None"/>
    <n v="90"/>
    <n v="85"/>
    <n v="75"/>
    <n v="115"/>
    <n v="100"/>
    <n v="115"/>
    <n v="580"/>
    <n v="96.666666666666671"/>
    <n v="93.684210526315795"/>
    <n v="1"/>
    <s v="Legendary"/>
  </r>
  <r>
    <n v="162"/>
    <x v="50"/>
    <n v="18"/>
    <n v="325"/>
    <n v="145"/>
    <s v="normal"/>
    <s v="None"/>
    <n v="85"/>
    <n v="76"/>
    <n v="64"/>
    <n v="45"/>
    <n v="55"/>
    <n v="90"/>
    <n v="415"/>
    <n v="69.166666666666671"/>
    <n v="18.055555555555557"/>
    <n v="1"/>
    <s v="Medium"/>
  </r>
  <r>
    <n v="97"/>
    <x v="51"/>
    <n v="16"/>
    <n v="756"/>
    <n v="169"/>
    <s v="psychic"/>
    <s v="None"/>
    <n v="85"/>
    <n v="73"/>
    <n v="70"/>
    <n v="73"/>
    <n v="115"/>
    <n v="67"/>
    <n v="483"/>
    <n v="80.5"/>
    <n v="47.25"/>
    <n v="1"/>
    <s v="Medium"/>
  </r>
  <r>
    <n v="226"/>
    <x v="52"/>
    <n v="21"/>
    <n v="2200"/>
    <n v="170"/>
    <s v="water"/>
    <s v="flying"/>
    <n v="85"/>
    <n v="40"/>
    <n v="70"/>
    <n v="80"/>
    <n v="140"/>
    <n v="70"/>
    <n v="485"/>
    <n v="80.833333333333329"/>
    <n v="104.76190476190476"/>
    <n v="2"/>
    <s v="Medium"/>
  </r>
  <r>
    <n v="233"/>
    <x v="53"/>
    <n v="6"/>
    <n v="325"/>
    <n v="180"/>
    <s v="normal"/>
    <s v="None"/>
    <n v="85"/>
    <n v="80"/>
    <n v="90"/>
    <n v="105"/>
    <n v="95"/>
    <n v="60"/>
    <n v="515"/>
    <n v="85.833333333333329"/>
    <n v="54.166666666666664"/>
    <n v="1"/>
    <s v="Medium"/>
  </r>
  <r>
    <n v="160"/>
    <x v="54"/>
    <n v="23"/>
    <n v="888"/>
    <n v="239"/>
    <s v="water"/>
    <s v="None"/>
    <n v="85"/>
    <n v="105"/>
    <n v="100"/>
    <n v="79"/>
    <n v="83"/>
    <n v="78"/>
    <n v="530"/>
    <n v="88.333333333333329"/>
    <n v="38.608695652173914"/>
    <n v="1"/>
    <s v="HIGH"/>
  </r>
  <r>
    <n v="169"/>
    <x v="55"/>
    <n v="18"/>
    <n v="750"/>
    <n v="241"/>
    <s v="poison"/>
    <s v="flying"/>
    <n v="85"/>
    <n v="90"/>
    <n v="80"/>
    <n v="70"/>
    <n v="80"/>
    <n v="130"/>
    <n v="535"/>
    <n v="89.166666666666671"/>
    <n v="41.666666666666664"/>
    <n v="2"/>
    <s v="HIGH"/>
  </r>
  <r>
    <n v="18"/>
    <x v="56"/>
    <n v="15"/>
    <n v="395"/>
    <n v="216"/>
    <s v="normal"/>
    <s v="flying"/>
    <n v="83"/>
    <n v="80"/>
    <n v="75"/>
    <n v="70"/>
    <n v="70"/>
    <n v="101"/>
    <n v="479"/>
    <n v="79.833333333333329"/>
    <n v="26.333333333333332"/>
    <n v="2"/>
    <s v="HIGH"/>
  </r>
  <r>
    <n v="34"/>
    <x v="57"/>
    <n v="14"/>
    <n v="620"/>
    <n v="227"/>
    <s v="poison"/>
    <s v="ground"/>
    <n v="81"/>
    <n v="102"/>
    <n v="77"/>
    <n v="85"/>
    <n v="75"/>
    <n v="85"/>
    <n v="505"/>
    <n v="84.166666666666671"/>
    <n v="44.285714285714285"/>
    <n v="2"/>
    <s v="HIGH"/>
  </r>
  <r>
    <n v="88"/>
    <x v="58"/>
    <n v="9"/>
    <n v="300"/>
    <n v="65"/>
    <s v="poison"/>
    <s v="None"/>
    <n v="80"/>
    <n v="80"/>
    <n v="50"/>
    <n v="40"/>
    <n v="50"/>
    <n v="25"/>
    <n v="325"/>
    <n v="54.166666666666664"/>
    <n v="33.333333333333336"/>
    <n v="1"/>
    <s v="Low"/>
  </r>
  <r>
    <n v="111"/>
    <x v="59"/>
    <n v="10"/>
    <n v="1150"/>
    <n v="69"/>
    <s v="ground"/>
    <s v="rock"/>
    <n v="80"/>
    <n v="85"/>
    <n v="95"/>
    <n v="30"/>
    <n v="30"/>
    <n v="25"/>
    <n v="345"/>
    <n v="57.5"/>
    <n v="115"/>
    <n v="2"/>
    <s v="Low"/>
  </r>
  <r>
    <n v="67"/>
    <x v="60"/>
    <n v="15"/>
    <n v="705"/>
    <n v="142"/>
    <s v="fighting"/>
    <s v="None"/>
    <n v="80"/>
    <n v="100"/>
    <n v="70"/>
    <n v="50"/>
    <n v="60"/>
    <n v="45"/>
    <n v="405"/>
    <n v="67.5"/>
    <n v="47"/>
    <n v="1"/>
    <s v="Medium"/>
  </r>
  <r>
    <n v="119"/>
    <x v="61"/>
    <n v="13"/>
    <n v="390"/>
    <n v="158"/>
    <s v="water"/>
    <s v="None"/>
    <n v="80"/>
    <n v="92"/>
    <n v="65"/>
    <n v="65"/>
    <n v="80"/>
    <n v="68"/>
    <n v="450"/>
    <n v="75"/>
    <n v="30"/>
    <n v="1"/>
    <s v="Medium"/>
  </r>
  <r>
    <n v="71"/>
    <x v="62"/>
    <n v="17"/>
    <n v="155"/>
    <n v="221"/>
    <s v="grass"/>
    <s v="poison"/>
    <n v="80"/>
    <n v="105"/>
    <n v="65"/>
    <n v="100"/>
    <n v="70"/>
    <n v="70"/>
    <n v="490"/>
    <n v="81.666666666666671"/>
    <n v="9.117647058823529"/>
    <n v="2"/>
    <s v="HIGH"/>
  </r>
  <r>
    <n v="76"/>
    <x v="63"/>
    <n v="14"/>
    <n v="3000"/>
    <n v="223"/>
    <s v="rock"/>
    <s v="ground"/>
    <n v="80"/>
    <n v="120"/>
    <n v="130"/>
    <n v="55"/>
    <n v="65"/>
    <n v="45"/>
    <n v="495"/>
    <n v="82.5"/>
    <n v="214.28571428571428"/>
    <n v="2"/>
    <s v="HIGH"/>
  </r>
  <r>
    <n v="55"/>
    <x v="64"/>
    <n v="17"/>
    <n v="766"/>
    <n v="175"/>
    <s v="water"/>
    <s v="None"/>
    <n v="80"/>
    <n v="82"/>
    <n v="78"/>
    <n v="95"/>
    <n v="80"/>
    <n v="85"/>
    <n v="500"/>
    <n v="83.333333333333329"/>
    <n v="45.058823529411768"/>
    <n v="1"/>
    <s v="Medium"/>
  </r>
  <r>
    <n v="214"/>
    <x v="65"/>
    <n v="15"/>
    <n v="540"/>
    <n v="175"/>
    <s v="bug"/>
    <s v="fighting"/>
    <n v="80"/>
    <n v="125"/>
    <n v="75"/>
    <n v="40"/>
    <n v="95"/>
    <n v="85"/>
    <n v="500"/>
    <n v="83.333333333333329"/>
    <n v="36"/>
    <n v="2"/>
    <s v="Medium"/>
  </r>
  <r>
    <n v="73"/>
    <x v="66"/>
    <n v="16"/>
    <n v="550"/>
    <n v="180"/>
    <s v="water"/>
    <s v="poison"/>
    <n v="80"/>
    <n v="70"/>
    <n v="65"/>
    <n v="80"/>
    <n v="120"/>
    <n v="100"/>
    <n v="515"/>
    <n v="85.833333333333329"/>
    <n v="34.375"/>
    <n v="2"/>
    <s v="Medium"/>
  </r>
  <r>
    <n v="142"/>
    <x v="67"/>
    <n v="18"/>
    <n v="590"/>
    <n v="180"/>
    <s v="rock"/>
    <s v="flying"/>
    <n v="80"/>
    <n v="105"/>
    <n v="65"/>
    <n v="60"/>
    <n v="75"/>
    <n v="130"/>
    <n v="515"/>
    <n v="85.833333333333329"/>
    <n v="32.777777777777779"/>
    <n v="2"/>
    <s v="Medium"/>
  </r>
  <r>
    <n v="3"/>
    <x v="68"/>
    <n v="20"/>
    <n v="1000"/>
    <n v="236"/>
    <s v="grass"/>
    <s v="poison"/>
    <n v="80"/>
    <n v="82"/>
    <n v="83"/>
    <n v="100"/>
    <n v="100"/>
    <n v="80"/>
    <n v="525"/>
    <n v="87.5"/>
    <n v="50"/>
    <n v="2"/>
    <s v="HIGH"/>
  </r>
  <r>
    <n v="154"/>
    <x v="69"/>
    <n v="18"/>
    <n v="1005"/>
    <n v="236"/>
    <s v="grass"/>
    <s v="None"/>
    <n v="80"/>
    <n v="82"/>
    <n v="100"/>
    <n v="83"/>
    <n v="100"/>
    <n v="80"/>
    <n v="525"/>
    <n v="87.5"/>
    <n v="55.833333333333336"/>
    <n v="1"/>
    <s v="HIGH"/>
  </r>
  <r>
    <n v="9"/>
    <x v="70"/>
    <n v="16"/>
    <n v="855"/>
    <n v="239"/>
    <s v="water"/>
    <s v="None"/>
    <n v="79"/>
    <n v="83"/>
    <n v="100"/>
    <n v="85"/>
    <n v="105"/>
    <n v="78"/>
    <n v="530"/>
    <n v="88.333333333333329"/>
    <n v="53.4375"/>
    <n v="1"/>
    <s v="HIGH"/>
  </r>
  <r>
    <n v="6"/>
    <x v="71"/>
    <n v="17"/>
    <n v="905"/>
    <n v="240"/>
    <s v="fire"/>
    <s v="flying"/>
    <n v="78"/>
    <n v="84"/>
    <n v="78"/>
    <n v="109"/>
    <n v="85"/>
    <n v="100"/>
    <n v="534"/>
    <n v="89"/>
    <n v="53.235294117647058"/>
    <n v="2"/>
    <s v="HIGH"/>
  </r>
  <r>
    <n v="157"/>
    <x v="72"/>
    <n v="17"/>
    <n v="795"/>
    <n v="240"/>
    <s v="fire"/>
    <s v="None"/>
    <n v="78"/>
    <n v="84"/>
    <n v="78"/>
    <n v="109"/>
    <n v="85"/>
    <n v="100"/>
    <n v="534"/>
    <n v="89"/>
    <n v="46.764705882352942"/>
    <n v="1"/>
    <s v="HIGH"/>
  </r>
  <r>
    <n v="170"/>
    <x v="73"/>
    <n v="5"/>
    <n v="120"/>
    <n v="66"/>
    <s v="water"/>
    <s v="electric"/>
    <n v="75"/>
    <n v="38"/>
    <n v="38"/>
    <n v="56"/>
    <n v="56"/>
    <n v="67"/>
    <n v="330"/>
    <n v="55"/>
    <n v="24"/>
    <n v="2"/>
    <s v="Low"/>
  </r>
  <r>
    <n v="192"/>
    <x v="74"/>
    <n v="8"/>
    <n v="85"/>
    <n v="149"/>
    <s v="grass"/>
    <s v="None"/>
    <n v="75"/>
    <n v="75"/>
    <n v="55"/>
    <n v="105"/>
    <n v="85"/>
    <n v="30"/>
    <n v="425"/>
    <n v="70.833333333333329"/>
    <n v="10.625"/>
    <n v="1"/>
    <s v="Medium"/>
  </r>
  <r>
    <n v="28"/>
    <x v="75"/>
    <n v="10"/>
    <n v="295"/>
    <n v="158"/>
    <s v="ground"/>
    <s v="None"/>
    <n v="75"/>
    <n v="100"/>
    <n v="110"/>
    <n v="45"/>
    <n v="55"/>
    <n v="65"/>
    <n v="450"/>
    <n v="75"/>
    <n v="29.5"/>
    <n v="1"/>
    <s v="Medium"/>
  </r>
  <r>
    <n v="42"/>
    <x v="76"/>
    <n v="16"/>
    <n v="550"/>
    <n v="159"/>
    <s v="poison"/>
    <s v="flying"/>
    <n v="75"/>
    <n v="80"/>
    <n v="70"/>
    <n v="65"/>
    <n v="75"/>
    <n v="90"/>
    <n v="455"/>
    <n v="75.833333333333329"/>
    <n v="34.375"/>
    <n v="2"/>
    <s v="Medium"/>
  </r>
  <r>
    <n v="189"/>
    <x v="77"/>
    <n v="8"/>
    <n v="30"/>
    <n v="207"/>
    <s v="grass"/>
    <s v="flying"/>
    <n v="75"/>
    <n v="55"/>
    <n v="70"/>
    <n v="55"/>
    <n v="95"/>
    <n v="110"/>
    <n v="460"/>
    <n v="76.666666666666671"/>
    <n v="3.75"/>
    <n v="2"/>
    <s v="HIGH"/>
  </r>
  <r>
    <n v="205"/>
    <x v="78"/>
    <n v="12"/>
    <n v="1258"/>
    <n v="163"/>
    <s v="bug"/>
    <s v="steel"/>
    <n v="75"/>
    <n v="90"/>
    <n v="140"/>
    <n v="60"/>
    <n v="60"/>
    <n v="40"/>
    <n v="465"/>
    <n v="77.5"/>
    <n v="104.83333333333333"/>
    <n v="2"/>
    <s v="Medium"/>
  </r>
  <r>
    <n v="224"/>
    <x v="79"/>
    <n v="9"/>
    <n v="285"/>
    <n v="168"/>
    <s v="water"/>
    <s v="None"/>
    <n v="75"/>
    <n v="105"/>
    <n v="75"/>
    <n v="105"/>
    <n v="75"/>
    <n v="45"/>
    <n v="480"/>
    <n v="80"/>
    <n v="31.666666666666668"/>
    <n v="1"/>
    <s v="Medium"/>
  </r>
  <r>
    <n v="45"/>
    <x v="80"/>
    <n v="12"/>
    <n v="186"/>
    <n v="221"/>
    <s v="grass"/>
    <s v="poison"/>
    <n v="75"/>
    <n v="80"/>
    <n v="85"/>
    <n v="110"/>
    <n v="90"/>
    <n v="50"/>
    <n v="490"/>
    <n v="81.666666666666671"/>
    <n v="15.5"/>
    <n v="2"/>
    <s v="HIGH"/>
  </r>
  <r>
    <n v="128"/>
    <x v="81"/>
    <n v="14"/>
    <n v="884"/>
    <n v="172"/>
    <s v="normal"/>
    <s v="None"/>
    <n v="75"/>
    <n v="100"/>
    <n v="95"/>
    <n v="40"/>
    <n v="70"/>
    <n v="110"/>
    <n v="490"/>
    <n v="81.666666666666671"/>
    <n v="63.142857142857146"/>
    <n v="1"/>
    <s v="Medium"/>
  </r>
  <r>
    <n v="182"/>
    <x v="82"/>
    <n v="4"/>
    <n v="58"/>
    <n v="221"/>
    <s v="grass"/>
    <s v="None"/>
    <n v="75"/>
    <n v="80"/>
    <n v="95"/>
    <n v="90"/>
    <n v="100"/>
    <n v="50"/>
    <n v="490"/>
    <n v="81.666666666666671"/>
    <n v="14.5"/>
    <n v="1"/>
    <s v="HIGH"/>
  </r>
  <r>
    <n v="229"/>
    <x v="83"/>
    <n v="14"/>
    <n v="350"/>
    <n v="175"/>
    <s v="dark"/>
    <s v="fire"/>
    <n v="75"/>
    <n v="90"/>
    <n v="50"/>
    <n v="110"/>
    <n v="80"/>
    <n v="95"/>
    <n v="500"/>
    <n v="83.333333333333329"/>
    <n v="25"/>
    <n v="2"/>
    <s v="Medium"/>
  </r>
  <r>
    <n v="208"/>
    <x v="84"/>
    <n v="92"/>
    <n v="4000"/>
    <n v="179"/>
    <s v="steel"/>
    <s v="ground"/>
    <n v="75"/>
    <n v="85"/>
    <n v="200"/>
    <n v="55"/>
    <n v="65"/>
    <n v="30"/>
    <n v="510"/>
    <n v="85"/>
    <n v="43.478260869565219"/>
    <n v="2"/>
    <s v="Medium"/>
  </r>
  <r>
    <n v="230"/>
    <x v="85"/>
    <n v="18"/>
    <n v="1520"/>
    <n v="243"/>
    <s v="water"/>
    <s v="dragon"/>
    <n v="75"/>
    <n v="95"/>
    <n v="95"/>
    <n v="95"/>
    <n v="95"/>
    <n v="85"/>
    <n v="540"/>
    <n v="90"/>
    <n v="84.444444444444443"/>
    <n v="2"/>
    <s v="HIGH"/>
  </r>
  <r>
    <n v="234"/>
    <x v="86"/>
    <n v="14"/>
    <n v="712"/>
    <n v="163"/>
    <s v="normal"/>
    <s v="None"/>
    <n v="73"/>
    <n v="95"/>
    <n v="62"/>
    <n v="85"/>
    <n v="65"/>
    <n v="85"/>
    <n v="465"/>
    <n v="77.5"/>
    <n v="50.857142857142854"/>
    <n v="1"/>
    <s v="Medium"/>
  </r>
  <r>
    <n v="38"/>
    <x v="87"/>
    <n v="11"/>
    <n v="199"/>
    <n v="177"/>
    <s v="fire"/>
    <s v="None"/>
    <n v="73"/>
    <n v="76"/>
    <n v="75"/>
    <n v="81"/>
    <n v="100"/>
    <n v="100"/>
    <n v="505"/>
    <n v="84.166666666666671"/>
    <n v="18.09090909090909"/>
    <n v="1"/>
    <s v="Medium"/>
  </r>
  <r>
    <n v="183"/>
    <x v="88"/>
    <n v="4"/>
    <n v="85"/>
    <n v="88"/>
    <s v="water"/>
    <s v="fairy"/>
    <n v="70"/>
    <n v="20"/>
    <n v="50"/>
    <n v="20"/>
    <n v="50"/>
    <n v="40"/>
    <n v="250"/>
    <n v="41.666666666666664"/>
    <n v="21.25"/>
    <n v="2"/>
    <s v="Low"/>
  </r>
  <r>
    <n v="66"/>
    <x v="89"/>
    <n v="8"/>
    <n v="195"/>
    <n v="61"/>
    <s v="fighting"/>
    <s v="None"/>
    <n v="70"/>
    <n v="80"/>
    <n v="50"/>
    <n v="35"/>
    <n v="35"/>
    <n v="35"/>
    <n v="305"/>
    <n v="50.833333333333336"/>
    <n v="24.375"/>
    <n v="1"/>
    <s v="Low"/>
  </r>
  <r>
    <n v="35"/>
    <x v="90"/>
    <n v="6"/>
    <n v="75"/>
    <n v="113"/>
    <s v="fairy"/>
    <s v="None"/>
    <n v="70"/>
    <n v="45"/>
    <n v="48"/>
    <n v="60"/>
    <n v="65"/>
    <n v="35"/>
    <n v="323"/>
    <n v="53.833333333333336"/>
    <n v="12.5"/>
    <n v="1"/>
    <s v="Medium"/>
  </r>
  <r>
    <n v="30"/>
    <x v="91"/>
    <n v="8"/>
    <n v="200"/>
    <n v="128"/>
    <s v="poison"/>
    <s v="None"/>
    <n v="70"/>
    <n v="62"/>
    <n v="67"/>
    <n v="55"/>
    <n v="55"/>
    <n v="56"/>
    <n v="365"/>
    <n v="60.833333333333336"/>
    <n v="25"/>
    <n v="1"/>
    <s v="Medium"/>
  </r>
  <r>
    <n v="180"/>
    <x v="92"/>
    <n v="8"/>
    <n v="133"/>
    <n v="128"/>
    <s v="electric"/>
    <s v="None"/>
    <n v="70"/>
    <n v="55"/>
    <n v="55"/>
    <n v="80"/>
    <n v="60"/>
    <n v="45"/>
    <n v="365"/>
    <n v="60.833333333333336"/>
    <n v="16.625"/>
    <n v="1"/>
    <s v="Medium"/>
  </r>
  <r>
    <n v="168"/>
    <x v="93"/>
    <n v="11"/>
    <n v="335"/>
    <n v="140"/>
    <s v="bug"/>
    <s v="poison"/>
    <n v="70"/>
    <n v="90"/>
    <n v="70"/>
    <n v="60"/>
    <n v="70"/>
    <n v="40"/>
    <n v="400"/>
    <n v="66.666666666666671"/>
    <n v="30.454545454545453"/>
    <n v="2"/>
    <s v="Medium"/>
  </r>
  <r>
    <n v="185"/>
    <x v="94"/>
    <n v="12"/>
    <n v="380"/>
    <n v="144"/>
    <s v="rock"/>
    <s v="None"/>
    <n v="70"/>
    <n v="100"/>
    <n v="115"/>
    <n v="30"/>
    <n v="65"/>
    <n v="30"/>
    <n v="410"/>
    <n v="68.333333333333329"/>
    <n v="31.666666666666668"/>
    <n v="1"/>
    <s v="Medium"/>
  </r>
  <r>
    <n v="247"/>
    <x v="95"/>
    <n v="12"/>
    <n v="1520"/>
    <n v="144"/>
    <s v="rock"/>
    <s v="ground"/>
    <n v="70"/>
    <n v="84"/>
    <n v="70"/>
    <n v="65"/>
    <n v="70"/>
    <n v="51"/>
    <n v="410"/>
    <n v="68.333333333333329"/>
    <n v="126.66666666666667"/>
    <n v="2"/>
    <s v="Medium"/>
  </r>
  <r>
    <n v="49"/>
    <x v="96"/>
    <n v="15"/>
    <n v="125"/>
    <n v="158"/>
    <s v="bug"/>
    <s v="poison"/>
    <n v="70"/>
    <n v="65"/>
    <n v="60"/>
    <n v="90"/>
    <n v="75"/>
    <n v="90"/>
    <n v="450"/>
    <n v="75"/>
    <n v="8.3333333333333339"/>
    <n v="2"/>
    <s v="Medium"/>
  </r>
  <r>
    <n v="203"/>
    <x v="97"/>
    <n v="15"/>
    <n v="415"/>
    <n v="159"/>
    <s v="normal"/>
    <s v="psychic"/>
    <n v="70"/>
    <n v="80"/>
    <n v="65"/>
    <n v="90"/>
    <n v="65"/>
    <n v="85"/>
    <n v="455"/>
    <n v="75.833333333333329"/>
    <n v="27.666666666666668"/>
    <n v="2"/>
    <s v="Medium"/>
  </r>
  <r>
    <n v="139"/>
    <x v="98"/>
    <n v="10"/>
    <n v="350"/>
    <n v="173"/>
    <s v="rock"/>
    <s v="water"/>
    <n v="70"/>
    <n v="60"/>
    <n v="125"/>
    <n v="115"/>
    <n v="70"/>
    <n v="55"/>
    <n v="495"/>
    <n v="82.5"/>
    <n v="35"/>
    <n v="2"/>
    <s v="Medium"/>
  </r>
  <r>
    <n v="123"/>
    <x v="99"/>
    <n v="15"/>
    <n v="560"/>
    <n v="100"/>
    <s v="bug"/>
    <s v="flying"/>
    <n v="70"/>
    <n v="110"/>
    <n v="80"/>
    <n v="55"/>
    <n v="80"/>
    <n v="105"/>
    <n v="500"/>
    <n v="83.333333333333329"/>
    <n v="37.333333333333336"/>
    <n v="2"/>
    <s v="Medium"/>
  </r>
  <r>
    <n v="212"/>
    <x v="100"/>
    <n v="18"/>
    <n v="1180"/>
    <n v="175"/>
    <s v="bug"/>
    <s v="steel"/>
    <n v="70"/>
    <n v="130"/>
    <n v="100"/>
    <n v="55"/>
    <n v="80"/>
    <n v="65"/>
    <n v="500"/>
    <n v="83.333333333333329"/>
    <n v="65.555555555555557"/>
    <n v="2"/>
    <s v="Medium"/>
  </r>
  <r>
    <n v="86"/>
    <x v="101"/>
    <n v="11"/>
    <n v="900"/>
    <n v="65"/>
    <s v="water"/>
    <s v="None"/>
    <n v="65"/>
    <n v="45"/>
    <n v="55"/>
    <n v="45"/>
    <n v="70"/>
    <n v="45"/>
    <n v="325"/>
    <n v="54.166666666666664"/>
    <n v="81.818181818181813"/>
    <n v="1"/>
    <s v="Low"/>
  </r>
  <r>
    <n v="61"/>
    <x v="102"/>
    <n v="10"/>
    <n v="200"/>
    <n v="135"/>
    <s v="water"/>
    <s v="None"/>
    <n v="65"/>
    <n v="65"/>
    <n v="65"/>
    <n v="50"/>
    <n v="50"/>
    <n v="90"/>
    <n v="385"/>
    <n v="64.166666666666671"/>
    <n v="20"/>
    <n v="1"/>
    <s v="Medium"/>
  </r>
  <r>
    <n v="70"/>
    <x v="103"/>
    <n v="10"/>
    <n v="64"/>
    <n v="137"/>
    <s v="grass"/>
    <s v="poison"/>
    <n v="65"/>
    <n v="90"/>
    <n v="50"/>
    <n v="85"/>
    <n v="45"/>
    <n v="55"/>
    <n v="390"/>
    <n v="65"/>
    <n v="6.4"/>
    <n v="2"/>
    <s v="Medium"/>
  </r>
  <r>
    <n v="193"/>
    <x v="104"/>
    <n v="12"/>
    <n v="380"/>
    <n v="78"/>
    <s v="bug"/>
    <s v="flying"/>
    <n v="65"/>
    <n v="65"/>
    <n v="45"/>
    <n v="75"/>
    <n v="45"/>
    <n v="95"/>
    <n v="390"/>
    <n v="65"/>
    <n v="31.666666666666668"/>
    <n v="2"/>
    <s v="Low"/>
  </r>
  <r>
    <n v="15"/>
    <x v="105"/>
    <n v="10"/>
    <n v="295"/>
    <n v="178"/>
    <s v="bug"/>
    <s v="poison"/>
    <n v="65"/>
    <n v="90"/>
    <n v="40"/>
    <n v="45"/>
    <n v="80"/>
    <n v="75"/>
    <n v="395"/>
    <n v="65.833333333333329"/>
    <n v="29.5"/>
    <n v="2"/>
    <s v="Medium"/>
  </r>
  <r>
    <n v="137"/>
    <x v="106"/>
    <n v="8"/>
    <n v="365"/>
    <n v="79"/>
    <s v="normal"/>
    <s v="None"/>
    <n v="65"/>
    <n v="60"/>
    <n v="70"/>
    <n v="85"/>
    <n v="75"/>
    <n v="40"/>
    <n v="395"/>
    <n v="65.833333333333329"/>
    <n v="45.625"/>
    <n v="1"/>
    <s v="Low"/>
  </r>
  <r>
    <n v="159"/>
    <x v="107"/>
    <n v="11"/>
    <n v="250"/>
    <n v="142"/>
    <s v="water"/>
    <s v="None"/>
    <n v="65"/>
    <n v="80"/>
    <n v="80"/>
    <n v="59"/>
    <n v="63"/>
    <n v="58"/>
    <n v="405"/>
    <n v="67.5"/>
    <n v="22.727272727272727"/>
    <n v="1"/>
    <s v="Medium"/>
  </r>
  <r>
    <n v="222"/>
    <x v="108"/>
    <n v="6"/>
    <n v="50"/>
    <n v="144"/>
    <s v="water"/>
    <s v="rock"/>
    <n v="65"/>
    <n v="55"/>
    <n v="95"/>
    <n v="65"/>
    <n v="95"/>
    <n v="35"/>
    <n v="410"/>
    <n v="68.333333333333329"/>
    <n v="8.3333333333333339"/>
    <n v="2"/>
    <s v="Medium"/>
  </r>
  <r>
    <n v="207"/>
    <x v="109"/>
    <n v="11"/>
    <n v="648"/>
    <n v="86"/>
    <s v="ground"/>
    <s v="flying"/>
    <n v="65"/>
    <n v="75"/>
    <n v="105"/>
    <n v="35"/>
    <n v="65"/>
    <n v="85"/>
    <n v="430"/>
    <n v="71.666666666666671"/>
    <n v="58.909090909090907"/>
    <n v="2"/>
    <s v="Low"/>
  </r>
  <r>
    <n v="114"/>
    <x v="110"/>
    <n v="10"/>
    <n v="350"/>
    <n v="87"/>
    <s v="grass"/>
    <s v="None"/>
    <n v="65"/>
    <n v="55"/>
    <n v="115"/>
    <n v="100"/>
    <n v="40"/>
    <n v="60"/>
    <n v="435"/>
    <n v="72.5"/>
    <n v="35"/>
    <n v="1"/>
    <s v="Low"/>
  </r>
  <r>
    <n v="53"/>
    <x v="111"/>
    <n v="10"/>
    <n v="320"/>
    <n v="154"/>
    <s v="normal"/>
    <s v="None"/>
    <n v="65"/>
    <n v="70"/>
    <n v="60"/>
    <n v="65"/>
    <n v="65"/>
    <n v="115"/>
    <n v="440"/>
    <n v="73.333333333333329"/>
    <n v="32"/>
    <n v="1"/>
    <s v="Medium"/>
  </r>
  <r>
    <n v="211"/>
    <x v="112"/>
    <n v="5"/>
    <n v="39"/>
    <n v="88"/>
    <s v="water"/>
    <s v="poison"/>
    <n v="65"/>
    <n v="95"/>
    <n v="85"/>
    <n v="55"/>
    <n v="55"/>
    <n v="85"/>
    <n v="440"/>
    <n v="73.333333333333329"/>
    <n v="7.8"/>
    <n v="2"/>
    <s v="Low"/>
  </r>
  <r>
    <n v="22"/>
    <x v="113"/>
    <n v="12"/>
    <n v="380"/>
    <n v="155"/>
    <s v="normal"/>
    <s v="flying"/>
    <n v="65"/>
    <n v="90"/>
    <n v="65"/>
    <n v="61"/>
    <n v="61"/>
    <n v="100"/>
    <n v="442"/>
    <n v="73.666666666666671"/>
    <n v="31.666666666666668"/>
    <n v="2"/>
    <s v="Medium"/>
  </r>
  <r>
    <n v="57"/>
    <x v="114"/>
    <n v="10"/>
    <n v="320"/>
    <n v="159"/>
    <s v="fighting"/>
    <s v="None"/>
    <n v="65"/>
    <n v="105"/>
    <n v="60"/>
    <n v="60"/>
    <n v="70"/>
    <n v="95"/>
    <n v="455"/>
    <n v="75.833333333333329"/>
    <n v="32"/>
    <n v="1"/>
    <s v="Medium"/>
  </r>
  <r>
    <n v="124"/>
    <x v="115"/>
    <n v="14"/>
    <n v="406"/>
    <n v="159"/>
    <s v="ice"/>
    <s v="psychic"/>
    <n v="65"/>
    <n v="50"/>
    <n v="35"/>
    <n v="115"/>
    <n v="95"/>
    <n v="95"/>
    <n v="455"/>
    <n v="75.833333333333329"/>
    <n v="29"/>
    <n v="2"/>
    <s v="Medium"/>
  </r>
  <r>
    <n v="227"/>
    <x v="116"/>
    <n v="17"/>
    <n v="505"/>
    <n v="163"/>
    <s v="steel"/>
    <s v="flying"/>
    <n v="65"/>
    <n v="80"/>
    <n v="140"/>
    <n v="40"/>
    <n v="70"/>
    <n v="70"/>
    <n v="465"/>
    <n v="77.5"/>
    <n v="29.705882352941178"/>
    <n v="2"/>
    <s v="Medium"/>
  </r>
  <r>
    <n v="178"/>
    <x v="117"/>
    <n v="15"/>
    <n v="150"/>
    <n v="165"/>
    <s v="psychic"/>
    <s v="flying"/>
    <n v="65"/>
    <n v="75"/>
    <n v="70"/>
    <n v="95"/>
    <n v="70"/>
    <n v="95"/>
    <n v="470"/>
    <n v="78.333333333333329"/>
    <n v="10"/>
    <n v="2"/>
    <s v="Medium"/>
  </r>
  <r>
    <n v="110"/>
    <x v="118"/>
    <n v="12"/>
    <n v="95"/>
    <n v="172"/>
    <s v="poison"/>
    <s v="None"/>
    <n v="65"/>
    <n v="90"/>
    <n v="120"/>
    <n v="85"/>
    <n v="70"/>
    <n v="60"/>
    <n v="490"/>
    <n v="81.666666666666671"/>
    <n v="7.916666666666667"/>
    <n v="1"/>
    <s v="Medium"/>
  </r>
  <r>
    <n v="125"/>
    <x v="119"/>
    <n v="11"/>
    <n v="300"/>
    <n v="172"/>
    <s v="electric"/>
    <s v="None"/>
    <n v="65"/>
    <n v="83"/>
    <n v="57"/>
    <n v="95"/>
    <n v="85"/>
    <n v="105"/>
    <n v="490"/>
    <n v="81.666666666666671"/>
    <n v="27.272727272727273"/>
    <n v="1"/>
    <s v="Medium"/>
  </r>
  <r>
    <n v="126"/>
    <x v="120"/>
    <n v="13"/>
    <n v="445"/>
    <n v="173"/>
    <s v="fire"/>
    <s v="None"/>
    <n v="65"/>
    <n v="95"/>
    <n v="57"/>
    <n v="100"/>
    <n v="85"/>
    <n v="93"/>
    <n v="495"/>
    <n v="82.5"/>
    <n v="34.230769230769234"/>
    <n v="1"/>
    <s v="Medium"/>
  </r>
  <r>
    <n v="78"/>
    <x v="121"/>
    <n v="17"/>
    <n v="950"/>
    <n v="175"/>
    <s v="fire"/>
    <s v="None"/>
    <n v="65"/>
    <n v="100"/>
    <n v="70"/>
    <n v="80"/>
    <n v="80"/>
    <n v="105"/>
    <n v="500"/>
    <n v="83.333333333333329"/>
    <n v="55.882352941176471"/>
    <n v="1"/>
    <s v="Medium"/>
  </r>
  <r>
    <n v="127"/>
    <x v="122"/>
    <n v="15"/>
    <n v="550"/>
    <n v="175"/>
    <s v="bug"/>
    <s v="None"/>
    <n v="65"/>
    <n v="125"/>
    <n v="100"/>
    <n v="55"/>
    <n v="70"/>
    <n v="85"/>
    <n v="500"/>
    <n v="83.333333333333329"/>
    <n v="36.666666666666664"/>
    <n v="1"/>
    <s v="Medium"/>
  </r>
  <r>
    <n v="135"/>
    <x v="123"/>
    <n v="8"/>
    <n v="245"/>
    <n v="184"/>
    <s v="electric"/>
    <s v="None"/>
    <n v="65"/>
    <n v="65"/>
    <n v="60"/>
    <n v="110"/>
    <n v="95"/>
    <n v="130"/>
    <n v="525"/>
    <n v="87.5"/>
    <n v="30.625"/>
    <n v="1"/>
    <s v="Medium"/>
  </r>
  <r>
    <n v="136"/>
    <x v="124"/>
    <n v="9"/>
    <n v="250"/>
    <n v="184"/>
    <s v="fire"/>
    <s v="None"/>
    <n v="65"/>
    <n v="130"/>
    <n v="60"/>
    <n v="95"/>
    <n v="110"/>
    <n v="65"/>
    <n v="525"/>
    <n v="87.5"/>
    <n v="27.777777777777779"/>
    <n v="1"/>
    <s v="Medium"/>
  </r>
  <r>
    <n v="196"/>
    <x v="125"/>
    <n v="9"/>
    <n v="265"/>
    <n v="184"/>
    <s v="psychic"/>
    <s v="None"/>
    <n v="65"/>
    <n v="65"/>
    <n v="60"/>
    <n v="130"/>
    <n v="95"/>
    <n v="110"/>
    <n v="525"/>
    <n v="87.5"/>
    <n v="29.444444444444443"/>
    <n v="1"/>
    <s v="Medium"/>
  </r>
  <r>
    <n v="17"/>
    <x v="126"/>
    <n v="11"/>
    <n v="300"/>
    <n v="122"/>
    <s v="normal"/>
    <s v="flying"/>
    <n v="63"/>
    <n v="60"/>
    <n v="55"/>
    <n v="50"/>
    <n v="50"/>
    <n v="71"/>
    <n v="349"/>
    <n v="58.166666666666664"/>
    <n v="27.272727272727273"/>
    <n v="2"/>
    <s v="Medium"/>
  </r>
  <r>
    <n v="33"/>
    <x v="127"/>
    <n v="9"/>
    <n v="195"/>
    <n v="128"/>
    <s v="poison"/>
    <s v="None"/>
    <n v="61"/>
    <n v="72"/>
    <n v="57"/>
    <n v="55"/>
    <n v="55"/>
    <n v="65"/>
    <n v="365"/>
    <n v="60.833333333333336"/>
    <n v="21.666666666666668"/>
    <n v="1"/>
    <s v="Medium"/>
  </r>
  <r>
    <n v="148"/>
    <x v="128"/>
    <n v="40"/>
    <n v="165"/>
    <n v="147"/>
    <s v="dragon"/>
    <s v="None"/>
    <n v="61"/>
    <n v="84"/>
    <n v="65"/>
    <n v="70"/>
    <n v="70"/>
    <n v="70"/>
    <n v="420"/>
    <n v="70"/>
    <n v="4.125"/>
    <n v="1"/>
    <s v="Medium"/>
  </r>
  <r>
    <n v="163"/>
    <x v="129"/>
    <n v="7"/>
    <n v="212"/>
    <n v="52"/>
    <s v="normal"/>
    <s v="flying"/>
    <n v="60"/>
    <n v="30"/>
    <n v="30"/>
    <n v="36"/>
    <n v="56"/>
    <n v="50"/>
    <n v="262"/>
    <n v="43.666666666666664"/>
    <n v="30.285714285714285"/>
    <n v="2"/>
    <s v="Low"/>
  </r>
  <r>
    <n v="209"/>
    <x v="130"/>
    <n v="6"/>
    <n v="78"/>
    <n v="60"/>
    <s v="fairy"/>
    <s v="None"/>
    <n v="60"/>
    <n v="80"/>
    <n v="50"/>
    <n v="40"/>
    <n v="40"/>
    <n v="30"/>
    <n v="300"/>
    <n v="50"/>
    <n v="13"/>
    <n v="1"/>
    <s v="Low"/>
  </r>
  <r>
    <n v="48"/>
    <x v="131"/>
    <n v="10"/>
    <n v="300"/>
    <n v="61"/>
    <s v="bug"/>
    <s v="poison"/>
    <n v="60"/>
    <n v="55"/>
    <n v="50"/>
    <n v="40"/>
    <n v="55"/>
    <n v="45"/>
    <n v="305"/>
    <n v="50.833333333333336"/>
    <n v="30"/>
    <n v="2"/>
    <s v="Low"/>
  </r>
  <r>
    <n v="102"/>
    <x v="132"/>
    <n v="4"/>
    <n v="25"/>
    <n v="65"/>
    <s v="grass"/>
    <s v="psychic"/>
    <n v="60"/>
    <n v="40"/>
    <n v="80"/>
    <n v="60"/>
    <n v="45"/>
    <n v="40"/>
    <n v="325"/>
    <n v="54.166666666666664"/>
    <n v="6.25"/>
    <n v="2"/>
    <s v="Low"/>
  </r>
  <r>
    <n v="96"/>
    <x v="133"/>
    <n v="10"/>
    <n v="324"/>
    <n v="66"/>
    <s v="psychic"/>
    <s v="None"/>
    <n v="60"/>
    <n v="48"/>
    <n v="45"/>
    <n v="43"/>
    <n v="90"/>
    <n v="42"/>
    <n v="328"/>
    <n v="54.666666666666664"/>
    <n v="32.4"/>
    <n v="1"/>
    <s v="Low"/>
  </r>
  <r>
    <n v="216"/>
    <x v="134"/>
    <n v="6"/>
    <n v="88"/>
    <n v="66"/>
    <s v="normal"/>
    <s v="None"/>
    <n v="60"/>
    <n v="80"/>
    <n v="50"/>
    <n v="50"/>
    <n v="50"/>
    <n v="40"/>
    <n v="330"/>
    <n v="55"/>
    <n v="14.666666666666666"/>
    <n v="1"/>
    <s v="Low"/>
  </r>
  <r>
    <n v="12"/>
    <x v="135"/>
    <n v="11"/>
    <n v="320"/>
    <n v="178"/>
    <s v="bug"/>
    <s v="flying"/>
    <n v="60"/>
    <n v="45"/>
    <n v="50"/>
    <n v="90"/>
    <n v="80"/>
    <n v="70"/>
    <n v="395"/>
    <n v="65.833333333333329"/>
    <n v="29.09090909090909"/>
    <n v="2"/>
    <s v="Medium"/>
  </r>
  <r>
    <n v="44"/>
    <x v="136"/>
    <n v="8"/>
    <n v="86"/>
    <n v="138"/>
    <s v="grass"/>
    <s v="poison"/>
    <n v="60"/>
    <n v="65"/>
    <n v="70"/>
    <n v="85"/>
    <n v="75"/>
    <n v="40"/>
    <n v="395"/>
    <n v="65.833333333333329"/>
    <n v="10.75"/>
    <n v="2"/>
    <s v="Medium"/>
  </r>
  <r>
    <n v="2"/>
    <x v="137"/>
    <n v="10"/>
    <n v="130"/>
    <n v="142"/>
    <s v="grass"/>
    <s v="poison"/>
    <n v="60"/>
    <n v="62"/>
    <n v="63"/>
    <n v="80"/>
    <n v="80"/>
    <n v="60"/>
    <n v="405"/>
    <n v="67.5"/>
    <n v="13"/>
    <n v="2"/>
    <s v="Medium"/>
  </r>
  <r>
    <n v="47"/>
    <x v="138"/>
    <n v="10"/>
    <n v="295"/>
    <n v="142"/>
    <s v="bug"/>
    <s v="grass"/>
    <n v="60"/>
    <n v="95"/>
    <n v="80"/>
    <n v="60"/>
    <n v="80"/>
    <n v="30"/>
    <n v="405"/>
    <n v="67.5"/>
    <n v="29.5"/>
    <n v="2"/>
    <s v="Medium"/>
  </r>
  <r>
    <n v="153"/>
    <x v="139"/>
    <n v="12"/>
    <n v="158"/>
    <n v="142"/>
    <s v="grass"/>
    <s v="None"/>
    <n v="60"/>
    <n v="62"/>
    <n v="80"/>
    <n v="63"/>
    <n v="80"/>
    <n v="60"/>
    <n v="405"/>
    <n v="67.5"/>
    <n v="13.166666666666666"/>
    <n v="1"/>
    <s v="Medium"/>
  </r>
  <r>
    <n v="198"/>
    <x v="140"/>
    <n v="5"/>
    <n v="21"/>
    <n v="81"/>
    <s v="dark"/>
    <s v="flying"/>
    <n v="60"/>
    <n v="85"/>
    <n v="42"/>
    <n v="85"/>
    <n v="42"/>
    <n v="91"/>
    <n v="405"/>
    <n v="67.5"/>
    <n v="4.2"/>
    <n v="2"/>
    <s v="Low"/>
  </r>
  <r>
    <n v="105"/>
    <x v="141"/>
    <n v="10"/>
    <n v="450"/>
    <n v="149"/>
    <s v="ground"/>
    <s v="None"/>
    <n v="60"/>
    <n v="80"/>
    <n v="110"/>
    <n v="50"/>
    <n v="80"/>
    <n v="45"/>
    <n v="425"/>
    <n v="70.833333333333329"/>
    <n v="45"/>
    <n v="1"/>
    <s v="Medium"/>
  </r>
  <r>
    <n v="219"/>
    <x v="142"/>
    <n v="8"/>
    <n v="550"/>
    <n v="151"/>
    <s v="fire"/>
    <s v="rock"/>
    <n v="60"/>
    <n v="50"/>
    <n v="120"/>
    <n v="90"/>
    <n v="80"/>
    <n v="30"/>
    <n v="430"/>
    <n v="71.666666666666671"/>
    <n v="68.75"/>
    <n v="2"/>
    <s v="Medium"/>
  </r>
  <r>
    <n v="200"/>
    <x v="143"/>
    <n v="7"/>
    <n v="10"/>
    <n v="87"/>
    <s v="ghost"/>
    <s v="None"/>
    <n v="60"/>
    <n v="60"/>
    <n v="60"/>
    <n v="85"/>
    <n v="85"/>
    <n v="85"/>
    <n v="435"/>
    <n v="72.5"/>
    <n v="1.4285714285714286"/>
    <n v="1"/>
    <s v="Low"/>
  </r>
  <r>
    <n v="24"/>
    <x v="144"/>
    <n v="35"/>
    <n v="650"/>
    <n v="157"/>
    <s v="poison"/>
    <s v="None"/>
    <n v="60"/>
    <n v="95"/>
    <n v="69"/>
    <n v="65"/>
    <n v="79"/>
    <n v="80"/>
    <n v="448"/>
    <n v="74.666666666666671"/>
    <n v="18.571428571428573"/>
    <n v="1"/>
    <s v="Medium"/>
  </r>
  <r>
    <n v="85"/>
    <x v="145"/>
    <n v="18"/>
    <n v="852"/>
    <n v="165"/>
    <s v="normal"/>
    <s v="flying"/>
    <n v="60"/>
    <n v="110"/>
    <n v="70"/>
    <n v="60"/>
    <n v="60"/>
    <n v="110"/>
    <n v="470"/>
    <n v="78.333333333333329"/>
    <n v="47.333333333333336"/>
    <n v="2"/>
    <s v="Medium"/>
  </r>
  <r>
    <n v="26"/>
    <x v="146"/>
    <n v="8"/>
    <n v="300"/>
    <n v="218"/>
    <s v="electric"/>
    <s v="None"/>
    <n v="60"/>
    <n v="90"/>
    <n v="55"/>
    <n v="90"/>
    <n v="80"/>
    <n v="110"/>
    <n v="485"/>
    <n v="80.833333333333329"/>
    <n v="37.5"/>
    <n v="1"/>
    <s v="HIGH"/>
  </r>
  <r>
    <n v="101"/>
    <x v="147"/>
    <n v="12"/>
    <n v="666"/>
    <n v="172"/>
    <s v="electric"/>
    <s v="None"/>
    <n v="60"/>
    <n v="50"/>
    <n v="70"/>
    <n v="80"/>
    <n v="80"/>
    <n v="150"/>
    <n v="490"/>
    <n v="81.666666666666671"/>
    <n v="55.5"/>
    <n v="1"/>
    <s v="Medium"/>
  </r>
  <r>
    <n v="141"/>
    <x v="148"/>
    <n v="13"/>
    <n v="405"/>
    <n v="173"/>
    <s v="rock"/>
    <s v="water"/>
    <n v="60"/>
    <n v="115"/>
    <n v="105"/>
    <n v="65"/>
    <n v="70"/>
    <n v="80"/>
    <n v="495"/>
    <n v="82.5"/>
    <n v="31.153846153846153"/>
    <n v="2"/>
    <s v="Medium"/>
  </r>
  <r>
    <n v="94"/>
    <x v="149"/>
    <n v="15"/>
    <n v="405"/>
    <n v="225"/>
    <s v="ghost"/>
    <s v="poison"/>
    <n v="60"/>
    <n v="65"/>
    <n v="60"/>
    <n v="130"/>
    <n v="75"/>
    <n v="110"/>
    <n v="500"/>
    <n v="83.333333333333329"/>
    <n v="27"/>
    <n v="2"/>
    <s v="HIGH"/>
  </r>
  <r>
    <n v="121"/>
    <x v="150"/>
    <n v="11"/>
    <n v="800"/>
    <n v="182"/>
    <s v="water"/>
    <s v="psychic"/>
    <n v="60"/>
    <n v="75"/>
    <n v="85"/>
    <n v="100"/>
    <n v="85"/>
    <n v="115"/>
    <n v="520"/>
    <n v="86.666666666666671"/>
    <n v="72.727272727272734"/>
    <n v="2"/>
    <s v="Medium"/>
  </r>
  <r>
    <n v="8"/>
    <x v="151"/>
    <n v="10"/>
    <n v="225"/>
    <n v="142"/>
    <s v="water"/>
    <s v="None"/>
    <n v="59"/>
    <n v="63"/>
    <n v="80"/>
    <n v="65"/>
    <n v="80"/>
    <n v="58"/>
    <n v="405"/>
    <n v="67.5"/>
    <n v="22.5"/>
    <n v="1"/>
    <s v="Medium"/>
  </r>
  <r>
    <n v="5"/>
    <x v="152"/>
    <n v="11"/>
    <n v="190"/>
    <n v="142"/>
    <s v="fire"/>
    <s v="None"/>
    <n v="58"/>
    <n v="64"/>
    <n v="58"/>
    <n v="80"/>
    <n v="65"/>
    <n v="80"/>
    <n v="405"/>
    <n v="67.5"/>
    <n v="17.272727272727273"/>
    <n v="1"/>
    <s v="Medium"/>
  </r>
  <r>
    <n v="156"/>
    <x v="153"/>
    <n v="9"/>
    <n v="190"/>
    <n v="142"/>
    <s v="fire"/>
    <s v="None"/>
    <n v="58"/>
    <n v="64"/>
    <n v="58"/>
    <n v="80"/>
    <n v="65"/>
    <n v="80"/>
    <n v="405"/>
    <n v="67.5"/>
    <n v="21.111111111111111"/>
    <n v="1"/>
    <s v="Medium"/>
  </r>
  <r>
    <n v="194"/>
    <x v="154"/>
    <n v="4"/>
    <n v="85"/>
    <n v="42"/>
    <s v="water"/>
    <s v="ground"/>
    <n v="55"/>
    <n v="45"/>
    <n v="45"/>
    <n v="25"/>
    <n v="25"/>
    <n v="15"/>
    <n v="210"/>
    <n v="35"/>
    <n v="21.25"/>
    <n v="2"/>
    <s v="Low"/>
  </r>
  <r>
    <n v="235"/>
    <x v="155"/>
    <n v="12"/>
    <n v="580"/>
    <n v="88"/>
    <s v="normal"/>
    <s v="None"/>
    <n v="55"/>
    <n v="20"/>
    <n v="35"/>
    <n v="20"/>
    <n v="45"/>
    <n v="75"/>
    <n v="250"/>
    <n v="41.666666666666664"/>
    <n v="48.333333333333336"/>
    <n v="1"/>
    <s v="Low"/>
  </r>
  <r>
    <n v="29"/>
    <x v="156"/>
    <n v="4"/>
    <n v="70"/>
    <n v="55"/>
    <s v="poison"/>
    <s v="None"/>
    <n v="55"/>
    <n v="47"/>
    <n v="52"/>
    <n v="40"/>
    <n v="40"/>
    <n v="41"/>
    <n v="275"/>
    <n v="45.833333333333336"/>
    <n v="17.5"/>
    <n v="1"/>
    <s v="Low"/>
  </r>
  <r>
    <n v="179"/>
    <x v="157"/>
    <n v="6"/>
    <n v="78"/>
    <n v="56"/>
    <s v="electric"/>
    <s v="None"/>
    <n v="55"/>
    <n v="40"/>
    <n v="40"/>
    <n v="65"/>
    <n v="45"/>
    <n v="35"/>
    <n v="280"/>
    <n v="46.666666666666664"/>
    <n v="13"/>
    <n v="1"/>
    <s v="Low"/>
  </r>
  <r>
    <n v="133"/>
    <x v="158"/>
    <n v="3"/>
    <n v="65"/>
    <n v="65"/>
    <s v="normal"/>
    <s v="None"/>
    <n v="55"/>
    <n v="55"/>
    <n v="50"/>
    <n v="45"/>
    <n v="65"/>
    <n v="55"/>
    <n v="325"/>
    <n v="54.166666666666664"/>
    <n v="21.666666666666668"/>
    <n v="1"/>
    <s v="Low"/>
  </r>
  <r>
    <n v="188"/>
    <x v="159"/>
    <n v="6"/>
    <n v="10"/>
    <n v="119"/>
    <s v="grass"/>
    <s v="flying"/>
    <n v="55"/>
    <n v="45"/>
    <n v="50"/>
    <n v="45"/>
    <n v="65"/>
    <n v="80"/>
    <n v="340"/>
    <n v="56.666666666666664"/>
    <n v="1.6666666666666667"/>
    <n v="2"/>
    <s v="Medium"/>
  </r>
  <r>
    <n v="58"/>
    <x v="160"/>
    <n v="7"/>
    <n v="190"/>
    <n v="70"/>
    <s v="fire"/>
    <s v="None"/>
    <n v="55"/>
    <n v="70"/>
    <n v="45"/>
    <n v="70"/>
    <n v="50"/>
    <n v="60"/>
    <n v="350"/>
    <n v="58.333333333333336"/>
    <n v="27.142857142857142"/>
    <n v="1"/>
    <s v="Low"/>
  </r>
  <r>
    <n v="190"/>
    <x v="161"/>
    <n v="8"/>
    <n v="115"/>
    <n v="72"/>
    <s v="normal"/>
    <s v="None"/>
    <n v="55"/>
    <n v="70"/>
    <n v="55"/>
    <n v="40"/>
    <n v="55"/>
    <n v="85"/>
    <n v="360"/>
    <n v="60"/>
    <n v="14.375"/>
    <n v="1"/>
    <s v="Low"/>
  </r>
  <r>
    <n v="75"/>
    <x v="162"/>
    <n v="10"/>
    <n v="1050"/>
    <n v="137"/>
    <s v="rock"/>
    <s v="ground"/>
    <n v="55"/>
    <n v="95"/>
    <n v="115"/>
    <n v="45"/>
    <n v="45"/>
    <n v="35"/>
    <n v="390"/>
    <n v="65"/>
    <n v="105"/>
    <n v="2"/>
    <s v="Medium"/>
  </r>
  <r>
    <n v="166"/>
    <x v="163"/>
    <n v="14"/>
    <n v="356"/>
    <n v="137"/>
    <s v="bug"/>
    <s v="flying"/>
    <n v="55"/>
    <n v="35"/>
    <n v="50"/>
    <n v="55"/>
    <n v="110"/>
    <n v="85"/>
    <n v="390"/>
    <n v="65"/>
    <n v="25.428571428571427"/>
    <n v="2"/>
    <s v="Medium"/>
  </r>
  <r>
    <n v="176"/>
    <x v="164"/>
    <n v="6"/>
    <n v="32"/>
    <n v="142"/>
    <s v="fairy"/>
    <s v="flying"/>
    <n v="55"/>
    <n v="40"/>
    <n v="85"/>
    <n v="80"/>
    <n v="105"/>
    <n v="40"/>
    <n v="405"/>
    <n v="67.5"/>
    <n v="5.333333333333333"/>
    <n v="2"/>
    <s v="Medium"/>
  </r>
  <r>
    <n v="20"/>
    <x v="165"/>
    <n v="7"/>
    <n v="185"/>
    <n v="145"/>
    <s v="normal"/>
    <s v="None"/>
    <n v="55"/>
    <n v="81"/>
    <n v="60"/>
    <n v="50"/>
    <n v="70"/>
    <n v="97"/>
    <n v="413"/>
    <n v="68.833333333333329"/>
    <n v="26.428571428571427"/>
    <n v="1"/>
    <s v="Medium"/>
  </r>
  <r>
    <n v="215"/>
    <x v="166"/>
    <n v="9"/>
    <n v="280"/>
    <n v="86"/>
    <s v="dark"/>
    <s v="ice"/>
    <n v="55"/>
    <n v="95"/>
    <n v="55"/>
    <n v="35"/>
    <n v="75"/>
    <n v="115"/>
    <n v="430"/>
    <n v="71.666666666666671"/>
    <n v="31.111111111111111"/>
    <n v="2"/>
    <s v="Low"/>
  </r>
  <r>
    <n v="117"/>
    <x v="167"/>
    <n v="12"/>
    <n v="250"/>
    <n v="154"/>
    <s v="water"/>
    <s v="None"/>
    <n v="55"/>
    <n v="65"/>
    <n v="95"/>
    <n v="95"/>
    <n v="45"/>
    <n v="85"/>
    <n v="440"/>
    <n v="73.333333333333329"/>
    <n v="20.833333333333332"/>
    <n v="1"/>
    <s v="Medium"/>
  </r>
  <r>
    <n v="99"/>
    <x v="168"/>
    <n v="13"/>
    <n v="600"/>
    <n v="166"/>
    <s v="water"/>
    <s v="None"/>
    <n v="55"/>
    <n v="130"/>
    <n v="115"/>
    <n v="50"/>
    <n v="50"/>
    <n v="75"/>
    <n v="475"/>
    <n v="79.166666666666671"/>
    <n v="46.153846153846153"/>
    <n v="1"/>
    <s v="Medium"/>
  </r>
  <r>
    <n v="65"/>
    <x v="169"/>
    <n v="15"/>
    <n v="480"/>
    <n v="225"/>
    <s v="psychic"/>
    <s v="None"/>
    <n v="55"/>
    <n v="50"/>
    <n v="45"/>
    <n v="135"/>
    <n v="95"/>
    <n v="120"/>
    <n v="500"/>
    <n v="83.333333333333329"/>
    <n v="32"/>
    <n v="1"/>
    <s v="HIGH"/>
  </r>
  <r>
    <n v="83"/>
    <x v="170"/>
    <n v="8"/>
    <n v="150"/>
    <n v="132"/>
    <s v="normal"/>
    <s v="flying"/>
    <n v="52"/>
    <n v="90"/>
    <n v="55"/>
    <n v="58"/>
    <n v="62"/>
    <n v="60"/>
    <n v="377"/>
    <n v="62.833333333333336"/>
    <n v="18.75"/>
    <n v="2"/>
    <s v="Medium"/>
  </r>
  <r>
    <n v="11"/>
    <x v="171"/>
    <n v="7"/>
    <n v="99"/>
    <n v="72"/>
    <s v="bug"/>
    <s v="None"/>
    <n v="50"/>
    <n v="20"/>
    <n v="55"/>
    <n v="25"/>
    <n v="25"/>
    <n v="30"/>
    <n v="205"/>
    <n v="34.166666666666664"/>
    <n v="14.142857142857142"/>
    <n v="1"/>
    <s v="Low"/>
  </r>
  <r>
    <n v="173"/>
    <x v="172"/>
    <n v="3"/>
    <n v="30"/>
    <n v="44"/>
    <s v="fairy"/>
    <s v="None"/>
    <n v="50"/>
    <n v="25"/>
    <n v="28"/>
    <n v="45"/>
    <n v="55"/>
    <n v="15"/>
    <n v="218"/>
    <n v="36.333333333333336"/>
    <n v="10"/>
    <n v="1"/>
    <s v="Low"/>
  </r>
  <r>
    <n v="220"/>
    <x v="173"/>
    <n v="4"/>
    <n v="65"/>
    <n v="50"/>
    <s v="ice"/>
    <s v="ground"/>
    <n v="50"/>
    <n v="50"/>
    <n v="40"/>
    <n v="30"/>
    <n v="30"/>
    <n v="50"/>
    <n v="250"/>
    <n v="41.666666666666664"/>
    <n v="16.25"/>
    <n v="2"/>
    <s v="Low"/>
  </r>
  <r>
    <n v="204"/>
    <x v="174"/>
    <n v="6"/>
    <n v="72"/>
    <n v="58"/>
    <s v="bug"/>
    <s v="None"/>
    <n v="50"/>
    <n v="65"/>
    <n v="90"/>
    <n v="35"/>
    <n v="35"/>
    <n v="15"/>
    <n v="290"/>
    <n v="48.333333333333336"/>
    <n v="12"/>
    <n v="1"/>
    <s v="Low"/>
  </r>
  <r>
    <n v="27"/>
    <x v="175"/>
    <n v="6"/>
    <n v="120"/>
    <n v="60"/>
    <s v="ground"/>
    <s v="None"/>
    <n v="50"/>
    <n v="75"/>
    <n v="85"/>
    <n v="20"/>
    <n v="30"/>
    <n v="40"/>
    <n v="300"/>
    <n v="50"/>
    <n v="20"/>
    <n v="1"/>
    <s v="Low"/>
  </r>
  <r>
    <n v="69"/>
    <x v="176"/>
    <n v="7"/>
    <n v="40"/>
    <n v="60"/>
    <s v="grass"/>
    <s v="poison"/>
    <n v="50"/>
    <n v="75"/>
    <n v="35"/>
    <n v="70"/>
    <n v="30"/>
    <n v="40"/>
    <n v="300"/>
    <n v="50"/>
    <n v="5.7142857142857144"/>
    <n v="2"/>
    <s v="Low"/>
  </r>
  <r>
    <n v="246"/>
    <x v="177"/>
    <n v="6"/>
    <n v="720"/>
    <n v="60"/>
    <s v="rock"/>
    <s v="ground"/>
    <n v="50"/>
    <n v="64"/>
    <n v="50"/>
    <n v="45"/>
    <n v="50"/>
    <n v="41"/>
    <n v="300"/>
    <n v="50"/>
    <n v="120"/>
    <n v="2"/>
    <s v="Low"/>
  </r>
  <r>
    <n v="158"/>
    <x v="178"/>
    <n v="6"/>
    <n v="95"/>
    <n v="63"/>
    <s v="water"/>
    <s v="None"/>
    <n v="50"/>
    <n v="65"/>
    <n v="64"/>
    <n v="44"/>
    <n v="48"/>
    <n v="43"/>
    <n v="314"/>
    <n v="52.333333333333336"/>
    <n v="15.833333333333334"/>
    <n v="1"/>
    <s v="Low"/>
  </r>
  <r>
    <n v="54"/>
    <x v="179"/>
    <n v="8"/>
    <n v="196"/>
    <n v="64"/>
    <s v="water"/>
    <s v="None"/>
    <n v="50"/>
    <n v="52"/>
    <n v="48"/>
    <n v="65"/>
    <n v="50"/>
    <n v="55"/>
    <n v="320"/>
    <n v="53.333333333333336"/>
    <n v="24.5"/>
    <n v="1"/>
    <s v="Low"/>
  </r>
  <r>
    <n v="104"/>
    <x v="180"/>
    <n v="4"/>
    <n v="65"/>
    <n v="64"/>
    <s v="ground"/>
    <s v="None"/>
    <n v="50"/>
    <n v="50"/>
    <n v="95"/>
    <n v="40"/>
    <n v="50"/>
    <n v="35"/>
    <n v="320"/>
    <n v="53.333333333333336"/>
    <n v="16.25"/>
    <n v="1"/>
    <s v="Low"/>
  </r>
  <r>
    <n v="77"/>
    <x v="181"/>
    <n v="10"/>
    <n v="300"/>
    <n v="82"/>
    <s v="fire"/>
    <s v="None"/>
    <n v="50"/>
    <n v="85"/>
    <n v="55"/>
    <n v="65"/>
    <n v="65"/>
    <n v="90"/>
    <n v="410"/>
    <n v="68.333333333333329"/>
    <n v="30"/>
    <n v="1"/>
    <s v="Low"/>
  </r>
  <r>
    <n v="106"/>
    <x v="182"/>
    <n v="15"/>
    <n v="498"/>
    <n v="159"/>
    <s v="fighting"/>
    <s v="None"/>
    <n v="50"/>
    <n v="120"/>
    <n v="53"/>
    <n v="35"/>
    <n v="110"/>
    <n v="87"/>
    <n v="455"/>
    <n v="75.833333333333329"/>
    <n v="33.200000000000003"/>
    <n v="1"/>
    <s v="Medium"/>
  </r>
  <r>
    <n v="107"/>
    <x v="183"/>
    <n v="14"/>
    <n v="502"/>
    <n v="159"/>
    <s v="fighting"/>
    <s v="None"/>
    <n v="50"/>
    <n v="105"/>
    <n v="79"/>
    <n v="35"/>
    <n v="110"/>
    <n v="76"/>
    <n v="455"/>
    <n v="75.833333333333329"/>
    <n v="35.857142857142854"/>
    <n v="1"/>
    <s v="Medium"/>
  </r>
  <r>
    <n v="237"/>
    <x v="184"/>
    <n v="14"/>
    <n v="480"/>
    <n v="159"/>
    <s v="fighting"/>
    <s v="None"/>
    <n v="50"/>
    <n v="95"/>
    <n v="95"/>
    <n v="35"/>
    <n v="110"/>
    <n v="70"/>
    <n v="455"/>
    <n v="75.833333333333329"/>
    <n v="34.285714285714285"/>
    <n v="1"/>
    <s v="Medium"/>
  </r>
  <r>
    <n v="82"/>
    <x v="185"/>
    <n v="10"/>
    <n v="600"/>
    <n v="163"/>
    <s v="electric"/>
    <s v="steel"/>
    <n v="50"/>
    <n v="60"/>
    <n v="95"/>
    <n v="120"/>
    <n v="70"/>
    <n v="70"/>
    <n v="465"/>
    <n v="77.5"/>
    <n v="60"/>
    <n v="2"/>
    <s v="Medium"/>
  </r>
  <r>
    <n v="91"/>
    <x v="186"/>
    <n v="15"/>
    <n v="1325"/>
    <n v="184"/>
    <s v="water"/>
    <s v="ice"/>
    <n v="50"/>
    <n v="95"/>
    <n v="180"/>
    <n v="85"/>
    <n v="45"/>
    <n v="70"/>
    <n v="525"/>
    <n v="87.5"/>
    <n v="88.333333333333329"/>
    <n v="2"/>
    <s v="Medium"/>
  </r>
  <r>
    <n v="132"/>
    <x v="187"/>
    <n v="3"/>
    <n v="40"/>
    <n v="101"/>
    <s v="normal"/>
    <s v="None"/>
    <n v="48"/>
    <n v="48"/>
    <n v="48"/>
    <n v="48"/>
    <n v="48"/>
    <n v="48"/>
    <n v="288"/>
    <n v="48"/>
    <n v="13.333333333333334"/>
    <n v="1"/>
    <s v="Medium"/>
  </r>
  <r>
    <n v="201"/>
    <x v="188"/>
    <n v="5"/>
    <n v="50"/>
    <n v="118"/>
    <s v="psychic"/>
    <s v="None"/>
    <n v="48"/>
    <n v="72"/>
    <n v="48"/>
    <n v="72"/>
    <n v="48"/>
    <n v="48"/>
    <n v="336"/>
    <n v="56"/>
    <n v="10"/>
    <n v="1"/>
    <s v="Medium"/>
  </r>
  <r>
    <n v="32"/>
    <x v="189"/>
    <n v="5"/>
    <n v="90"/>
    <n v="55"/>
    <s v="poison"/>
    <s v="None"/>
    <n v="46"/>
    <n v="57"/>
    <n v="40"/>
    <n v="40"/>
    <n v="40"/>
    <n v="50"/>
    <n v="273"/>
    <n v="45.5"/>
    <n v="18"/>
    <n v="1"/>
    <s v="Low"/>
  </r>
  <r>
    <n v="10"/>
    <x v="190"/>
    <n v="3"/>
    <n v="29"/>
    <n v="39"/>
    <s v="bug"/>
    <s v="None"/>
    <n v="45"/>
    <n v="30"/>
    <n v="35"/>
    <n v="20"/>
    <n v="20"/>
    <n v="45"/>
    <n v="195"/>
    <n v="32.5"/>
    <n v="9.6666666666666661"/>
    <n v="1"/>
    <s v="Low"/>
  </r>
  <r>
    <n v="14"/>
    <x v="191"/>
    <n v="6"/>
    <n v="100"/>
    <n v="72"/>
    <s v="bug"/>
    <s v="poison"/>
    <n v="45"/>
    <n v="25"/>
    <n v="50"/>
    <n v="25"/>
    <n v="25"/>
    <n v="35"/>
    <n v="205"/>
    <n v="34.166666666666664"/>
    <n v="16.666666666666668"/>
    <n v="2"/>
    <s v="Low"/>
  </r>
  <r>
    <n v="238"/>
    <x v="192"/>
    <n v="4"/>
    <n v="60"/>
    <n v="61"/>
    <s v="ice"/>
    <s v="psychic"/>
    <n v="45"/>
    <n v="30"/>
    <n v="15"/>
    <n v="85"/>
    <n v="65"/>
    <n v="65"/>
    <n v="305"/>
    <n v="50.833333333333336"/>
    <n v="15"/>
    <n v="2"/>
    <s v="Low"/>
  </r>
  <r>
    <n v="1"/>
    <x v="193"/>
    <n v="7"/>
    <n v="69"/>
    <n v="64"/>
    <s v="grass"/>
    <s v="poison"/>
    <n v="45"/>
    <n v="49"/>
    <n v="49"/>
    <n v="65"/>
    <n v="65"/>
    <n v="45"/>
    <n v="318"/>
    <n v="53"/>
    <n v="9.8571428571428577"/>
    <n v="2"/>
    <s v="Low"/>
  </r>
  <r>
    <n v="152"/>
    <x v="194"/>
    <n v="9"/>
    <n v="64"/>
    <n v="64"/>
    <s v="grass"/>
    <s v="None"/>
    <n v="45"/>
    <n v="49"/>
    <n v="65"/>
    <n v="49"/>
    <n v="65"/>
    <n v="45"/>
    <n v="318"/>
    <n v="53"/>
    <n v="7.1111111111111107"/>
    <n v="1"/>
    <s v="Low"/>
  </r>
  <r>
    <n v="43"/>
    <x v="195"/>
    <n v="5"/>
    <n v="54"/>
    <n v="64"/>
    <s v="grass"/>
    <s v="poison"/>
    <n v="45"/>
    <n v="50"/>
    <n v="55"/>
    <n v="75"/>
    <n v="65"/>
    <n v="30"/>
    <n v="320"/>
    <n v="53.333333333333336"/>
    <n v="10.8"/>
    <n v="2"/>
    <s v="Low"/>
  </r>
  <r>
    <n v="118"/>
    <x v="196"/>
    <n v="6"/>
    <n v="150"/>
    <n v="64"/>
    <s v="water"/>
    <s v="None"/>
    <n v="45"/>
    <n v="67"/>
    <n v="60"/>
    <n v="35"/>
    <n v="50"/>
    <n v="63"/>
    <n v="320"/>
    <n v="53.333333333333336"/>
    <n v="25"/>
    <n v="1"/>
    <s v="Low"/>
  </r>
  <r>
    <n v="225"/>
    <x v="197"/>
    <n v="9"/>
    <n v="160"/>
    <n v="116"/>
    <s v="ice"/>
    <s v="flying"/>
    <n v="45"/>
    <n v="55"/>
    <n v="45"/>
    <n v="65"/>
    <n v="45"/>
    <n v="75"/>
    <n v="330"/>
    <n v="55"/>
    <n v="17.777777777777779"/>
    <n v="2"/>
    <s v="Medium"/>
  </r>
  <r>
    <n v="228"/>
    <x v="198"/>
    <n v="6"/>
    <n v="108"/>
    <n v="66"/>
    <s v="dark"/>
    <s v="fire"/>
    <n v="45"/>
    <n v="60"/>
    <n v="30"/>
    <n v="80"/>
    <n v="50"/>
    <n v="65"/>
    <n v="330"/>
    <n v="55"/>
    <n v="18"/>
    <n v="2"/>
    <s v="Low"/>
  </r>
  <r>
    <n v="239"/>
    <x v="199"/>
    <n v="6"/>
    <n v="235"/>
    <n v="72"/>
    <s v="electric"/>
    <s v="None"/>
    <n v="45"/>
    <n v="63"/>
    <n v="37"/>
    <n v="65"/>
    <n v="55"/>
    <n v="95"/>
    <n v="360"/>
    <n v="60"/>
    <n v="39.166666666666664"/>
    <n v="1"/>
    <s v="Low"/>
  </r>
  <r>
    <n v="240"/>
    <x v="200"/>
    <n v="7"/>
    <n v="214"/>
    <n v="73"/>
    <s v="fire"/>
    <s v="None"/>
    <n v="45"/>
    <n v="75"/>
    <n v="37"/>
    <n v="70"/>
    <n v="55"/>
    <n v="83"/>
    <n v="365"/>
    <n v="60.833333333333336"/>
    <n v="30.571428571428573"/>
    <n v="1"/>
    <s v="Low"/>
  </r>
  <r>
    <n v="93"/>
    <x v="201"/>
    <n v="16"/>
    <n v="1"/>
    <n v="142"/>
    <s v="ghost"/>
    <s v="poison"/>
    <n v="45"/>
    <n v="50"/>
    <n v="45"/>
    <n v="115"/>
    <n v="55"/>
    <n v="95"/>
    <n v="405"/>
    <n v="67.5"/>
    <n v="6.25E-2"/>
    <n v="2"/>
    <s v="Medium"/>
  </r>
  <r>
    <n v="7"/>
    <x v="202"/>
    <n v="5"/>
    <n v="90"/>
    <n v="63"/>
    <s v="water"/>
    <s v="None"/>
    <n v="44"/>
    <n v="48"/>
    <n v="65"/>
    <n v="50"/>
    <n v="64"/>
    <n v="43"/>
    <n v="314"/>
    <n v="52.333333333333336"/>
    <n v="18"/>
    <n v="1"/>
    <s v="Low"/>
  </r>
  <r>
    <n v="147"/>
    <x v="203"/>
    <n v="18"/>
    <n v="33"/>
    <n v="60"/>
    <s v="dragon"/>
    <s v="None"/>
    <n v="41"/>
    <n v="64"/>
    <n v="45"/>
    <n v="50"/>
    <n v="50"/>
    <n v="50"/>
    <n v="300"/>
    <n v="50"/>
    <n v="1.8333333333333333"/>
    <n v="1"/>
    <s v="Low"/>
  </r>
  <r>
    <n v="13"/>
    <x v="204"/>
    <n v="3"/>
    <n v="32"/>
    <n v="39"/>
    <s v="bug"/>
    <s v="poison"/>
    <n v="40"/>
    <n v="35"/>
    <n v="30"/>
    <n v="20"/>
    <n v="20"/>
    <n v="50"/>
    <n v="195"/>
    <n v="32.5"/>
    <n v="10.666666666666666"/>
    <n v="2"/>
    <s v="Low"/>
  </r>
  <r>
    <n v="41"/>
    <x v="205"/>
    <n v="8"/>
    <n v="75"/>
    <n v="49"/>
    <s v="poison"/>
    <s v="flying"/>
    <n v="40"/>
    <n v="45"/>
    <n v="35"/>
    <n v="30"/>
    <n v="40"/>
    <n v="55"/>
    <n v="245"/>
    <n v="40.833333333333336"/>
    <n v="9.375"/>
    <n v="2"/>
    <s v="Low"/>
  </r>
  <r>
    <n v="167"/>
    <x v="206"/>
    <n v="5"/>
    <n v="85"/>
    <n v="50"/>
    <s v="bug"/>
    <s v="poison"/>
    <n v="40"/>
    <n v="60"/>
    <n v="40"/>
    <n v="40"/>
    <n v="40"/>
    <n v="30"/>
    <n v="250"/>
    <n v="41.666666666666664"/>
    <n v="17"/>
    <n v="2"/>
    <s v="Low"/>
  </r>
  <r>
    <n v="218"/>
    <x v="207"/>
    <n v="7"/>
    <n v="350"/>
    <n v="50"/>
    <s v="fire"/>
    <s v="None"/>
    <n v="40"/>
    <n v="40"/>
    <n v="40"/>
    <n v="70"/>
    <n v="40"/>
    <n v="20"/>
    <n v="250"/>
    <n v="41.666666666666664"/>
    <n v="50"/>
    <n v="1"/>
    <s v="Low"/>
  </r>
  <r>
    <n v="16"/>
    <x v="208"/>
    <n v="3"/>
    <n v="18"/>
    <n v="50"/>
    <s v="normal"/>
    <s v="flying"/>
    <n v="40"/>
    <n v="45"/>
    <n v="40"/>
    <n v="35"/>
    <n v="35"/>
    <n v="56"/>
    <n v="251"/>
    <n v="41.833333333333336"/>
    <n v="6"/>
    <n v="2"/>
    <s v="Low"/>
  </r>
  <r>
    <n v="21"/>
    <x v="209"/>
    <n v="3"/>
    <n v="20"/>
    <n v="52"/>
    <s v="normal"/>
    <s v="flying"/>
    <n v="40"/>
    <n v="60"/>
    <n v="30"/>
    <n v="31"/>
    <n v="31"/>
    <n v="70"/>
    <n v="262"/>
    <n v="43.666666666666664"/>
    <n v="6.666666666666667"/>
    <n v="2"/>
    <s v="Low"/>
  </r>
  <r>
    <n v="165"/>
    <x v="210"/>
    <n v="10"/>
    <n v="108"/>
    <n v="53"/>
    <s v="bug"/>
    <s v="flying"/>
    <n v="40"/>
    <n v="20"/>
    <n v="30"/>
    <n v="40"/>
    <n v="80"/>
    <n v="55"/>
    <n v="265"/>
    <n v="44.166666666666664"/>
    <n v="10.8"/>
    <n v="2"/>
    <s v="Low"/>
  </r>
  <r>
    <n v="52"/>
    <x v="211"/>
    <n v="4"/>
    <n v="42"/>
    <n v="58"/>
    <s v="normal"/>
    <s v="None"/>
    <n v="40"/>
    <n v="45"/>
    <n v="35"/>
    <n v="40"/>
    <n v="40"/>
    <n v="90"/>
    <n v="290"/>
    <n v="48.333333333333336"/>
    <n v="10.5"/>
    <n v="1"/>
    <s v="Low"/>
  </r>
  <r>
    <n v="60"/>
    <x v="212"/>
    <n v="6"/>
    <n v="124"/>
    <n v="60"/>
    <s v="water"/>
    <s v="None"/>
    <n v="40"/>
    <n v="50"/>
    <n v="40"/>
    <n v="40"/>
    <n v="40"/>
    <n v="90"/>
    <n v="300"/>
    <n v="50"/>
    <n v="20.666666666666668"/>
    <n v="1"/>
    <s v="Low"/>
  </r>
  <r>
    <n v="74"/>
    <x v="213"/>
    <n v="4"/>
    <n v="200"/>
    <n v="60"/>
    <s v="rock"/>
    <s v="ground"/>
    <n v="40"/>
    <n v="80"/>
    <n v="100"/>
    <n v="30"/>
    <n v="30"/>
    <n v="20"/>
    <n v="300"/>
    <n v="50"/>
    <n v="50"/>
    <n v="2"/>
    <s v="Low"/>
  </r>
  <r>
    <n v="56"/>
    <x v="214"/>
    <n v="5"/>
    <n v="280"/>
    <n v="61"/>
    <s v="fighting"/>
    <s v="None"/>
    <n v="40"/>
    <n v="80"/>
    <n v="35"/>
    <n v="35"/>
    <n v="45"/>
    <n v="70"/>
    <n v="305"/>
    <n v="50.833333333333336"/>
    <n v="56"/>
    <n v="1"/>
    <s v="Low"/>
  </r>
  <r>
    <n v="177"/>
    <x v="215"/>
    <n v="2"/>
    <n v="20"/>
    <n v="64"/>
    <s v="psychic"/>
    <s v="flying"/>
    <n v="40"/>
    <n v="50"/>
    <n v="45"/>
    <n v="70"/>
    <n v="45"/>
    <n v="70"/>
    <n v="320"/>
    <n v="53.333333333333336"/>
    <n v="10"/>
    <n v="2"/>
    <s v="Low"/>
  </r>
  <r>
    <n v="100"/>
    <x v="216"/>
    <n v="5"/>
    <n v="104"/>
    <n v="66"/>
    <s v="electric"/>
    <s v="None"/>
    <n v="40"/>
    <n v="30"/>
    <n v="50"/>
    <n v="55"/>
    <n v="55"/>
    <n v="100"/>
    <n v="330"/>
    <n v="55"/>
    <n v="20.8"/>
    <n v="1"/>
    <s v="Low"/>
  </r>
  <r>
    <n v="72"/>
    <x v="217"/>
    <n v="9"/>
    <n v="455"/>
    <n v="67"/>
    <s v="water"/>
    <s v="poison"/>
    <n v="40"/>
    <n v="40"/>
    <n v="35"/>
    <n v="50"/>
    <n v="100"/>
    <n v="70"/>
    <n v="335"/>
    <n v="55.833333333333336"/>
    <n v="50.555555555555557"/>
    <n v="2"/>
    <s v="Low"/>
  </r>
  <r>
    <n v="109"/>
    <x v="218"/>
    <n v="6"/>
    <n v="10"/>
    <n v="68"/>
    <s v="poison"/>
    <s v="None"/>
    <n v="40"/>
    <n v="65"/>
    <n v="95"/>
    <n v="60"/>
    <n v="45"/>
    <n v="35"/>
    <n v="340"/>
    <n v="56.666666666666664"/>
    <n v="1.6666666666666667"/>
    <n v="1"/>
    <s v="Low"/>
  </r>
  <r>
    <n v="64"/>
    <x v="219"/>
    <n v="13"/>
    <n v="565"/>
    <n v="140"/>
    <s v="psychic"/>
    <s v="None"/>
    <n v="40"/>
    <n v="35"/>
    <n v="30"/>
    <n v="120"/>
    <n v="70"/>
    <n v="105"/>
    <n v="400"/>
    <n v="66.666666666666671"/>
    <n v="43.46153846153846"/>
    <n v="1"/>
    <s v="Medium"/>
  </r>
  <r>
    <n v="122"/>
    <x v="220"/>
    <n v="13"/>
    <n v="545"/>
    <n v="161"/>
    <s v="psychic"/>
    <s v="fairy"/>
    <n v="40"/>
    <n v="45"/>
    <n v="65"/>
    <n v="100"/>
    <n v="120"/>
    <n v="90"/>
    <n v="460"/>
    <n v="76.666666666666671"/>
    <n v="41.92307692307692"/>
    <n v="2"/>
    <s v="Medium"/>
  </r>
  <r>
    <n v="4"/>
    <x v="221"/>
    <n v="6"/>
    <n v="85"/>
    <n v="62"/>
    <s v="fire"/>
    <s v="None"/>
    <n v="39"/>
    <n v="52"/>
    <n v="43"/>
    <n v="60"/>
    <n v="50"/>
    <n v="65"/>
    <n v="309"/>
    <n v="51.5"/>
    <n v="14.166666666666666"/>
    <n v="1"/>
    <s v="Low"/>
  </r>
  <r>
    <n v="155"/>
    <x v="222"/>
    <n v="5"/>
    <n v="79"/>
    <n v="62"/>
    <s v="fire"/>
    <s v="None"/>
    <n v="39"/>
    <n v="52"/>
    <n v="43"/>
    <n v="60"/>
    <n v="50"/>
    <n v="65"/>
    <n v="309"/>
    <n v="51.5"/>
    <n v="15.8"/>
    <n v="1"/>
    <s v="Low"/>
  </r>
  <r>
    <n v="37"/>
    <x v="223"/>
    <n v="6"/>
    <n v="99"/>
    <n v="60"/>
    <s v="fire"/>
    <s v="None"/>
    <n v="38"/>
    <n v="41"/>
    <n v="40"/>
    <n v="50"/>
    <n v="65"/>
    <n v="65"/>
    <n v="299"/>
    <n v="49.833333333333336"/>
    <n v="16.5"/>
    <n v="1"/>
    <s v="Low"/>
  </r>
  <r>
    <n v="236"/>
    <x v="224"/>
    <n v="7"/>
    <n v="210"/>
    <n v="42"/>
    <s v="fighting"/>
    <s v="None"/>
    <n v="35"/>
    <n v="35"/>
    <n v="35"/>
    <n v="35"/>
    <n v="35"/>
    <n v="35"/>
    <n v="210"/>
    <n v="35"/>
    <n v="30"/>
    <n v="1"/>
    <s v="Low"/>
  </r>
  <r>
    <n v="161"/>
    <x v="225"/>
    <n v="8"/>
    <n v="60"/>
    <n v="43"/>
    <s v="normal"/>
    <s v="None"/>
    <n v="35"/>
    <n v="46"/>
    <n v="34"/>
    <n v="35"/>
    <n v="45"/>
    <n v="20"/>
    <n v="215"/>
    <n v="35.833333333333336"/>
    <n v="7.5"/>
    <n v="1"/>
    <s v="Low"/>
  </r>
  <r>
    <n v="175"/>
    <x v="226"/>
    <n v="3"/>
    <n v="15"/>
    <n v="49"/>
    <s v="fairy"/>
    <s v="None"/>
    <n v="35"/>
    <n v="20"/>
    <n v="65"/>
    <n v="40"/>
    <n v="65"/>
    <n v="20"/>
    <n v="245"/>
    <n v="40.833333333333336"/>
    <n v="5"/>
    <n v="1"/>
    <s v="Low"/>
  </r>
  <r>
    <n v="187"/>
    <x v="227"/>
    <n v="4"/>
    <n v="5"/>
    <n v="50"/>
    <s v="grass"/>
    <s v="flying"/>
    <n v="35"/>
    <n v="35"/>
    <n v="40"/>
    <n v="35"/>
    <n v="55"/>
    <n v="50"/>
    <n v="250"/>
    <n v="41.666666666666664"/>
    <n v="1.25"/>
    <n v="2"/>
    <s v="Low"/>
  </r>
  <r>
    <n v="46"/>
    <x v="228"/>
    <n v="3"/>
    <n v="54"/>
    <n v="57"/>
    <s v="bug"/>
    <s v="grass"/>
    <n v="35"/>
    <n v="70"/>
    <n v="55"/>
    <n v="45"/>
    <n v="55"/>
    <n v="25"/>
    <n v="285"/>
    <n v="47.5"/>
    <n v="18"/>
    <n v="2"/>
    <s v="Low"/>
  </r>
  <r>
    <n v="23"/>
    <x v="229"/>
    <n v="20"/>
    <n v="69"/>
    <n v="58"/>
    <s v="poison"/>
    <s v="None"/>
    <n v="35"/>
    <n v="60"/>
    <n v="44"/>
    <n v="40"/>
    <n v="54"/>
    <n v="55"/>
    <n v="288"/>
    <n v="48"/>
    <n v="3.45"/>
    <n v="1"/>
    <s v="Low"/>
  </r>
  <r>
    <n v="223"/>
    <x v="230"/>
    <n v="6"/>
    <n v="120"/>
    <n v="60"/>
    <s v="water"/>
    <s v="None"/>
    <n v="35"/>
    <n v="65"/>
    <n v="35"/>
    <n v="65"/>
    <n v="35"/>
    <n v="65"/>
    <n v="300"/>
    <n v="50"/>
    <n v="20"/>
    <n v="1"/>
    <s v="Low"/>
  </r>
  <r>
    <n v="84"/>
    <x v="231"/>
    <n v="14"/>
    <n v="392"/>
    <n v="62"/>
    <s v="normal"/>
    <s v="flying"/>
    <n v="35"/>
    <n v="85"/>
    <n v="45"/>
    <n v="35"/>
    <n v="35"/>
    <n v="75"/>
    <n v="310"/>
    <n v="51.666666666666664"/>
    <n v="28"/>
    <n v="2"/>
    <s v="Low"/>
  </r>
  <r>
    <n v="25"/>
    <x v="232"/>
    <n v="4"/>
    <n v="60"/>
    <n v="112"/>
    <s v="electric"/>
    <s v="None"/>
    <n v="35"/>
    <n v="55"/>
    <n v="40"/>
    <n v="50"/>
    <n v="50"/>
    <n v="90"/>
    <n v="320"/>
    <n v="53.333333333333336"/>
    <n v="15"/>
    <n v="1"/>
    <s v="Medium"/>
  </r>
  <r>
    <n v="138"/>
    <x v="233"/>
    <n v="4"/>
    <n v="75"/>
    <n v="71"/>
    <s v="rock"/>
    <s v="water"/>
    <n v="35"/>
    <n v="40"/>
    <n v="100"/>
    <n v="90"/>
    <n v="55"/>
    <n v="35"/>
    <n v="355"/>
    <n v="59.166666666666664"/>
    <n v="18.75"/>
    <n v="2"/>
    <s v="Low"/>
  </r>
  <r>
    <n v="95"/>
    <x v="234"/>
    <n v="88"/>
    <n v="2100"/>
    <n v="77"/>
    <s v="rock"/>
    <s v="ground"/>
    <n v="35"/>
    <n v="45"/>
    <n v="160"/>
    <n v="30"/>
    <n v="45"/>
    <n v="70"/>
    <n v="385"/>
    <n v="64.166666666666671"/>
    <n v="23.863636363636363"/>
    <n v="2"/>
    <s v="Low"/>
  </r>
  <r>
    <n v="51"/>
    <x v="235"/>
    <n v="7"/>
    <n v="333"/>
    <n v="149"/>
    <s v="ground"/>
    <s v="None"/>
    <n v="35"/>
    <n v="100"/>
    <n v="50"/>
    <n v="50"/>
    <n v="70"/>
    <n v="120"/>
    <n v="425"/>
    <n v="70.833333333333329"/>
    <n v="47.571428571428569"/>
    <n v="1"/>
    <s v="Medium"/>
  </r>
  <r>
    <n v="191"/>
    <x v="236"/>
    <n v="3"/>
    <n v="18"/>
    <n v="36"/>
    <s v="grass"/>
    <s v="None"/>
    <n v="30"/>
    <n v="30"/>
    <n v="30"/>
    <n v="30"/>
    <n v="30"/>
    <n v="30"/>
    <n v="180"/>
    <n v="30"/>
    <n v="6"/>
    <n v="1"/>
    <s v="Low"/>
  </r>
  <r>
    <n v="19"/>
    <x v="237"/>
    <n v="3"/>
    <n v="35"/>
    <n v="51"/>
    <s v="normal"/>
    <s v="None"/>
    <n v="30"/>
    <n v="56"/>
    <n v="35"/>
    <n v="25"/>
    <n v="35"/>
    <n v="72"/>
    <n v="253"/>
    <n v="42.166666666666664"/>
    <n v="11.666666666666666"/>
    <n v="1"/>
    <s v="Low"/>
  </r>
  <r>
    <n v="116"/>
    <x v="238"/>
    <n v="4"/>
    <n v="80"/>
    <n v="59"/>
    <s v="water"/>
    <s v="None"/>
    <n v="30"/>
    <n v="40"/>
    <n v="70"/>
    <n v="70"/>
    <n v="25"/>
    <n v="60"/>
    <n v="295"/>
    <n v="49.166666666666664"/>
    <n v="20"/>
    <n v="1"/>
    <s v="Low"/>
  </r>
  <r>
    <n v="90"/>
    <x v="239"/>
    <n v="3"/>
    <n v="40"/>
    <n v="61"/>
    <s v="water"/>
    <s v="None"/>
    <n v="30"/>
    <n v="65"/>
    <n v="100"/>
    <n v="45"/>
    <n v="25"/>
    <n v="40"/>
    <n v="305"/>
    <n v="50.833333333333336"/>
    <n v="13.333333333333334"/>
    <n v="1"/>
    <s v="Low"/>
  </r>
  <r>
    <n v="92"/>
    <x v="240"/>
    <n v="13"/>
    <n v="1"/>
    <n v="62"/>
    <s v="ghost"/>
    <s v="poison"/>
    <n v="30"/>
    <n v="35"/>
    <n v="30"/>
    <n v="100"/>
    <n v="35"/>
    <n v="80"/>
    <n v="310"/>
    <n v="51.666666666666664"/>
    <n v="7.6923076923076927E-2"/>
    <n v="2"/>
    <s v="Low"/>
  </r>
  <r>
    <n v="98"/>
    <x v="241"/>
    <n v="4"/>
    <n v="65"/>
    <n v="65"/>
    <s v="water"/>
    <s v="None"/>
    <n v="30"/>
    <n v="105"/>
    <n v="90"/>
    <n v="25"/>
    <n v="25"/>
    <n v="50"/>
    <n v="325"/>
    <n v="54.166666666666664"/>
    <n v="16.25"/>
    <n v="1"/>
    <s v="Low"/>
  </r>
  <r>
    <n v="120"/>
    <x v="242"/>
    <n v="8"/>
    <n v="345"/>
    <n v="68"/>
    <s v="water"/>
    <s v="None"/>
    <n v="30"/>
    <n v="45"/>
    <n v="55"/>
    <n v="70"/>
    <n v="55"/>
    <n v="85"/>
    <n v="340"/>
    <n v="56.666666666666664"/>
    <n v="43.125"/>
    <n v="1"/>
    <s v="Low"/>
  </r>
  <r>
    <n v="140"/>
    <x v="243"/>
    <n v="5"/>
    <n v="115"/>
    <n v="71"/>
    <s v="rock"/>
    <s v="water"/>
    <n v="30"/>
    <n v="80"/>
    <n v="90"/>
    <n v="55"/>
    <n v="45"/>
    <n v="55"/>
    <n v="355"/>
    <n v="59.166666666666664"/>
    <n v="23"/>
    <n v="2"/>
    <s v="Low"/>
  </r>
  <r>
    <n v="63"/>
    <x v="244"/>
    <n v="9"/>
    <n v="195"/>
    <n v="62"/>
    <s v="psychic"/>
    <s v="None"/>
    <n v="25"/>
    <n v="20"/>
    <n v="15"/>
    <n v="105"/>
    <n v="55"/>
    <n v="90"/>
    <n v="310"/>
    <n v="51.666666666666664"/>
    <n v="21.666666666666668"/>
    <n v="1"/>
    <s v="Low"/>
  </r>
  <r>
    <n v="81"/>
    <x v="245"/>
    <n v="3"/>
    <n v="60"/>
    <n v="65"/>
    <s v="electric"/>
    <s v="steel"/>
    <n v="25"/>
    <n v="35"/>
    <n v="70"/>
    <n v="95"/>
    <n v="55"/>
    <n v="45"/>
    <n v="325"/>
    <n v="54.166666666666664"/>
    <n v="20"/>
    <n v="2"/>
    <s v="Low"/>
  </r>
  <r>
    <n v="129"/>
    <x v="246"/>
    <n v="9"/>
    <n v="100"/>
    <n v="40"/>
    <s v="water"/>
    <s v="None"/>
    <n v="20"/>
    <n v="10"/>
    <n v="55"/>
    <n v="15"/>
    <n v="20"/>
    <n v="80"/>
    <n v="200"/>
    <n v="33.333333333333336"/>
    <n v="11.111111111111111"/>
    <n v="1"/>
    <s v="Low"/>
  </r>
  <r>
    <n v="172"/>
    <x v="247"/>
    <n v="3"/>
    <n v="20"/>
    <n v="41"/>
    <s v="electric"/>
    <s v="None"/>
    <n v="20"/>
    <n v="40"/>
    <n v="15"/>
    <n v="35"/>
    <n v="35"/>
    <n v="60"/>
    <n v="205"/>
    <n v="34.166666666666664"/>
    <n v="6.666666666666667"/>
    <n v="1"/>
    <s v="Low"/>
  </r>
  <r>
    <n v="213"/>
    <x v="248"/>
    <n v="6"/>
    <n v="205"/>
    <n v="177"/>
    <s v="bug"/>
    <s v="rock"/>
    <n v="20"/>
    <n v="10"/>
    <n v="230"/>
    <n v="10"/>
    <n v="230"/>
    <n v="5"/>
    <n v="505"/>
    <n v="84.166666666666671"/>
    <n v="34.166666666666664"/>
    <n v="2"/>
    <s v="Medium"/>
  </r>
  <r>
    <n v="50"/>
    <x v="249"/>
    <n v="2"/>
    <n v="8"/>
    <n v="53"/>
    <s v="ground"/>
    <s v="None"/>
    <n v="10"/>
    <n v="55"/>
    <n v="25"/>
    <n v="35"/>
    <n v="45"/>
    <n v="95"/>
    <n v="265"/>
    <n v="44.166666666666664"/>
    <n v="4"/>
    <n v="1"/>
    <s v="Low"/>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242"/>
    <s v="Blissey"/>
    <n v="15"/>
    <n v="468"/>
    <n v="608"/>
    <x v="0"/>
    <s v="None"/>
    <n v="255"/>
    <n v="10"/>
    <n v="10"/>
    <n v="75"/>
    <n v="135"/>
    <n v="55"/>
    <n v="540"/>
    <n v="90"/>
    <n v="31.2"/>
    <n v="1"/>
    <s v="Legendary"/>
    <n v="85"/>
    <n v="145"/>
  </r>
  <r>
    <n v="113"/>
    <s v="Chansey"/>
    <n v="11"/>
    <n v="346"/>
    <n v="395"/>
    <x v="0"/>
    <s v="None"/>
    <n v="250"/>
    <n v="5"/>
    <n v="5"/>
    <n v="35"/>
    <n v="105"/>
    <n v="50"/>
    <n v="450"/>
    <n v="75"/>
    <n v="31.454545454545453"/>
    <n v="1"/>
    <s v="Legendary"/>
    <n v="40"/>
    <n v="110"/>
  </r>
  <r>
    <n v="202"/>
    <s v="Wobbuffet"/>
    <n v="13"/>
    <n v="285"/>
    <n v="142"/>
    <x v="1"/>
    <s v="None"/>
    <n v="190"/>
    <n v="33"/>
    <n v="58"/>
    <n v="33"/>
    <n v="58"/>
    <n v="33"/>
    <n v="405"/>
    <n v="67.5"/>
    <n v="21.923076923076923"/>
    <n v="1"/>
    <s v="Medium"/>
    <n v="66"/>
    <n v="116"/>
  </r>
  <r>
    <n v="143"/>
    <s v="Snorlax"/>
    <n v="21"/>
    <n v="4600"/>
    <n v="189"/>
    <x v="0"/>
    <s v="None"/>
    <n v="160"/>
    <n v="110"/>
    <n v="65"/>
    <n v="65"/>
    <n v="110"/>
    <n v="30"/>
    <n v="540"/>
    <n v="90"/>
    <n v="219.04761904761904"/>
    <n v="1"/>
    <s v="Medium"/>
    <n v="175"/>
    <n v="175"/>
  </r>
  <r>
    <n v="40"/>
    <s v="Wigglytuff"/>
    <n v="10"/>
    <n v="120"/>
    <n v="196"/>
    <x v="0"/>
    <s v="fairy"/>
    <n v="140"/>
    <n v="70"/>
    <n v="45"/>
    <n v="85"/>
    <n v="50"/>
    <n v="45"/>
    <n v="435"/>
    <n v="72.5"/>
    <n v="12"/>
    <n v="2"/>
    <s v="Medium"/>
    <n v="155"/>
    <n v="95"/>
  </r>
  <r>
    <n v="134"/>
    <s v="Vaporeon"/>
    <n v="10"/>
    <n v="290"/>
    <n v="184"/>
    <x v="2"/>
    <s v="None"/>
    <n v="130"/>
    <n v="65"/>
    <n v="60"/>
    <n v="110"/>
    <n v="95"/>
    <n v="65"/>
    <n v="525"/>
    <n v="87.5"/>
    <n v="29"/>
    <n v="1"/>
    <s v="Medium"/>
    <n v="175"/>
    <n v="155"/>
  </r>
  <r>
    <n v="131"/>
    <s v="Lapras"/>
    <n v="25"/>
    <n v="2200"/>
    <n v="187"/>
    <x v="2"/>
    <s v="ice"/>
    <n v="130"/>
    <n v="85"/>
    <n v="80"/>
    <n v="85"/>
    <n v="95"/>
    <n v="60"/>
    <n v="535"/>
    <n v="89.166666666666671"/>
    <n v="88"/>
    <n v="2"/>
    <s v="Medium"/>
    <n v="170"/>
    <n v="175"/>
  </r>
  <r>
    <n v="171"/>
    <s v="Lanturn"/>
    <n v="12"/>
    <n v="225"/>
    <n v="161"/>
    <x v="2"/>
    <s v="electric"/>
    <n v="125"/>
    <n v="58"/>
    <n v="58"/>
    <n v="76"/>
    <n v="76"/>
    <n v="67"/>
    <n v="460"/>
    <n v="76.666666666666671"/>
    <n v="18.75"/>
    <n v="2"/>
    <s v="Medium"/>
    <n v="134"/>
    <n v="134"/>
  </r>
  <r>
    <n v="39"/>
    <s v="Jigglypuff"/>
    <n v="5"/>
    <n v="55"/>
    <n v="95"/>
    <x v="0"/>
    <s v="fairy"/>
    <n v="115"/>
    <n v="45"/>
    <n v="20"/>
    <n v="45"/>
    <n v="25"/>
    <n v="20"/>
    <n v="270"/>
    <n v="45"/>
    <n v="11"/>
    <n v="2"/>
    <s v="Low"/>
    <n v="90"/>
    <n v="45"/>
  </r>
  <r>
    <n v="244"/>
    <s v="Entei"/>
    <n v="21"/>
    <n v="1980"/>
    <n v="261"/>
    <x v="3"/>
    <s v="None"/>
    <n v="115"/>
    <n v="115"/>
    <n v="85"/>
    <n v="90"/>
    <n v="75"/>
    <n v="100"/>
    <n v="580"/>
    <n v="96.666666666666671"/>
    <n v="94.285714285714292"/>
    <n v="1"/>
    <s v="Legendary"/>
    <n v="205"/>
    <n v="160"/>
  </r>
  <r>
    <n v="150"/>
    <s v="Mewtwo"/>
    <n v="20"/>
    <n v="1220"/>
    <n v="306"/>
    <x v="1"/>
    <s v="None"/>
    <n v="106"/>
    <n v="110"/>
    <n v="90"/>
    <n v="154"/>
    <n v="90"/>
    <n v="130"/>
    <n v="680"/>
    <n v="113.33333333333333"/>
    <n v="61"/>
    <n v="1"/>
    <s v="Legendary"/>
    <n v="264"/>
    <n v="180"/>
  </r>
  <r>
    <n v="249"/>
    <s v="Lugia"/>
    <n v="52"/>
    <n v="2160"/>
    <n v="306"/>
    <x v="1"/>
    <s v="flying"/>
    <n v="106"/>
    <n v="90"/>
    <n v="130"/>
    <n v="90"/>
    <n v="154"/>
    <n v="110"/>
    <n v="680"/>
    <n v="113.33333333333333"/>
    <n v="41.53846153846154"/>
    <n v="2"/>
    <s v="Legendary"/>
    <n v="180"/>
    <n v="284"/>
  </r>
  <r>
    <n v="250"/>
    <s v="Ho-oh"/>
    <n v="38"/>
    <n v="1990"/>
    <n v="306"/>
    <x v="3"/>
    <s v="flying"/>
    <n v="106"/>
    <n v="130"/>
    <n v="90"/>
    <n v="110"/>
    <n v="154"/>
    <n v="90"/>
    <n v="680"/>
    <n v="113.33333333333333"/>
    <n v="52.368421052631582"/>
    <n v="2"/>
    <s v="Legendary"/>
    <n v="240"/>
    <n v="244"/>
  </r>
  <r>
    <n v="112"/>
    <s v="Rhydon"/>
    <n v="19"/>
    <n v="1200"/>
    <n v="170"/>
    <x v="4"/>
    <s v="rock"/>
    <n v="105"/>
    <n v="130"/>
    <n v="120"/>
    <n v="45"/>
    <n v="45"/>
    <n v="40"/>
    <n v="485"/>
    <n v="80.833333333333329"/>
    <n v="63.157894736842103"/>
    <n v="2"/>
    <s v="Medium"/>
    <n v="175"/>
    <n v="165"/>
  </r>
  <r>
    <n v="115"/>
    <s v="Kangaskhan"/>
    <n v="22"/>
    <n v="800"/>
    <n v="172"/>
    <x v="0"/>
    <s v="None"/>
    <n v="105"/>
    <n v="95"/>
    <n v="80"/>
    <n v="40"/>
    <n v="80"/>
    <n v="90"/>
    <n v="490"/>
    <n v="81.666666666666671"/>
    <n v="36.363636363636367"/>
    <n v="1"/>
    <s v="Medium"/>
    <n v="135"/>
    <n v="160"/>
  </r>
  <r>
    <n v="89"/>
    <s v="Muk"/>
    <n v="12"/>
    <n v="300"/>
    <n v="175"/>
    <x v="5"/>
    <s v="None"/>
    <n v="105"/>
    <n v="105"/>
    <n v="75"/>
    <n v="65"/>
    <n v="100"/>
    <n v="50"/>
    <n v="500"/>
    <n v="83.333333333333329"/>
    <n v="25"/>
    <n v="1"/>
    <s v="Medium"/>
    <n v="170"/>
    <n v="175"/>
  </r>
  <r>
    <n v="206"/>
    <s v="Dunsparce"/>
    <n v="15"/>
    <n v="140"/>
    <n v="145"/>
    <x v="0"/>
    <s v="None"/>
    <n v="100"/>
    <n v="70"/>
    <n v="70"/>
    <n v="65"/>
    <n v="65"/>
    <n v="45"/>
    <n v="415"/>
    <n v="69.166666666666671"/>
    <n v="9.3333333333333339"/>
    <n v="1"/>
    <s v="Medium"/>
    <n v="135"/>
    <n v="135"/>
  </r>
  <r>
    <n v="184"/>
    <s v="Azumarill"/>
    <n v="8"/>
    <n v="285"/>
    <n v="189"/>
    <x v="2"/>
    <s v="fairy"/>
    <n v="100"/>
    <n v="50"/>
    <n v="80"/>
    <n v="60"/>
    <n v="80"/>
    <n v="50"/>
    <n v="420"/>
    <n v="70"/>
    <n v="35.625"/>
    <n v="2"/>
    <s v="Medium"/>
    <n v="110"/>
    <n v="160"/>
  </r>
  <r>
    <n v="221"/>
    <s v="Piloswine"/>
    <n v="11"/>
    <n v="558"/>
    <n v="158"/>
    <x v="6"/>
    <s v="ground"/>
    <n v="100"/>
    <n v="100"/>
    <n v="80"/>
    <n v="60"/>
    <n v="60"/>
    <n v="50"/>
    <n v="450"/>
    <n v="75"/>
    <n v="50.727272727272727"/>
    <n v="2"/>
    <s v="Medium"/>
    <n v="160"/>
    <n v="140"/>
  </r>
  <r>
    <n v="164"/>
    <s v="Noctowl"/>
    <n v="16"/>
    <n v="408"/>
    <n v="158"/>
    <x v="0"/>
    <s v="flying"/>
    <n v="100"/>
    <n v="50"/>
    <n v="50"/>
    <n v="86"/>
    <n v="96"/>
    <n v="70"/>
    <n v="452"/>
    <n v="75.333333333333329"/>
    <n v="25.5"/>
    <n v="2"/>
    <s v="Medium"/>
    <n v="136"/>
    <n v="146"/>
  </r>
  <r>
    <n v="245"/>
    <s v="Suicune"/>
    <n v="20"/>
    <n v="1870"/>
    <n v="261"/>
    <x v="2"/>
    <s v="None"/>
    <n v="100"/>
    <n v="75"/>
    <n v="115"/>
    <n v="90"/>
    <n v="115"/>
    <n v="85"/>
    <n v="580"/>
    <n v="96.666666666666671"/>
    <n v="93.5"/>
    <n v="1"/>
    <s v="Legendary"/>
    <n v="165"/>
    <n v="230"/>
  </r>
  <r>
    <n v="151"/>
    <s v="Mew"/>
    <n v="4"/>
    <n v="40"/>
    <n v="270"/>
    <x v="1"/>
    <s v="None"/>
    <n v="100"/>
    <n v="100"/>
    <n v="100"/>
    <n v="100"/>
    <n v="100"/>
    <n v="100"/>
    <n v="600"/>
    <n v="100"/>
    <n v="10"/>
    <n v="1"/>
    <s v="Legendary"/>
    <n v="200"/>
    <n v="200"/>
  </r>
  <r>
    <n v="248"/>
    <s v="Tyranitar"/>
    <n v="20"/>
    <n v="2020"/>
    <n v="270"/>
    <x v="7"/>
    <s v="dark"/>
    <n v="100"/>
    <n v="134"/>
    <n v="110"/>
    <n v="95"/>
    <n v="100"/>
    <n v="61"/>
    <n v="600"/>
    <n v="100"/>
    <n v="101"/>
    <n v="2"/>
    <s v="Legendary"/>
    <n v="229"/>
    <n v="210"/>
  </r>
  <r>
    <n v="195"/>
    <s v="Quagsire"/>
    <n v="14"/>
    <n v="750"/>
    <n v="151"/>
    <x v="2"/>
    <s v="ground"/>
    <n v="95"/>
    <n v="85"/>
    <n v="85"/>
    <n v="65"/>
    <n v="65"/>
    <n v="35"/>
    <n v="430"/>
    <n v="71.666666666666671"/>
    <n v="53.571428571428569"/>
    <n v="2"/>
    <s v="Medium"/>
    <n v="150"/>
    <n v="150"/>
  </r>
  <r>
    <n v="36"/>
    <s v="Clefable"/>
    <n v="13"/>
    <n v="400"/>
    <n v="217"/>
    <x v="8"/>
    <s v="None"/>
    <n v="95"/>
    <n v="70"/>
    <n v="73"/>
    <n v="95"/>
    <n v="90"/>
    <n v="60"/>
    <n v="483"/>
    <n v="80.5"/>
    <n v="30.76923076923077"/>
    <n v="1"/>
    <s v="HIGH"/>
    <n v="165"/>
    <n v="163"/>
  </r>
  <r>
    <n v="80"/>
    <s v="Slowbro"/>
    <n v="16"/>
    <n v="785"/>
    <n v="172"/>
    <x v="2"/>
    <s v="psychic"/>
    <n v="95"/>
    <n v="75"/>
    <n v="110"/>
    <n v="100"/>
    <n v="80"/>
    <n v="30"/>
    <n v="490"/>
    <n v="81.666666666666671"/>
    <n v="49.0625"/>
    <n v="2"/>
    <s v="Medium"/>
    <n v="175"/>
    <n v="190"/>
  </r>
  <r>
    <n v="199"/>
    <s v="Slowking"/>
    <n v="20"/>
    <n v="795"/>
    <n v="172"/>
    <x v="2"/>
    <s v="psychic"/>
    <n v="95"/>
    <n v="75"/>
    <n v="80"/>
    <n v="100"/>
    <n v="110"/>
    <n v="30"/>
    <n v="490"/>
    <n v="81.666666666666671"/>
    <n v="39.75"/>
    <n v="2"/>
    <s v="Medium"/>
    <n v="175"/>
    <n v="190"/>
  </r>
  <r>
    <n v="241"/>
    <s v="Miltank"/>
    <n v="12"/>
    <n v="755"/>
    <n v="172"/>
    <x v="0"/>
    <s v="None"/>
    <n v="95"/>
    <n v="80"/>
    <n v="105"/>
    <n v="40"/>
    <n v="70"/>
    <n v="100"/>
    <n v="490"/>
    <n v="81.666666666666671"/>
    <n v="62.916666666666664"/>
    <n v="1"/>
    <s v="Medium"/>
    <n v="120"/>
    <n v="175"/>
  </r>
  <r>
    <n v="197"/>
    <s v="Umbreon"/>
    <n v="10"/>
    <n v="270"/>
    <n v="184"/>
    <x v="9"/>
    <s v="None"/>
    <n v="95"/>
    <n v="65"/>
    <n v="110"/>
    <n v="60"/>
    <n v="130"/>
    <n v="65"/>
    <n v="525"/>
    <n v="87.5"/>
    <n v="27"/>
    <n v="1"/>
    <s v="Medium"/>
    <n v="125"/>
    <n v="240"/>
  </r>
  <r>
    <n v="103"/>
    <s v="Exeggutor"/>
    <n v="20"/>
    <n v="1200"/>
    <n v="186"/>
    <x v="10"/>
    <s v="psychic"/>
    <n v="95"/>
    <n v="95"/>
    <n v="85"/>
    <n v="125"/>
    <n v="75"/>
    <n v="55"/>
    <n v="530"/>
    <n v="88.333333333333329"/>
    <n v="60"/>
    <n v="2"/>
    <s v="Medium"/>
    <n v="220"/>
    <n v="160"/>
  </r>
  <r>
    <n v="130"/>
    <s v="Gyarados"/>
    <n v="65"/>
    <n v="2350"/>
    <n v="189"/>
    <x v="2"/>
    <s v="flying"/>
    <n v="95"/>
    <n v="125"/>
    <n v="79"/>
    <n v="60"/>
    <n v="100"/>
    <n v="81"/>
    <n v="540"/>
    <n v="90"/>
    <n v="36.153846153846153"/>
    <n v="2"/>
    <s v="Medium"/>
    <n v="185"/>
    <n v="179"/>
  </r>
  <r>
    <n v="149"/>
    <s v="Dragonite"/>
    <n v="22"/>
    <n v="2100"/>
    <n v="270"/>
    <x v="11"/>
    <s v="flying"/>
    <n v="91"/>
    <n v="134"/>
    <n v="95"/>
    <n v="100"/>
    <n v="100"/>
    <n v="80"/>
    <n v="600"/>
    <n v="100"/>
    <n v="95.454545454545453"/>
    <n v="2"/>
    <s v="Legendary"/>
    <n v="234"/>
    <n v="195"/>
  </r>
  <r>
    <n v="174"/>
    <s v="Igglybuff"/>
    <n v="3"/>
    <n v="10"/>
    <n v="42"/>
    <x v="0"/>
    <s v="fairy"/>
    <n v="90"/>
    <n v="30"/>
    <n v="15"/>
    <n v="40"/>
    <n v="20"/>
    <n v="15"/>
    <n v="210"/>
    <n v="35"/>
    <n v="3.3333333333333335"/>
    <n v="2"/>
    <s v="Low"/>
    <n v="70"/>
    <n v="35"/>
  </r>
  <r>
    <n v="79"/>
    <s v="Slowpoke"/>
    <n v="12"/>
    <n v="360"/>
    <n v="63"/>
    <x v="2"/>
    <s v="psychic"/>
    <n v="90"/>
    <n v="65"/>
    <n v="65"/>
    <n v="40"/>
    <n v="40"/>
    <n v="15"/>
    <n v="315"/>
    <n v="52.5"/>
    <n v="30"/>
    <n v="2"/>
    <s v="Low"/>
    <n v="105"/>
    <n v="105"/>
  </r>
  <r>
    <n v="231"/>
    <s v="Phanpy"/>
    <n v="5"/>
    <n v="335"/>
    <n v="66"/>
    <x v="4"/>
    <s v="None"/>
    <n v="90"/>
    <n v="60"/>
    <n v="60"/>
    <n v="40"/>
    <n v="40"/>
    <n v="40"/>
    <n v="330"/>
    <n v="55"/>
    <n v="67"/>
    <n v="1"/>
    <s v="Low"/>
    <n v="100"/>
    <n v="100"/>
  </r>
  <r>
    <n v="108"/>
    <s v="Lickitung"/>
    <n v="12"/>
    <n v="655"/>
    <n v="77"/>
    <x v="0"/>
    <s v="None"/>
    <n v="90"/>
    <n v="55"/>
    <n v="75"/>
    <n v="60"/>
    <n v="75"/>
    <n v="30"/>
    <n v="385"/>
    <n v="64.166666666666671"/>
    <n v="54.583333333333336"/>
    <n v="1"/>
    <s v="Low"/>
    <n v="115"/>
    <n v="150"/>
  </r>
  <r>
    <n v="210"/>
    <s v="Granbull"/>
    <n v="14"/>
    <n v="487"/>
    <n v="158"/>
    <x v="8"/>
    <s v="None"/>
    <n v="90"/>
    <n v="120"/>
    <n v="75"/>
    <n v="60"/>
    <n v="60"/>
    <n v="45"/>
    <n v="450"/>
    <n v="75"/>
    <n v="34.785714285714285"/>
    <n v="1"/>
    <s v="Medium"/>
    <n v="180"/>
    <n v="135"/>
  </r>
  <r>
    <n v="87"/>
    <s v="Dewgong"/>
    <n v="17"/>
    <n v="1200"/>
    <n v="166"/>
    <x v="2"/>
    <s v="ice"/>
    <n v="90"/>
    <n v="70"/>
    <n v="80"/>
    <n v="70"/>
    <n v="95"/>
    <n v="70"/>
    <n v="475"/>
    <n v="79.166666666666671"/>
    <n v="70.588235294117652"/>
    <n v="2"/>
    <s v="Medium"/>
    <n v="140"/>
    <n v="175"/>
  </r>
  <r>
    <n v="186"/>
    <s v="Politoed"/>
    <n v="11"/>
    <n v="339"/>
    <n v="225"/>
    <x v="2"/>
    <s v="None"/>
    <n v="90"/>
    <n v="75"/>
    <n v="75"/>
    <n v="90"/>
    <n v="100"/>
    <n v="70"/>
    <n v="500"/>
    <n v="83.333333333333329"/>
    <n v="30.818181818181817"/>
    <n v="1"/>
    <s v="HIGH"/>
    <n v="165"/>
    <n v="175"/>
  </r>
  <r>
    <n v="217"/>
    <s v="Ursaring"/>
    <n v="18"/>
    <n v="1258"/>
    <n v="175"/>
    <x v="0"/>
    <s v="None"/>
    <n v="90"/>
    <n v="130"/>
    <n v="75"/>
    <n v="75"/>
    <n v="75"/>
    <n v="55"/>
    <n v="500"/>
    <n v="83.333333333333329"/>
    <n v="69.888888888888886"/>
    <n v="1"/>
    <s v="Medium"/>
    <n v="205"/>
    <n v="150"/>
  </r>
  <r>
    <n v="232"/>
    <s v="Donphan"/>
    <n v="11"/>
    <n v="1200"/>
    <n v="175"/>
    <x v="4"/>
    <s v="None"/>
    <n v="90"/>
    <n v="120"/>
    <n v="120"/>
    <n v="60"/>
    <n v="60"/>
    <n v="50"/>
    <n v="500"/>
    <n v="83.333333333333329"/>
    <n v="109.09090909090909"/>
    <n v="1"/>
    <s v="Medium"/>
    <n v="180"/>
    <n v="180"/>
  </r>
  <r>
    <n v="31"/>
    <s v="Nidoqueen"/>
    <n v="13"/>
    <n v="600"/>
    <n v="227"/>
    <x v="5"/>
    <s v="ground"/>
    <n v="90"/>
    <n v="92"/>
    <n v="87"/>
    <n v="75"/>
    <n v="85"/>
    <n v="76"/>
    <n v="505"/>
    <n v="84.166666666666671"/>
    <n v="46.153846153846153"/>
    <n v="2"/>
    <s v="HIGH"/>
    <n v="167"/>
    <n v="172"/>
  </r>
  <r>
    <n v="68"/>
    <s v="Machamp"/>
    <n v="16"/>
    <n v="1300"/>
    <n v="227"/>
    <x v="12"/>
    <s v="None"/>
    <n v="90"/>
    <n v="130"/>
    <n v="80"/>
    <n v="65"/>
    <n v="85"/>
    <n v="55"/>
    <n v="505"/>
    <n v="84.166666666666671"/>
    <n v="81.25"/>
    <n v="1"/>
    <s v="HIGH"/>
    <n v="195"/>
    <n v="165"/>
  </r>
  <r>
    <n v="62"/>
    <s v="Poliwrath"/>
    <n v="13"/>
    <n v="540"/>
    <n v="230"/>
    <x v="2"/>
    <s v="fighting"/>
    <n v="90"/>
    <n v="95"/>
    <n v="95"/>
    <n v="70"/>
    <n v="90"/>
    <n v="70"/>
    <n v="510"/>
    <n v="85"/>
    <n v="41.53846153846154"/>
    <n v="2"/>
    <s v="HIGH"/>
    <n v="165"/>
    <n v="185"/>
  </r>
  <r>
    <n v="181"/>
    <s v="Ampharos"/>
    <n v="14"/>
    <n v="615"/>
    <n v="230"/>
    <x v="13"/>
    <s v="None"/>
    <n v="90"/>
    <n v="75"/>
    <n v="85"/>
    <n v="115"/>
    <n v="90"/>
    <n v="55"/>
    <n v="510"/>
    <n v="85"/>
    <n v="43.928571428571431"/>
    <n v="1"/>
    <s v="HIGH"/>
    <n v="190"/>
    <n v="175"/>
  </r>
  <r>
    <n v="59"/>
    <s v="Arcanine"/>
    <n v="19"/>
    <n v="1550"/>
    <n v="194"/>
    <x v="3"/>
    <s v="None"/>
    <n v="90"/>
    <n v="110"/>
    <n v="80"/>
    <n v="100"/>
    <n v="80"/>
    <n v="95"/>
    <n v="555"/>
    <n v="92.5"/>
    <n v="81.578947368421055"/>
    <n v="1"/>
    <s v="Medium"/>
    <n v="210"/>
    <n v="160"/>
  </r>
  <r>
    <n v="144"/>
    <s v="Articuno"/>
    <n v="17"/>
    <n v="554"/>
    <n v="261"/>
    <x v="6"/>
    <s v="flying"/>
    <n v="90"/>
    <n v="85"/>
    <n v="100"/>
    <n v="95"/>
    <n v="125"/>
    <n v="85"/>
    <n v="580"/>
    <n v="96.666666666666671"/>
    <n v="32.588235294117645"/>
    <n v="2"/>
    <s v="Legendary"/>
    <n v="180"/>
    <n v="225"/>
  </r>
  <r>
    <n v="145"/>
    <s v="Zapdos"/>
    <n v="16"/>
    <n v="526"/>
    <n v="261"/>
    <x v="13"/>
    <s v="flying"/>
    <n v="90"/>
    <n v="90"/>
    <n v="85"/>
    <n v="125"/>
    <n v="90"/>
    <n v="100"/>
    <n v="580"/>
    <n v="96.666666666666671"/>
    <n v="32.875"/>
    <n v="2"/>
    <s v="Legendary"/>
    <n v="215"/>
    <n v="175"/>
  </r>
  <r>
    <n v="146"/>
    <s v="Moltres"/>
    <n v="20"/>
    <n v="600"/>
    <n v="261"/>
    <x v="3"/>
    <s v="flying"/>
    <n v="90"/>
    <n v="100"/>
    <n v="90"/>
    <n v="125"/>
    <n v="85"/>
    <n v="90"/>
    <n v="580"/>
    <n v="96.666666666666671"/>
    <n v="30"/>
    <n v="2"/>
    <s v="Legendary"/>
    <n v="225"/>
    <n v="175"/>
  </r>
  <r>
    <n v="243"/>
    <s v="Raikou"/>
    <n v="19"/>
    <n v="1780"/>
    <n v="261"/>
    <x v="13"/>
    <s v="None"/>
    <n v="90"/>
    <n v="85"/>
    <n v="75"/>
    <n v="115"/>
    <n v="100"/>
    <n v="115"/>
    <n v="580"/>
    <n v="96.666666666666671"/>
    <n v="93.684210526315795"/>
    <n v="1"/>
    <s v="Legendary"/>
    <n v="200"/>
    <n v="175"/>
  </r>
  <r>
    <n v="162"/>
    <s v="Furret"/>
    <n v="18"/>
    <n v="325"/>
    <n v="145"/>
    <x v="0"/>
    <s v="None"/>
    <n v="85"/>
    <n v="76"/>
    <n v="64"/>
    <n v="45"/>
    <n v="55"/>
    <n v="90"/>
    <n v="415"/>
    <n v="69.166666666666671"/>
    <n v="18.055555555555557"/>
    <n v="1"/>
    <s v="Medium"/>
    <n v="121"/>
    <n v="119"/>
  </r>
  <r>
    <n v="97"/>
    <s v="Hypno"/>
    <n v="16"/>
    <n v="756"/>
    <n v="169"/>
    <x v="1"/>
    <s v="None"/>
    <n v="85"/>
    <n v="73"/>
    <n v="70"/>
    <n v="73"/>
    <n v="115"/>
    <n v="67"/>
    <n v="483"/>
    <n v="80.5"/>
    <n v="47.25"/>
    <n v="1"/>
    <s v="Medium"/>
    <n v="146"/>
    <n v="185"/>
  </r>
  <r>
    <n v="226"/>
    <s v="Mantine"/>
    <n v="21"/>
    <n v="2200"/>
    <n v="170"/>
    <x v="2"/>
    <s v="flying"/>
    <n v="85"/>
    <n v="40"/>
    <n v="70"/>
    <n v="80"/>
    <n v="140"/>
    <n v="70"/>
    <n v="485"/>
    <n v="80.833333333333329"/>
    <n v="104.76190476190476"/>
    <n v="2"/>
    <s v="Medium"/>
    <n v="120"/>
    <n v="210"/>
  </r>
  <r>
    <n v="233"/>
    <s v="Porygon2"/>
    <n v="6"/>
    <n v="325"/>
    <n v="180"/>
    <x v="0"/>
    <s v="None"/>
    <n v="85"/>
    <n v="80"/>
    <n v="90"/>
    <n v="105"/>
    <n v="95"/>
    <n v="60"/>
    <n v="515"/>
    <n v="85.833333333333329"/>
    <n v="54.166666666666664"/>
    <n v="1"/>
    <s v="Medium"/>
    <n v="185"/>
    <n v="185"/>
  </r>
  <r>
    <n v="160"/>
    <s v="Feraligatr"/>
    <n v="23"/>
    <n v="888"/>
    <n v="239"/>
    <x v="2"/>
    <s v="None"/>
    <n v="85"/>
    <n v="105"/>
    <n v="100"/>
    <n v="79"/>
    <n v="83"/>
    <n v="78"/>
    <n v="530"/>
    <n v="88.333333333333329"/>
    <n v="38.608695652173914"/>
    <n v="1"/>
    <s v="HIGH"/>
    <n v="184"/>
    <n v="183"/>
  </r>
  <r>
    <n v="169"/>
    <s v="Crobat"/>
    <n v="18"/>
    <n v="750"/>
    <n v="241"/>
    <x v="5"/>
    <s v="flying"/>
    <n v="85"/>
    <n v="90"/>
    <n v="80"/>
    <n v="70"/>
    <n v="80"/>
    <n v="130"/>
    <n v="535"/>
    <n v="89.166666666666671"/>
    <n v="41.666666666666664"/>
    <n v="2"/>
    <s v="HIGH"/>
    <n v="160"/>
    <n v="160"/>
  </r>
  <r>
    <n v="18"/>
    <s v="Pidgeot"/>
    <n v="15"/>
    <n v="395"/>
    <n v="216"/>
    <x v="0"/>
    <s v="flying"/>
    <n v="83"/>
    <n v="80"/>
    <n v="75"/>
    <n v="70"/>
    <n v="70"/>
    <n v="101"/>
    <n v="479"/>
    <n v="79.833333333333329"/>
    <n v="26.333333333333332"/>
    <n v="2"/>
    <s v="HIGH"/>
    <n v="150"/>
    <n v="145"/>
  </r>
  <r>
    <n v="34"/>
    <s v="Nidoking"/>
    <n v="14"/>
    <n v="620"/>
    <n v="227"/>
    <x v="5"/>
    <s v="ground"/>
    <n v="81"/>
    <n v="102"/>
    <n v="77"/>
    <n v="85"/>
    <n v="75"/>
    <n v="85"/>
    <n v="505"/>
    <n v="84.166666666666671"/>
    <n v="44.285714285714285"/>
    <n v="2"/>
    <s v="HIGH"/>
    <n v="187"/>
    <n v="152"/>
  </r>
  <r>
    <n v="88"/>
    <s v="Grimer"/>
    <n v="9"/>
    <n v="300"/>
    <n v="65"/>
    <x v="5"/>
    <s v="None"/>
    <n v="80"/>
    <n v="80"/>
    <n v="50"/>
    <n v="40"/>
    <n v="50"/>
    <n v="25"/>
    <n v="325"/>
    <n v="54.166666666666664"/>
    <n v="33.333333333333336"/>
    <n v="1"/>
    <s v="Low"/>
    <n v="120"/>
    <n v="100"/>
  </r>
  <r>
    <n v="111"/>
    <s v="Rhyhorn"/>
    <n v="10"/>
    <n v="1150"/>
    <n v="69"/>
    <x v="4"/>
    <s v="rock"/>
    <n v="80"/>
    <n v="85"/>
    <n v="95"/>
    <n v="30"/>
    <n v="30"/>
    <n v="25"/>
    <n v="345"/>
    <n v="57.5"/>
    <n v="115"/>
    <n v="2"/>
    <s v="Low"/>
    <n v="115"/>
    <n v="125"/>
  </r>
  <r>
    <n v="67"/>
    <s v="Machoke"/>
    <n v="15"/>
    <n v="705"/>
    <n v="142"/>
    <x v="12"/>
    <s v="None"/>
    <n v="80"/>
    <n v="100"/>
    <n v="70"/>
    <n v="50"/>
    <n v="60"/>
    <n v="45"/>
    <n v="405"/>
    <n v="67.5"/>
    <n v="47"/>
    <n v="1"/>
    <s v="Medium"/>
    <n v="150"/>
    <n v="130"/>
  </r>
  <r>
    <n v="119"/>
    <s v="Seaking"/>
    <n v="13"/>
    <n v="390"/>
    <n v="158"/>
    <x v="2"/>
    <s v="None"/>
    <n v="80"/>
    <n v="92"/>
    <n v="65"/>
    <n v="65"/>
    <n v="80"/>
    <n v="68"/>
    <n v="450"/>
    <n v="75"/>
    <n v="30"/>
    <n v="1"/>
    <s v="Medium"/>
    <n v="157"/>
    <n v="145"/>
  </r>
  <r>
    <n v="71"/>
    <s v="Victreebel"/>
    <n v="17"/>
    <n v="155"/>
    <n v="221"/>
    <x v="10"/>
    <s v="poison"/>
    <n v="80"/>
    <n v="105"/>
    <n v="65"/>
    <n v="100"/>
    <n v="70"/>
    <n v="70"/>
    <n v="490"/>
    <n v="81.666666666666671"/>
    <n v="9.117647058823529"/>
    <n v="2"/>
    <s v="HIGH"/>
    <n v="205"/>
    <n v="135"/>
  </r>
  <r>
    <n v="76"/>
    <s v="Golem"/>
    <n v="14"/>
    <n v="3000"/>
    <n v="223"/>
    <x v="7"/>
    <s v="ground"/>
    <n v="80"/>
    <n v="120"/>
    <n v="130"/>
    <n v="55"/>
    <n v="65"/>
    <n v="45"/>
    <n v="495"/>
    <n v="82.5"/>
    <n v="214.28571428571428"/>
    <n v="2"/>
    <s v="HIGH"/>
    <n v="175"/>
    <n v="195"/>
  </r>
  <r>
    <n v="55"/>
    <s v="Golduck"/>
    <n v="17"/>
    <n v="766"/>
    <n v="175"/>
    <x v="2"/>
    <s v="None"/>
    <n v="80"/>
    <n v="82"/>
    <n v="78"/>
    <n v="95"/>
    <n v="80"/>
    <n v="85"/>
    <n v="500"/>
    <n v="83.333333333333329"/>
    <n v="45.058823529411768"/>
    <n v="1"/>
    <s v="Medium"/>
    <n v="177"/>
    <n v="158"/>
  </r>
  <r>
    <n v="214"/>
    <s v="Heracross"/>
    <n v="15"/>
    <n v="540"/>
    <n v="175"/>
    <x v="14"/>
    <s v="fighting"/>
    <n v="80"/>
    <n v="125"/>
    <n v="75"/>
    <n v="40"/>
    <n v="95"/>
    <n v="85"/>
    <n v="500"/>
    <n v="83.333333333333329"/>
    <n v="36"/>
    <n v="2"/>
    <s v="Medium"/>
    <n v="165"/>
    <n v="170"/>
  </r>
  <r>
    <n v="73"/>
    <s v="Tentacruel"/>
    <n v="16"/>
    <n v="550"/>
    <n v="180"/>
    <x v="2"/>
    <s v="poison"/>
    <n v="80"/>
    <n v="70"/>
    <n v="65"/>
    <n v="80"/>
    <n v="120"/>
    <n v="100"/>
    <n v="515"/>
    <n v="85.833333333333329"/>
    <n v="34.375"/>
    <n v="2"/>
    <s v="Medium"/>
    <n v="150"/>
    <n v="185"/>
  </r>
  <r>
    <n v="142"/>
    <s v="Aerodactyl"/>
    <n v="18"/>
    <n v="590"/>
    <n v="180"/>
    <x v="7"/>
    <s v="flying"/>
    <n v="80"/>
    <n v="105"/>
    <n v="65"/>
    <n v="60"/>
    <n v="75"/>
    <n v="130"/>
    <n v="515"/>
    <n v="85.833333333333329"/>
    <n v="32.777777777777779"/>
    <n v="2"/>
    <s v="Medium"/>
    <n v="165"/>
    <n v="140"/>
  </r>
  <r>
    <n v="3"/>
    <s v="Venusaur"/>
    <n v="20"/>
    <n v="1000"/>
    <n v="236"/>
    <x v="10"/>
    <s v="poison"/>
    <n v="80"/>
    <n v="82"/>
    <n v="83"/>
    <n v="100"/>
    <n v="100"/>
    <n v="80"/>
    <n v="525"/>
    <n v="87.5"/>
    <n v="50"/>
    <n v="2"/>
    <s v="HIGH"/>
    <n v="182"/>
    <n v="183"/>
  </r>
  <r>
    <n v="154"/>
    <s v="Meganium"/>
    <n v="18"/>
    <n v="1005"/>
    <n v="236"/>
    <x v="10"/>
    <s v="None"/>
    <n v="80"/>
    <n v="82"/>
    <n v="100"/>
    <n v="83"/>
    <n v="100"/>
    <n v="80"/>
    <n v="525"/>
    <n v="87.5"/>
    <n v="55.833333333333336"/>
    <n v="1"/>
    <s v="HIGH"/>
    <n v="165"/>
    <n v="200"/>
  </r>
  <r>
    <n v="9"/>
    <s v="Blastoise"/>
    <n v="16"/>
    <n v="855"/>
    <n v="239"/>
    <x v="2"/>
    <s v="None"/>
    <n v="79"/>
    <n v="83"/>
    <n v="100"/>
    <n v="85"/>
    <n v="105"/>
    <n v="78"/>
    <n v="530"/>
    <n v="88.333333333333329"/>
    <n v="53.4375"/>
    <n v="1"/>
    <s v="HIGH"/>
    <n v="168"/>
    <n v="205"/>
  </r>
  <r>
    <n v="6"/>
    <s v="Charizard"/>
    <n v="17"/>
    <n v="905"/>
    <n v="240"/>
    <x v="3"/>
    <s v="flying"/>
    <n v="78"/>
    <n v="84"/>
    <n v="78"/>
    <n v="109"/>
    <n v="85"/>
    <n v="100"/>
    <n v="534"/>
    <n v="89"/>
    <n v="53.235294117647058"/>
    <n v="2"/>
    <s v="HIGH"/>
    <n v="193"/>
    <n v="163"/>
  </r>
  <r>
    <n v="157"/>
    <s v="Typhlosion"/>
    <n v="17"/>
    <n v="795"/>
    <n v="240"/>
    <x v="3"/>
    <s v="None"/>
    <n v="78"/>
    <n v="84"/>
    <n v="78"/>
    <n v="109"/>
    <n v="85"/>
    <n v="100"/>
    <n v="534"/>
    <n v="89"/>
    <n v="46.764705882352942"/>
    <n v="1"/>
    <s v="HIGH"/>
    <n v="193"/>
    <n v="163"/>
  </r>
  <r>
    <n v="170"/>
    <s v="Chinchou"/>
    <n v="5"/>
    <n v="120"/>
    <n v="66"/>
    <x v="2"/>
    <s v="electric"/>
    <n v="75"/>
    <n v="38"/>
    <n v="38"/>
    <n v="56"/>
    <n v="56"/>
    <n v="67"/>
    <n v="330"/>
    <n v="55"/>
    <n v="24"/>
    <n v="2"/>
    <s v="Low"/>
    <n v="94"/>
    <n v="94"/>
  </r>
  <r>
    <n v="192"/>
    <s v="Sunflora"/>
    <n v="8"/>
    <n v="85"/>
    <n v="149"/>
    <x v="10"/>
    <s v="None"/>
    <n v="75"/>
    <n v="75"/>
    <n v="55"/>
    <n v="105"/>
    <n v="85"/>
    <n v="30"/>
    <n v="425"/>
    <n v="70.833333333333329"/>
    <n v="10.625"/>
    <n v="1"/>
    <s v="Medium"/>
    <n v="180"/>
    <n v="140"/>
  </r>
  <r>
    <n v="28"/>
    <s v="Sandslash"/>
    <n v="10"/>
    <n v="295"/>
    <n v="158"/>
    <x v="4"/>
    <s v="None"/>
    <n v="75"/>
    <n v="100"/>
    <n v="110"/>
    <n v="45"/>
    <n v="55"/>
    <n v="65"/>
    <n v="450"/>
    <n v="75"/>
    <n v="29.5"/>
    <n v="1"/>
    <s v="Medium"/>
    <n v="145"/>
    <n v="165"/>
  </r>
  <r>
    <n v="42"/>
    <s v="Golbat"/>
    <n v="16"/>
    <n v="550"/>
    <n v="159"/>
    <x v="5"/>
    <s v="flying"/>
    <n v="75"/>
    <n v="80"/>
    <n v="70"/>
    <n v="65"/>
    <n v="75"/>
    <n v="90"/>
    <n v="455"/>
    <n v="75.833333333333329"/>
    <n v="34.375"/>
    <n v="2"/>
    <s v="Medium"/>
    <n v="145"/>
    <n v="145"/>
  </r>
  <r>
    <n v="189"/>
    <s v="Jumpluff"/>
    <n v="8"/>
    <n v="30"/>
    <n v="207"/>
    <x v="10"/>
    <s v="flying"/>
    <n v="75"/>
    <n v="55"/>
    <n v="70"/>
    <n v="55"/>
    <n v="95"/>
    <n v="110"/>
    <n v="460"/>
    <n v="76.666666666666671"/>
    <n v="3.75"/>
    <n v="2"/>
    <s v="HIGH"/>
    <n v="110"/>
    <n v="165"/>
  </r>
  <r>
    <n v="205"/>
    <s v="Forretress"/>
    <n v="12"/>
    <n v="1258"/>
    <n v="163"/>
    <x v="14"/>
    <s v="steel"/>
    <n v="75"/>
    <n v="90"/>
    <n v="140"/>
    <n v="60"/>
    <n v="60"/>
    <n v="40"/>
    <n v="465"/>
    <n v="77.5"/>
    <n v="104.83333333333333"/>
    <n v="2"/>
    <s v="Medium"/>
    <n v="150"/>
    <n v="200"/>
  </r>
  <r>
    <n v="224"/>
    <s v="Octillery"/>
    <n v="9"/>
    <n v="285"/>
    <n v="168"/>
    <x v="2"/>
    <s v="None"/>
    <n v="75"/>
    <n v="105"/>
    <n v="75"/>
    <n v="105"/>
    <n v="75"/>
    <n v="45"/>
    <n v="480"/>
    <n v="80"/>
    <n v="31.666666666666668"/>
    <n v="1"/>
    <s v="Medium"/>
    <n v="210"/>
    <n v="150"/>
  </r>
  <r>
    <n v="45"/>
    <s v="Vileplume"/>
    <n v="12"/>
    <n v="186"/>
    <n v="221"/>
    <x v="10"/>
    <s v="poison"/>
    <n v="75"/>
    <n v="80"/>
    <n v="85"/>
    <n v="110"/>
    <n v="90"/>
    <n v="50"/>
    <n v="490"/>
    <n v="81.666666666666671"/>
    <n v="15.5"/>
    <n v="2"/>
    <s v="HIGH"/>
    <n v="190"/>
    <n v="175"/>
  </r>
  <r>
    <n v="128"/>
    <s v="Tauros"/>
    <n v="14"/>
    <n v="884"/>
    <n v="172"/>
    <x v="0"/>
    <s v="None"/>
    <n v="75"/>
    <n v="100"/>
    <n v="95"/>
    <n v="40"/>
    <n v="70"/>
    <n v="110"/>
    <n v="490"/>
    <n v="81.666666666666671"/>
    <n v="63.142857142857146"/>
    <n v="1"/>
    <s v="Medium"/>
    <n v="140"/>
    <n v="165"/>
  </r>
  <r>
    <n v="182"/>
    <s v="Bellossom"/>
    <n v="4"/>
    <n v="58"/>
    <n v="221"/>
    <x v="10"/>
    <s v="None"/>
    <n v="75"/>
    <n v="80"/>
    <n v="95"/>
    <n v="90"/>
    <n v="100"/>
    <n v="50"/>
    <n v="490"/>
    <n v="81.666666666666671"/>
    <n v="14.5"/>
    <n v="1"/>
    <s v="HIGH"/>
    <n v="170"/>
    <n v="195"/>
  </r>
  <r>
    <n v="229"/>
    <s v="Houndoom"/>
    <n v="14"/>
    <n v="350"/>
    <n v="175"/>
    <x v="9"/>
    <s v="fire"/>
    <n v="75"/>
    <n v="90"/>
    <n v="50"/>
    <n v="110"/>
    <n v="80"/>
    <n v="95"/>
    <n v="500"/>
    <n v="83.333333333333329"/>
    <n v="25"/>
    <n v="2"/>
    <s v="Medium"/>
    <n v="200"/>
    <n v="130"/>
  </r>
  <r>
    <n v="208"/>
    <s v="Steelix"/>
    <n v="92"/>
    <n v="4000"/>
    <n v="179"/>
    <x v="15"/>
    <s v="ground"/>
    <n v="75"/>
    <n v="85"/>
    <n v="200"/>
    <n v="55"/>
    <n v="65"/>
    <n v="30"/>
    <n v="510"/>
    <n v="85"/>
    <n v="43.478260869565219"/>
    <n v="2"/>
    <s v="Medium"/>
    <n v="140"/>
    <n v="265"/>
  </r>
  <r>
    <n v="230"/>
    <s v="Kingdra"/>
    <n v="18"/>
    <n v="1520"/>
    <n v="243"/>
    <x v="2"/>
    <s v="dragon"/>
    <n v="75"/>
    <n v="95"/>
    <n v="95"/>
    <n v="95"/>
    <n v="95"/>
    <n v="85"/>
    <n v="540"/>
    <n v="90"/>
    <n v="84.444444444444443"/>
    <n v="2"/>
    <s v="HIGH"/>
    <n v="190"/>
    <n v="190"/>
  </r>
  <r>
    <n v="234"/>
    <s v="Stantler"/>
    <n v="14"/>
    <n v="712"/>
    <n v="163"/>
    <x v="0"/>
    <s v="None"/>
    <n v="73"/>
    <n v="95"/>
    <n v="62"/>
    <n v="85"/>
    <n v="65"/>
    <n v="85"/>
    <n v="465"/>
    <n v="77.5"/>
    <n v="50.857142857142854"/>
    <n v="1"/>
    <s v="Medium"/>
    <n v="180"/>
    <n v="127"/>
  </r>
  <r>
    <n v="38"/>
    <s v="Ninetales"/>
    <n v="11"/>
    <n v="199"/>
    <n v="177"/>
    <x v="3"/>
    <s v="None"/>
    <n v="73"/>
    <n v="76"/>
    <n v="75"/>
    <n v="81"/>
    <n v="100"/>
    <n v="100"/>
    <n v="505"/>
    <n v="84.166666666666671"/>
    <n v="18.09090909090909"/>
    <n v="1"/>
    <s v="Medium"/>
    <n v="157"/>
    <n v="175"/>
  </r>
  <r>
    <n v="183"/>
    <s v="Marill"/>
    <n v="4"/>
    <n v="85"/>
    <n v="88"/>
    <x v="2"/>
    <s v="fairy"/>
    <n v="70"/>
    <n v="20"/>
    <n v="50"/>
    <n v="20"/>
    <n v="50"/>
    <n v="40"/>
    <n v="250"/>
    <n v="41.666666666666664"/>
    <n v="21.25"/>
    <n v="2"/>
    <s v="Low"/>
    <n v="40"/>
    <n v="100"/>
  </r>
  <r>
    <n v="66"/>
    <s v="Machop"/>
    <n v="8"/>
    <n v="195"/>
    <n v="61"/>
    <x v="12"/>
    <s v="None"/>
    <n v="70"/>
    <n v="80"/>
    <n v="50"/>
    <n v="35"/>
    <n v="35"/>
    <n v="35"/>
    <n v="305"/>
    <n v="50.833333333333336"/>
    <n v="24.375"/>
    <n v="1"/>
    <s v="Low"/>
    <n v="115"/>
    <n v="85"/>
  </r>
  <r>
    <n v="35"/>
    <s v="Clefairy"/>
    <n v="6"/>
    <n v="75"/>
    <n v="113"/>
    <x v="8"/>
    <s v="None"/>
    <n v="70"/>
    <n v="45"/>
    <n v="48"/>
    <n v="60"/>
    <n v="65"/>
    <n v="35"/>
    <n v="323"/>
    <n v="53.833333333333336"/>
    <n v="12.5"/>
    <n v="1"/>
    <s v="Medium"/>
    <n v="105"/>
    <n v="113"/>
  </r>
  <r>
    <n v="30"/>
    <s v="Nidorina"/>
    <n v="8"/>
    <n v="200"/>
    <n v="128"/>
    <x v="5"/>
    <s v="None"/>
    <n v="70"/>
    <n v="62"/>
    <n v="67"/>
    <n v="55"/>
    <n v="55"/>
    <n v="56"/>
    <n v="365"/>
    <n v="60.833333333333336"/>
    <n v="25"/>
    <n v="1"/>
    <s v="Medium"/>
    <n v="117"/>
    <n v="122"/>
  </r>
  <r>
    <n v="180"/>
    <s v="Flaaffy"/>
    <n v="8"/>
    <n v="133"/>
    <n v="128"/>
    <x v="13"/>
    <s v="None"/>
    <n v="70"/>
    <n v="55"/>
    <n v="55"/>
    <n v="80"/>
    <n v="60"/>
    <n v="45"/>
    <n v="365"/>
    <n v="60.833333333333336"/>
    <n v="16.625"/>
    <n v="1"/>
    <s v="Medium"/>
    <n v="135"/>
    <n v="115"/>
  </r>
  <r>
    <n v="168"/>
    <s v="Ariados"/>
    <n v="11"/>
    <n v="335"/>
    <n v="140"/>
    <x v="14"/>
    <s v="poison"/>
    <n v="70"/>
    <n v="90"/>
    <n v="70"/>
    <n v="60"/>
    <n v="70"/>
    <n v="40"/>
    <n v="400"/>
    <n v="66.666666666666671"/>
    <n v="30.454545454545453"/>
    <n v="2"/>
    <s v="Medium"/>
    <n v="150"/>
    <n v="140"/>
  </r>
  <r>
    <n v="185"/>
    <s v="Sudowoodo"/>
    <n v="12"/>
    <n v="380"/>
    <n v="144"/>
    <x v="7"/>
    <s v="None"/>
    <n v="70"/>
    <n v="100"/>
    <n v="115"/>
    <n v="30"/>
    <n v="65"/>
    <n v="30"/>
    <n v="410"/>
    <n v="68.333333333333329"/>
    <n v="31.666666666666668"/>
    <n v="1"/>
    <s v="Medium"/>
    <n v="130"/>
    <n v="180"/>
  </r>
  <r>
    <n v="247"/>
    <s v="Pupitar"/>
    <n v="12"/>
    <n v="1520"/>
    <n v="144"/>
    <x v="7"/>
    <s v="ground"/>
    <n v="70"/>
    <n v="84"/>
    <n v="70"/>
    <n v="65"/>
    <n v="70"/>
    <n v="51"/>
    <n v="410"/>
    <n v="68.333333333333329"/>
    <n v="126.66666666666667"/>
    <n v="2"/>
    <s v="Medium"/>
    <n v="149"/>
    <n v="140"/>
  </r>
  <r>
    <n v="49"/>
    <s v="Venomoth"/>
    <n v="15"/>
    <n v="125"/>
    <n v="158"/>
    <x v="14"/>
    <s v="poison"/>
    <n v="70"/>
    <n v="65"/>
    <n v="60"/>
    <n v="90"/>
    <n v="75"/>
    <n v="90"/>
    <n v="450"/>
    <n v="75"/>
    <n v="8.3333333333333339"/>
    <n v="2"/>
    <s v="Medium"/>
    <n v="155"/>
    <n v="135"/>
  </r>
  <r>
    <n v="203"/>
    <s v="Girafarig"/>
    <n v="15"/>
    <n v="415"/>
    <n v="159"/>
    <x v="0"/>
    <s v="psychic"/>
    <n v="70"/>
    <n v="80"/>
    <n v="65"/>
    <n v="90"/>
    <n v="65"/>
    <n v="85"/>
    <n v="455"/>
    <n v="75.833333333333329"/>
    <n v="27.666666666666668"/>
    <n v="2"/>
    <s v="Medium"/>
    <n v="170"/>
    <n v="130"/>
  </r>
  <r>
    <n v="139"/>
    <s v="Omastar"/>
    <n v="10"/>
    <n v="350"/>
    <n v="173"/>
    <x v="7"/>
    <s v="water"/>
    <n v="70"/>
    <n v="60"/>
    <n v="125"/>
    <n v="115"/>
    <n v="70"/>
    <n v="55"/>
    <n v="495"/>
    <n v="82.5"/>
    <n v="35"/>
    <n v="2"/>
    <s v="Medium"/>
    <n v="175"/>
    <n v="195"/>
  </r>
  <r>
    <n v="123"/>
    <s v="Scyther"/>
    <n v="15"/>
    <n v="560"/>
    <n v="100"/>
    <x v="14"/>
    <s v="flying"/>
    <n v="70"/>
    <n v="110"/>
    <n v="80"/>
    <n v="55"/>
    <n v="80"/>
    <n v="105"/>
    <n v="500"/>
    <n v="83.333333333333329"/>
    <n v="37.333333333333336"/>
    <n v="2"/>
    <s v="Medium"/>
    <n v="165"/>
    <n v="160"/>
  </r>
  <r>
    <n v="212"/>
    <s v="Scizor"/>
    <n v="18"/>
    <n v="1180"/>
    <n v="175"/>
    <x v="14"/>
    <s v="steel"/>
    <n v="70"/>
    <n v="130"/>
    <n v="100"/>
    <n v="55"/>
    <n v="80"/>
    <n v="65"/>
    <n v="500"/>
    <n v="83.333333333333329"/>
    <n v="65.555555555555557"/>
    <n v="2"/>
    <s v="Medium"/>
    <n v="185"/>
    <n v="180"/>
  </r>
  <r>
    <n v="86"/>
    <s v="Seel"/>
    <n v="11"/>
    <n v="900"/>
    <n v="65"/>
    <x v="2"/>
    <s v="None"/>
    <n v="65"/>
    <n v="45"/>
    <n v="55"/>
    <n v="45"/>
    <n v="70"/>
    <n v="45"/>
    <n v="325"/>
    <n v="54.166666666666664"/>
    <n v="81.818181818181813"/>
    <n v="1"/>
    <s v="Low"/>
    <n v="90"/>
    <n v="125"/>
  </r>
  <r>
    <n v="61"/>
    <s v="Poliwhirl"/>
    <n v="10"/>
    <n v="200"/>
    <n v="135"/>
    <x v="2"/>
    <s v="None"/>
    <n v="65"/>
    <n v="65"/>
    <n v="65"/>
    <n v="50"/>
    <n v="50"/>
    <n v="90"/>
    <n v="385"/>
    <n v="64.166666666666671"/>
    <n v="20"/>
    <n v="1"/>
    <s v="Medium"/>
    <n v="115"/>
    <n v="115"/>
  </r>
  <r>
    <n v="70"/>
    <s v="Weepinbell"/>
    <n v="10"/>
    <n v="64"/>
    <n v="137"/>
    <x v="10"/>
    <s v="poison"/>
    <n v="65"/>
    <n v="90"/>
    <n v="50"/>
    <n v="85"/>
    <n v="45"/>
    <n v="55"/>
    <n v="390"/>
    <n v="65"/>
    <n v="6.4"/>
    <n v="2"/>
    <s v="Medium"/>
    <n v="175"/>
    <n v="95"/>
  </r>
  <r>
    <n v="193"/>
    <s v="Yanma"/>
    <n v="12"/>
    <n v="380"/>
    <n v="78"/>
    <x v="14"/>
    <s v="flying"/>
    <n v="65"/>
    <n v="65"/>
    <n v="45"/>
    <n v="75"/>
    <n v="45"/>
    <n v="95"/>
    <n v="390"/>
    <n v="65"/>
    <n v="31.666666666666668"/>
    <n v="2"/>
    <s v="Low"/>
    <n v="140"/>
    <n v="90"/>
  </r>
  <r>
    <n v="15"/>
    <s v="Beedrill"/>
    <n v="10"/>
    <n v="295"/>
    <n v="178"/>
    <x v="14"/>
    <s v="poison"/>
    <n v="65"/>
    <n v="90"/>
    <n v="40"/>
    <n v="45"/>
    <n v="80"/>
    <n v="75"/>
    <n v="395"/>
    <n v="65.833333333333329"/>
    <n v="29.5"/>
    <n v="2"/>
    <s v="Medium"/>
    <n v="135"/>
    <n v="120"/>
  </r>
  <r>
    <n v="137"/>
    <s v="Porygon"/>
    <n v="8"/>
    <n v="365"/>
    <n v="79"/>
    <x v="0"/>
    <s v="None"/>
    <n v="65"/>
    <n v="60"/>
    <n v="70"/>
    <n v="85"/>
    <n v="75"/>
    <n v="40"/>
    <n v="395"/>
    <n v="65.833333333333329"/>
    <n v="45.625"/>
    <n v="1"/>
    <s v="Low"/>
    <n v="145"/>
    <n v="145"/>
  </r>
  <r>
    <n v="159"/>
    <s v="Croconaw"/>
    <n v="11"/>
    <n v="250"/>
    <n v="142"/>
    <x v="2"/>
    <s v="None"/>
    <n v="65"/>
    <n v="80"/>
    <n v="80"/>
    <n v="59"/>
    <n v="63"/>
    <n v="58"/>
    <n v="405"/>
    <n v="67.5"/>
    <n v="22.727272727272727"/>
    <n v="1"/>
    <s v="Medium"/>
    <n v="139"/>
    <n v="143"/>
  </r>
  <r>
    <n v="222"/>
    <s v="Corsola"/>
    <n v="6"/>
    <n v="50"/>
    <n v="144"/>
    <x v="2"/>
    <s v="rock"/>
    <n v="65"/>
    <n v="55"/>
    <n v="95"/>
    <n v="65"/>
    <n v="95"/>
    <n v="35"/>
    <n v="410"/>
    <n v="68.333333333333329"/>
    <n v="8.3333333333333339"/>
    <n v="2"/>
    <s v="Medium"/>
    <n v="120"/>
    <n v="190"/>
  </r>
  <r>
    <n v="207"/>
    <s v="Gligar"/>
    <n v="11"/>
    <n v="648"/>
    <n v="86"/>
    <x v="4"/>
    <s v="flying"/>
    <n v="65"/>
    <n v="75"/>
    <n v="105"/>
    <n v="35"/>
    <n v="65"/>
    <n v="85"/>
    <n v="430"/>
    <n v="71.666666666666671"/>
    <n v="58.909090909090907"/>
    <n v="2"/>
    <s v="Low"/>
    <n v="110"/>
    <n v="170"/>
  </r>
  <r>
    <n v="114"/>
    <s v="Tangela"/>
    <n v="10"/>
    <n v="350"/>
    <n v="87"/>
    <x v="10"/>
    <s v="None"/>
    <n v="65"/>
    <n v="55"/>
    <n v="115"/>
    <n v="100"/>
    <n v="40"/>
    <n v="60"/>
    <n v="435"/>
    <n v="72.5"/>
    <n v="35"/>
    <n v="1"/>
    <s v="Low"/>
    <n v="155"/>
    <n v="155"/>
  </r>
  <r>
    <n v="53"/>
    <s v="Persian"/>
    <n v="10"/>
    <n v="320"/>
    <n v="154"/>
    <x v="0"/>
    <s v="None"/>
    <n v="65"/>
    <n v="70"/>
    <n v="60"/>
    <n v="65"/>
    <n v="65"/>
    <n v="115"/>
    <n v="440"/>
    <n v="73.333333333333329"/>
    <n v="32"/>
    <n v="1"/>
    <s v="Medium"/>
    <n v="135"/>
    <n v="125"/>
  </r>
  <r>
    <n v="211"/>
    <s v="Qwilfish"/>
    <n v="5"/>
    <n v="39"/>
    <n v="88"/>
    <x v="2"/>
    <s v="poison"/>
    <n v="65"/>
    <n v="95"/>
    <n v="85"/>
    <n v="55"/>
    <n v="55"/>
    <n v="85"/>
    <n v="440"/>
    <n v="73.333333333333329"/>
    <n v="7.8"/>
    <n v="2"/>
    <s v="Low"/>
    <n v="150"/>
    <n v="140"/>
  </r>
  <r>
    <n v="22"/>
    <s v="Fearow"/>
    <n v="12"/>
    <n v="380"/>
    <n v="155"/>
    <x v="0"/>
    <s v="flying"/>
    <n v="65"/>
    <n v="90"/>
    <n v="65"/>
    <n v="61"/>
    <n v="61"/>
    <n v="100"/>
    <n v="442"/>
    <n v="73.666666666666671"/>
    <n v="31.666666666666668"/>
    <n v="2"/>
    <s v="Medium"/>
    <n v="151"/>
    <n v="126"/>
  </r>
  <r>
    <n v="57"/>
    <s v="Primeape"/>
    <n v="10"/>
    <n v="320"/>
    <n v="159"/>
    <x v="12"/>
    <s v="None"/>
    <n v="65"/>
    <n v="105"/>
    <n v="60"/>
    <n v="60"/>
    <n v="70"/>
    <n v="95"/>
    <n v="455"/>
    <n v="75.833333333333329"/>
    <n v="32"/>
    <n v="1"/>
    <s v="Medium"/>
    <n v="165"/>
    <n v="130"/>
  </r>
  <r>
    <n v="124"/>
    <s v="Jynx"/>
    <n v="14"/>
    <n v="406"/>
    <n v="159"/>
    <x v="6"/>
    <s v="psychic"/>
    <n v="65"/>
    <n v="50"/>
    <n v="35"/>
    <n v="115"/>
    <n v="95"/>
    <n v="95"/>
    <n v="455"/>
    <n v="75.833333333333329"/>
    <n v="29"/>
    <n v="2"/>
    <s v="Medium"/>
    <n v="165"/>
    <n v="130"/>
  </r>
  <r>
    <n v="227"/>
    <s v="Skarmory"/>
    <n v="17"/>
    <n v="505"/>
    <n v="163"/>
    <x v="15"/>
    <s v="flying"/>
    <n v="65"/>
    <n v="80"/>
    <n v="140"/>
    <n v="40"/>
    <n v="70"/>
    <n v="70"/>
    <n v="465"/>
    <n v="77.5"/>
    <n v="29.705882352941178"/>
    <n v="2"/>
    <s v="Medium"/>
    <n v="120"/>
    <n v="210"/>
  </r>
  <r>
    <n v="178"/>
    <s v="Xatu"/>
    <n v="15"/>
    <n v="150"/>
    <n v="165"/>
    <x v="1"/>
    <s v="flying"/>
    <n v="65"/>
    <n v="75"/>
    <n v="70"/>
    <n v="95"/>
    <n v="70"/>
    <n v="95"/>
    <n v="470"/>
    <n v="78.333333333333329"/>
    <n v="10"/>
    <n v="2"/>
    <s v="Medium"/>
    <n v="170"/>
    <n v="140"/>
  </r>
  <r>
    <n v="110"/>
    <s v="Weezing"/>
    <n v="12"/>
    <n v="95"/>
    <n v="172"/>
    <x v="5"/>
    <s v="None"/>
    <n v="65"/>
    <n v="90"/>
    <n v="120"/>
    <n v="85"/>
    <n v="70"/>
    <n v="60"/>
    <n v="490"/>
    <n v="81.666666666666671"/>
    <n v="7.916666666666667"/>
    <n v="1"/>
    <s v="Medium"/>
    <n v="175"/>
    <n v="190"/>
  </r>
  <r>
    <n v="125"/>
    <s v="Electabuzz"/>
    <n v="11"/>
    <n v="300"/>
    <n v="172"/>
    <x v="13"/>
    <s v="None"/>
    <n v="65"/>
    <n v="83"/>
    <n v="57"/>
    <n v="95"/>
    <n v="85"/>
    <n v="105"/>
    <n v="490"/>
    <n v="81.666666666666671"/>
    <n v="27.272727272727273"/>
    <n v="1"/>
    <s v="Medium"/>
    <n v="178"/>
    <n v="142"/>
  </r>
  <r>
    <n v="126"/>
    <s v="Magmar"/>
    <n v="13"/>
    <n v="445"/>
    <n v="173"/>
    <x v="3"/>
    <s v="None"/>
    <n v="65"/>
    <n v="95"/>
    <n v="57"/>
    <n v="100"/>
    <n v="85"/>
    <n v="93"/>
    <n v="495"/>
    <n v="82.5"/>
    <n v="34.230769230769234"/>
    <n v="1"/>
    <s v="Medium"/>
    <n v="195"/>
    <n v="142"/>
  </r>
  <r>
    <n v="78"/>
    <s v="Rapidash"/>
    <n v="17"/>
    <n v="950"/>
    <n v="175"/>
    <x v="3"/>
    <s v="None"/>
    <n v="65"/>
    <n v="100"/>
    <n v="70"/>
    <n v="80"/>
    <n v="80"/>
    <n v="105"/>
    <n v="500"/>
    <n v="83.333333333333329"/>
    <n v="55.882352941176471"/>
    <n v="1"/>
    <s v="Medium"/>
    <n v="180"/>
    <n v="150"/>
  </r>
  <r>
    <n v="127"/>
    <s v="Pinsir"/>
    <n v="15"/>
    <n v="550"/>
    <n v="175"/>
    <x v="14"/>
    <s v="None"/>
    <n v="65"/>
    <n v="125"/>
    <n v="100"/>
    <n v="55"/>
    <n v="70"/>
    <n v="85"/>
    <n v="500"/>
    <n v="83.333333333333329"/>
    <n v="36.666666666666664"/>
    <n v="1"/>
    <s v="Medium"/>
    <n v="180"/>
    <n v="170"/>
  </r>
  <r>
    <n v="135"/>
    <s v="Jolteon"/>
    <n v="8"/>
    <n v="245"/>
    <n v="184"/>
    <x v="13"/>
    <s v="None"/>
    <n v="65"/>
    <n v="65"/>
    <n v="60"/>
    <n v="110"/>
    <n v="95"/>
    <n v="130"/>
    <n v="525"/>
    <n v="87.5"/>
    <n v="30.625"/>
    <n v="1"/>
    <s v="Medium"/>
    <n v="175"/>
    <n v="155"/>
  </r>
  <r>
    <n v="136"/>
    <s v="Flareon"/>
    <n v="9"/>
    <n v="250"/>
    <n v="184"/>
    <x v="3"/>
    <s v="None"/>
    <n v="65"/>
    <n v="130"/>
    <n v="60"/>
    <n v="95"/>
    <n v="110"/>
    <n v="65"/>
    <n v="525"/>
    <n v="87.5"/>
    <n v="27.777777777777779"/>
    <n v="1"/>
    <s v="Medium"/>
    <n v="225"/>
    <n v="170"/>
  </r>
  <r>
    <n v="196"/>
    <s v="Espeon"/>
    <n v="9"/>
    <n v="265"/>
    <n v="184"/>
    <x v="1"/>
    <s v="None"/>
    <n v="65"/>
    <n v="65"/>
    <n v="60"/>
    <n v="130"/>
    <n v="95"/>
    <n v="110"/>
    <n v="525"/>
    <n v="87.5"/>
    <n v="29.444444444444443"/>
    <n v="1"/>
    <s v="Medium"/>
    <n v="195"/>
    <n v="155"/>
  </r>
  <r>
    <n v="17"/>
    <s v="Pidgeotto"/>
    <n v="11"/>
    <n v="300"/>
    <n v="122"/>
    <x v="0"/>
    <s v="flying"/>
    <n v="63"/>
    <n v="60"/>
    <n v="55"/>
    <n v="50"/>
    <n v="50"/>
    <n v="71"/>
    <n v="349"/>
    <n v="58.166666666666664"/>
    <n v="27.272727272727273"/>
    <n v="2"/>
    <s v="Medium"/>
    <n v="110"/>
    <n v="105"/>
  </r>
  <r>
    <n v="33"/>
    <s v="Nidorino"/>
    <n v="9"/>
    <n v="195"/>
    <n v="128"/>
    <x v="5"/>
    <s v="None"/>
    <n v="61"/>
    <n v="72"/>
    <n v="57"/>
    <n v="55"/>
    <n v="55"/>
    <n v="65"/>
    <n v="365"/>
    <n v="60.833333333333336"/>
    <n v="21.666666666666668"/>
    <n v="1"/>
    <s v="Medium"/>
    <n v="127"/>
    <n v="112"/>
  </r>
  <r>
    <n v="148"/>
    <s v="Dragonair"/>
    <n v="40"/>
    <n v="165"/>
    <n v="147"/>
    <x v="11"/>
    <s v="None"/>
    <n v="61"/>
    <n v="84"/>
    <n v="65"/>
    <n v="70"/>
    <n v="70"/>
    <n v="70"/>
    <n v="420"/>
    <n v="70"/>
    <n v="4.125"/>
    <n v="1"/>
    <s v="Medium"/>
    <n v="154"/>
    <n v="135"/>
  </r>
  <r>
    <n v="163"/>
    <s v="Hoothoot"/>
    <n v="7"/>
    <n v="212"/>
    <n v="52"/>
    <x v="0"/>
    <s v="flying"/>
    <n v="60"/>
    <n v="30"/>
    <n v="30"/>
    <n v="36"/>
    <n v="56"/>
    <n v="50"/>
    <n v="262"/>
    <n v="43.666666666666664"/>
    <n v="30.285714285714285"/>
    <n v="2"/>
    <s v="Low"/>
    <n v="66"/>
    <n v="86"/>
  </r>
  <r>
    <n v="209"/>
    <s v="Snubbull"/>
    <n v="6"/>
    <n v="78"/>
    <n v="60"/>
    <x v="8"/>
    <s v="None"/>
    <n v="60"/>
    <n v="80"/>
    <n v="50"/>
    <n v="40"/>
    <n v="40"/>
    <n v="30"/>
    <n v="300"/>
    <n v="50"/>
    <n v="13"/>
    <n v="1"/>
    <s v="Low"/>
    <n v="120"/>
    <n v="90"/>
  </r>
  <r>
    <n v="48"/>
    <s v="Venonat"/>
    <n v="10"/>
    <n v="300"/>
    <n v="61"/>
    <x v="14"/>
    <s v="poison"/>
    <n v="60"/>
    <n v="55"/>
    <n v="50"/>
    <n v="40"/>
    <n v="55"/>
    <n v="45"/>
    <n v="305"/>
    <n v="50.833333333333336"/>
    <n v="30"/>
    <n v="2"/>
    <s v="Low"/>
    <n v="95"/>
    <n v="105"/>
  </r>
  <r>
    <n v="102"/>
    <s v="Exeggcute"/>
    <n v="4"/>
    <n v="25"/>
    <n v="65"/>
    <x v="10"/>
    <s v="psychic"/>
    <n v="60"/>
    <n v="40"/>
    <n v="80"/>
    <n v="60"/>
    <n v="45"/>
    <n v="40"/>
    <n v="325"/>
    <n v="54.166666666666664"/>
    <n v="6.25"/>
    <n v="2"/>
    <s v="Low"/>
    <n v="100"/>
    <n v="125"/>
  </r>
  <r>
    <n v="96"/>
    <s v="Drowzee"/>
    <n v="10"/>
    <n v="324"/>
    <n v="66"/>
    <x v="1"/>
    <s v="None"/>
    <n v="60"/>
    <n v="48"/>
    <n v="45"/>
    <n v="43"/>
    <n v="90"/>
    <n v="42"/>
    <n v="328"/>
    <n v="54.666666666666664"/>
    <n v="32.4"/>
    <n v="1"/>
    <s v="Low"/>
    <n v="91"/>
    <n v="135"/>
  </r>
  <r>
    <n v="216"/>
    <s v="Teddiursa"/>
    <n v="6"/>
    <n v="88"/>
    <n v="66"/>
    <x v="0"/>
    <s v="None"/>
    <n v="60"/>
    <n v="80"/>
    <n v="50"/>
    <n v="50"/>
    <n v="50"/>
    <n v="40"/>
    <n v="330"/>
    <n v="55"/>
    <n v="14.666666666666666"/>
    <n v="1"/>
    <s v="Low"/>
    <n v="130"/>
    <n v="100"/>
  </r>
  <r>
    <n v="12"/>
    <s v="Butterfree"/>
    <n v="11"/>
    <n v="320"/>
    <n v="178"/>
    <x v="14"/>
    <s v="flying"/>
    <n v="60"/>
    <n v="45"/>
    <n v="50"/>
    <n v="90"/>
    <n v="80"/>
    <n v="70"/>
    <n v="395"/>
    <n v="65.833333333333329"/>
    <n v="29.09090909090909"/>
    <n v="2"/>
    <s v="Medium"/>
    <n v="135"/>
    <n v="130"/>
  </r>
  <r>
    <n v="44"/>
    <s v="Gloom"/>
    <n v="8"/>
    <n v="86"/>
    <n v="138"/>
    <x v="10"/>
    <s v="poison"/>
    <n v="60"/>
    <n v="65"/>
    <n v="70"/>
    <n v="85"/>
    <n v="75"/>
    <n v="40"/>
    <n v="395"/>
    <n v="65.833333333333329"/>
    <n v="10.75"/>
    <n v="2"/>
    <s v="Medium"/>
    <n v="150"/>
    <n v="145"/>
  </r>
  <r>
    <n v="2"/>
    <s v="Ivysaur"/>
    <n v="10"/>
    <n v="130"/>
    <n v="142"/>
    <x v="10"/>
    <s v="poison"/>
    <n v="60"/>
    <n v="62"/>
    <n v="63"/>
    <n v="80"/>
    <n v="80"/>
    <n v="60"/>
    <n v="405"/>
    <n v="67.5"/>
    <n v="13"/>
    <n v="2"/>
    <s v="Medium"/>
    <n v="142"/>
    <n v="143"/>
  </r>
  <r>
    <n v="47"/>
    <s v="Parasect"/>
    <n v="10"/>
    <n v="295"/>
    <n v="142"/>
    <x v="14"/>
    <s v="grass"/>
    <n v="60"/>
    <n v="95"/>
    <n v="80"/>
    <n v="60"/>
    <n v="80"/>
    <n v="30"/>
    <n v="405"/>
    <n v="67.5"/>
    <n v="29.5"/>
    <n v="2"/>
    <s v="Medium"/>
    <n v="155"/>
    <n v="160"/>
  </r>
  <r>
    <n v="153"/>
    <s v="Bayleef"/>
    <n v="12"/>
    <n v="158"/>
    <n v="142"/>
    <x v="10"/>
    <s v="None"/>
    <n v="60"/>
    <n v="62"/>
    <n v="80"/>
    <n v="63"/>
    <n v="80"/>
    <n v="60"/>
    <n v="405"/>
    <n v="67.5"/>
    <n v="13.166666666666666"/>
    <n v="1"/>
    <s v="Medium"/>
    <n v="125"/>
    <n v="160"/>
  </r>
  <r>
    <n v="198"/>
    <s v="Murkrow"/>
    <n v="5"/>
    <n v="21"/>
    <n v="81"/>
    <x v="9"/>
    <s v="flying"/>
    <n v="60"/>
    <n v="85"/>
    <n v="42"/>
    <n v="85"/>
    <n v="42"/>
    <n v="91"/>
    <n v="405"/>
    <n v="67.5"/>
    <n v="4.2"/>
    <n v="2"/>
    <s v="Low"/>
    <n v="170"/>
    <n v="84"/>
  </r>
  <r>
    <n v="105"/>
    <s v="Marowak"/>
    <n v="10"/>
    <n v="450"/>
    <n v="149"/>
    <x v="4"/>
    <s v="None"/>
    <n v="60"/>
    <n v="80"/>
    <n v="110"/>
    <n v="50"/>
    <n v="80"/>
    <n v="45"/>
    <n v="425"/>
    <n v="70.833333333333329"/>
    <n v="45"/>
    <n v="1"/>
    <s v="Medium"/>
    <n v="130"/>
    <n v="190"/>
  </r>
  <r>
    <n v="219"/>
    <s v="Magcargo"/>
    <n v="8"/>
    <n v="550"/>
    <n v="151"/>
    <x v="3"/>
    <s v="rock"/>
    <n v="60"/>
    <n v="50"/>
    <n v="120"/>
    <n v="90"/>
    <n v="80"/>
    <n v="30"/>
    <n v="430"/>
    <n v="71.666666666666671"/>
    <n v="68.75"/>
    <n v="2"/>
    <s v="Medium"/>
    <n v="140"/>
    <n v="200"/>
  </r>
  <r>
    <n v="200"/>
    <s v="Misdreavus"/>
    <n v="7"/>
    <n v="10"/>
    <n v="87"/>
    <x v="16"/>
    <s v="None"/>
    <n v="60"/>
    <n v="60"/>
    <n v="60"/>
    <n v="85"/>
    <n v="85"/>
    <n v="85"/>
    <n v="435"/>
    <n v="72.5"/>
    <n v="1.4285714285714286"/>
    <n v="1"/>
    <s v="Low"/>
    <n v="145"/>
    <n v="145"/>
  </r>
  <r>
    <n v="24"/>
    <s v="Arbok"/>
    <n v="35"/>
    <n v="650"/>
    <n v="157"/>
    <x v="5"/>
    <s v="None"/>
    <n v="60"/>
    <n v="95"/>
    <n v="69"/>
    <n v="65"/>
    <n v="79"/>
    <n v="80"/>
    <n v="448"/>
    <n v="74.666666666666671"/>
    <n v="18.571428571428573"/>
    <n v="1"/>
    <s v="Medium"/>
    <n v="160"/>
    <n v="148"/>
  </r>
  <r>
    <n v="85"/>
    <s v="Dodrio"/>
    <n v="18"/>
    <n v="852"/>
    <n v="165"/>
    <x v="0"/>
    <s v="flying"/>
    <n v="60"/>
    <n v="110"/>
    <n v="70"/>
    <n v="60"/>
    <n v="60"/>
    <n v="110"/>
    <n v="470"/>
    <n v="78.333333333333329"/>
    <n v="47.333333333333336"/>
    <n v="2"/>
    <s v="Medium"/>
    <n v="170"/>
    <n v="130"/>
  </r>
  <r>
    <n v="26"/>
    <s v="Raichu"/>
    <n v="8"/>
    <n v="300"/>
    <n v="218"/>
    <x v="13"/>
    <s v="None"/>
    <n v="60"/>
    <n v="90"/>
    <n v="55"/>
    <n v="90"/>
    <n v="80"/>
    <n v="110"/>
    <n v="485"/>
    <n v="80.833333333333329"/>
    <n v="37.5"/>
    <n v="1"/>
    <s v="HIGH"/>
    <n v="180"/>
    <n v="135"/>
  </r>
  <r>
    <n v="101"/>
    <s v="Electrode"/>
    <n v="12"/>
    <n v="666"/>
    <n v="172"/>
    <x v="13"/>
    <s v="None"/>
    <n v="60"/>
    <n v="50"/>
    <n v="70"/>
    <n v="80"/>
    <n v="80"/>
    <n v="150"/>
    <n v="490"/>
    <n v="81.666666666666671"/>
    <n v="55.5"/>
    <n v="1"/>
    <s v="Medium"/>
    <n v="130"/>
    <n v="150"/>
  </r>
  <r>
    <n v="141"/>
    <s v="Kabutops"/>
    <n v="13"/>
    <n v="405"/>
    <n v="173"/>
    <x v="7"/>
    <s v="water"/>
    <n v="60"/>
    <n v="115"/>
    <n v="105"/>
    <n v="65"/>
    <n v="70"/>
    <n v="80"/>
    <n v="495"/>
    <n v="82.5"/>
    <n v="31.153846153846153"/>
    <n v="2"/>
    <s v="Medium"/>
    <n v="180"/>
    <n v="175"/>
  </r>
  <r>
    <n v="94"/>
    <s v="Gengar"/>
    <n v="15"/>
    <n v="405"/>
    <n v="225"/>
    <x v="16"/>
    <s v="poison"/>
    <n v="60"/>
    <n v="65"/>
    <n v="60"/>
    <n v="130"/>
    <n v="75"/>
    <n v="110"/>
    <n v="500"/>
    <n v="83.333333333333329"/>
    <n v="27"/>
    <n v="2"/>
    <s v="HIGH"/>
    <n v="195"/>
    <n v="135"/>
  </r>
  <r>
    <n v="121"/>
    <s v="Starmie"/>
    <n v="11"/>
    <n v="800"/>
    <n v="182"/>
    <x v="2"/>
    <s v="psychic"/>
    <n v="60"/>
    <n v="75"/>
    <n v="85"/>
    <n v="100"/>
    <n v="85"/>
    <n v="115"/>
    <n v="520"/>
    <n v="86.666666666666671"/>
    <n v="72.727272727272734"/>
    <n v="2"/>
    <s v="Medium"/>
    <n v="175"/>
    <n v="170"/>
  </r>
  <r>
    <n v="8"/>
    <s v="Wartortle"/>
    <n v="10"/>
    <n v="225"/>
    <n v="142"/>
    <x v="2"/>
    <s v="None"/>
    <n v="59"/>
    <n v="63"/>
    <n v="80"/>
    <n v="65"/>
    <n v="80"/>
    <n v="58"/>
    <n v="405"/>
    <n v="67.5"/>
    <n v="22.5"/>
    <n v="1"/>
    <s v="Medium"/>
    <n v="128"/>
    <n v="160"/>
  </r>
  <r>
    <n v="5"/>
    <s v="Charmeleon"/>
    <n v="11"/>
    <n v="190"/>
    <n v="142"/>
    <x v="3"/>
    <s v="None"/>
    <n v="58"/>
    <n v="64"/>
    <n v="58"/>
    <n v="80"/>
    <n v="65"/>
    <n v="80"/>
    <n v="405"/>
    <n v="67.5"/>
    <n v="17.272727272727273"/>
    <n v="1"/>
    <s v="Medium"/>
    <n v="144"/>
    <n v="123"/>
  </r>
  <r>
    <n v="156"/>
    <s v="Quilava"/>
    <n v="9"/>
    <n v="190"/>
    <n v="142"/>
    <x v="3"/>
    <s v="None"/>
    <n v="58"/>
    <n v="64"/>
    <n v="58"/>
    <n v="80"/>
    <n v="65"/>
    <n v="80"/>
    <n v="405"/>
    <n v="67.5"/>
    <n v="21.111111111111111"/>
    <n v="1"/>
    <s v="Medium"/>
    <n v="144"/>
    <n v="123"/>
  </r>
  <r>
    <n v="194"/>
    <s v="Wooper"/>
    <n v="4"/>
    <n v="85"/>
    <n v="42"/>
    <x v="2"/>
    <s v="ground"/>
    <n v="55"/>
    <n v="45"/>
    <n v="45"/>
    <n v="25"/>
    <n v="25"/>
    <n v="15"/>
    <n v="210"/>
    <n v="35"/>
    <n v="21.25"/>
    <n v="2"/>
    <s v="Low"/>
    <n v="70"/>
    <n v="70"/>
  </r>
  <r>
    <n v="235"/>
    <s v="Smeargle"/>
    <n v="12"/>
    <n v="580"/>
    <n v="88"/>
    <x v="0"/>
    <s v="None"/>
    <n v="55"/>
    <n v="20"/>
    <n v="35"/>
    <n v="20"/>
    <n v="45"/>
    <n v="75"/>
    <n v="250"/>
    <n v="41.666666666666664"/>
    <n v="48.333333333333336"/>
    <n v="1"/>
    <s v="Low"/>
    <n v="40"/>
    <n v="80"/>
  </r>
  <r>
    <n v="29"/>
    <s v="Nidoran-f"/>
    <n v="4"/>
    <n v="70"/>
    <n v="55"/>
    <x v="5"/>
    <s v="None"/>
    <n v="55"/>
    <n v="47"/>
    <n v="52"/>
    <n v="40"/>
    <n v="40"/>
    <n v="41"/>
    <n v="275"/>
    <n v="45.833333333333336"/>
    <n v="17.5"/>
    <n v="1"/>
    <s v="Low"/>
    <n v="87"/>
    <n v="92"/>
  </r>
  <r>
    <n v="179"/>
    <s v="Mareep"/>
    <n v="6"/>
    <n v="78"/>
    <n v="56"/>
    <x v="13"/>
    <s v="None"/>
    <n v="55"/>
    <n v="40"/>
    <n v="40"/>
    <n v="65"/>
    <n v="45"/>
    <n v="35"/>
    <n v="280"/>
    <n v="46.666666666666664"/>
    <n v="13"/>
    <n v="1"/>
    <s v="Low"/>
    <n v="105"/>
    <n v="85"/>
  </r>
  <r>
    <n v="133"/>
    <s v="Eevee"/>
    <n v="3"/>
    <n v="65"/>
    <n v="65"/>
    <x v="0"/>
    <s v="None"/>
    <n v="55"/>
    <n v="55"/>
    <n v="50"/>
    <n v="45"/>
    <n v="65"/>
    <n v="55"/>
    <n v="325"/>
    <n v="54.166666666666664"/>
    <n v="21.666666666666668"/>
    <n v="1"/>
    <s v="Low"/>
    <n v="100"/>
    <n v="115"/>
  </r>
  <r>
    <n v="188"/>
    <s v="Skiploom"/>
    <n v="6"/>
    <n v="10"/>
    <n v="119"/>
    <x v="10"/>
    <s v="flying"/>
    <n v="55"/>
    <n v="45"/>
    <n v="50"/>
    <n v="45"/>
    <n v="65"/>
    <n v="80"/>
    <n v="340"/>
    <n v="56.666666666666664"/>
    <n v="1.6666666666666667"/>
    <n v="2"/>
    <s v="Medium"/>
    <n v="90"/>
    <n v="115"/>
  </r>
  <r>
    <n v="58"/>
    <s v="Growlithe"/>
    <n v="7"/>
    <n v="190"/>
    <n v="70"/>
    <x v="3"/>
    <s v="None"/>
    <n v="55"/>
    <n v="70"/>
    <n v="45"/>
    <n v="70"/>
    <n v="50"/>
    <n v="60"/>
    <n v="350"/>
    <n v="58.333333333333336"/>
    <n v="27.142857142857142"/>
    <n v="1"/>
    <s v="Low"/>
    <n v="140"/>
    <n v="95"/>
  </r>
  <r>
    <n v="190"/>
    <s v="Aipom"/>
    <n v="8"/>
    <n v="115"/>
    <n v="72"/>
    <x v="0"/>
    <s v="None"/>
    <n v="55"/>
    <n v="70"/>
    <n v="55"/>
    <n v="40"/>
    <n v="55"/>
    <n v="85"/>
    <n v="360"/>
    <n v="60"/>
    <n v="14.375"/>
    <n v="1"/>
    <s v="Low"/>
    <n v="110"/>
    <n v="110"/>
  </r>
  <r>
    <n v="75"/>
    <s v="Graveler"/>
    <n v="10"/>
    <n v="1050"/>
    <n v="137"/>
    <x v="7"/>
    <s v="ground"/>
    <n v="55"/>
    <n v="95"/>
    <n v="115"/>
    <n v="45"/>
    <n v="45"/>
    <n v="35"/>
    <n v="390"/>
    <n v="65"/>
    <n v="105"/>
    <n v="2"/>
    <s v="Medium"/>
    <n v="140"/>
    <n v="160"/>
  </r>
  <r>
    <n v="166"/>
    <s v="Ledian"/>
    <n v="14"/>
    <n v="356"/>
    <n v="137"/>
    <x v="14"/>
    <s v="flying"/>
    <n v="55"/>
    <n v="35"/>
    <n v="50"/>
    <n v="55"/>
    <n v="110"/>
    <n v="85"/>
    <n v="390"/>
    <n v="65"/>
    <n v="25.428571428571427"/>
    <n v="2"/>
    <s v="Medium"/>
    <n v="90"/>
    <n v="160"/>
  </r>
  <r>
    <n v="176"/>
    <s v="Togetic"/>
    <n v="6"/>
    <n v="32"/>
    <n v="142"/>
    <x v="8"/>
    <s v="flying"/>
    <n v="55"/>
    <n v="40"/>
    <n v="85"/>
    <n v="80"/>
    <n v="105"/>
    <n v="40"/>
    <n v="405"/>
    <n v="67.5"/>
    <n v="5.333333333333333"/>
    <n v="2"/>
    <s v="Medium"/>
    <n v="120"/>
    <n v="190"/>
  </r>
  <r>
    <n v="20"/>
    <s v="Raticate"/>
    <n v="7"/>
    <n v="185"/>
    <n v="145"/>
    <x v="0"/>
    <s v="None"/>
    <n v="55"/>
    <n v="81"/>
    <n v="60"/>
    <n v="50"/>
    <n v="70"/>
    <n v="97"/>
    <n v="413"/>
    <n v="68.833333333333329"/>
    <n v="26.428571428571427"/>
    <n v="1"/>
    <s v="Medium"/>
    <n v="131"/>
    <n v="130"/>
  </r>
  <r>
    <n v="215"/>
    <s v="Sneasel"/>
    <n v="9"/>
    <n v="280"/>
    <n v="86"/>
    <x v="9"/>
    <s v="ice"/>
    <n v="55"/>
    <n v="95"/>
    <n v="55"/>
    <n v="35"/>
    <n v="75"/>
    <n v="115"/>
    <n v="430"/>
    <n v="71.666666666666671"/>
    <n v="31.111111111111111"/>
    <n v="2"/>
    <s v="Low"/>
    <n v="130"/>
    <n v="130"/>
  </r>
  <r>
    <n v="117"/>
    <s v="Seadra"/>
    <n v="12"/>
    <n v="250"/>
    <n v="154"/>
    <x v="2"/>
    <s v="None"/>
    <n v="55"/>
    <n v="65"/>
    <n v="95"/>
    <n v="95"/>
    <n v="45"/>
    <n v="85"/>
    <n v="440"/>
    <n v="73.333333333333329"/>
    <n v="20.833333333333332"/>
    <n v="1"/>
    <s v="Medium"/>
    <n v="160"/>
    <n v="140"/>
  </r>
  <r>
    <n v="99"/>
    <s v="Kingler"/>
    <n v="13"/>
    <n v="600"/>
    <n v="166"/>
    <x v="2"/>
    <s v="None"/>
    <n v="55"/>
    <n v="130"/>
    <n v="115"/>
    <n v="50"/>
    <n v="50"/>
    <n v="75"/>
    <n v="475"/>
    <n v="79.166666666666671"/>
    <n v="46.153846153846153"/>
    <n v="1"/>
    <s v="Medium"/>
    <n v="180"/>
    <n v="165"/>
  </r>
  <r>
    <n v="65"/>
    <s v="Alakazam"/>
    <n v="15"/>
    <n v="480"/>
    <n v="225"/>
    <x v="1"/>
    <s v="None"/>
    <n v="55"/>
    <n v="50"/>
    <n v="45"/>
    <n v="135"/>
    <n v="95"/>
    <n v="120"/>
    <n v="500"/>
    <n v="83.333333333333329"/>
    <n v="32"/>
    <n v="1"/>
    <s v="HIGH"/>
    <n v="185"/>
    <n v="140"/>
  </r>
  <r>
    <n v="83"/>
    <s v="Farfetchd"/>
    <n v="8"/>
    <n v="150"/>
    <n v="132"/>
    <x v="0"/>
    <s v="flying"/>
    <n v="52"/>
    <n v="90"/>
    <n v="55"/>
    <n v="58"/>
    <n v="62"/>
    <n v="60"/>
    <n v="377"/>
    <n v="62.833333333333336"/>
    <n v="18.75"/>
    <n v="2"/>
    <s v="Medium"/>
    <n v="148"/>
    <n v="117"/>
  </r>
  <r>
    <n v="11"/>
    <s v="Metapod"/>
    <n v="7"/>
    <n v="99"/>
    <n v="72"/>
    <x v="14"/>
    <s v="None"/>
    <n v="50"/>
    <n v="20"/>
    <n v="55"/>
    <n v="25"/>
    <n v="25"/>
    <n v="30"/>
    <n v="205"/>
    <n v="34.166666666666664"/>
    <n v="14.142857142857142"/>
    <n v="1"/>
    <s v="Low"/>
    <n v="45"/>
    <n v="80"/>
  </r>
  <r>
    <n v="173"/>
    <s v="Cleffa"/>
    <n v="3"/>
    <n v="30"/>
    <n v="44"/>
    <x v="8"/>
    <s v="None"/>
    <n v="50"/>
    <n v="25"/>
    <n v="28"/>
    <n v="45"/>
    <n v="55"/>
    <n v="15"/>
    <n v="218"/>
    <n v="36.333333333333336"/>
    <n v="10"/>
    <n v="1"/>
    <s v="Low"/>
    <n v="70"/>
    <n v="83"/>
  </r>
  <r>
    <n v="220"/>
    <s v="Swinub"/>
    <n v="4"/>
    <n v="65"/>
    <n v="50"/>
    <x v="6"/>
    <s v="ground"/>
    <n v="50"/>
    <n v="50"/>
    <n v="40"/>
    <n v="30"/>
    <n v="30"/>
    <n v="50"/>
    <n v="250"/>
    <n v="41.666666666666664"/>
    <n v="16.25"/>
    <n v="2"/>
    <s v="Low"/>
    <n v="80"/>
    <n v="70"/>
  </r>
  <r>
    <n v="204"/>
    <s v="Pineco"/>
    <n v="6"/>
    <n v="72"/>
    <n v="58"/>
    <x v="14"/>
    <s v="None"/>
    <n v="50"/>
    <n v="65"/>
    <n v="90"/>
    <n v="35"/>
    <n v="35"/>
    <n v="15"/>
    <n v="290"/>
    <n v="48.333333333333336"/>
    <n v="12"/>
    <n v="1"/>
    <s v="Low"/>
    <n v="100"/>
    <n v="125"/>
  </r>
  <r>
    <n v="27"/>
    <s v="Sandshrew"/>
    <n v="6"/>
    <n v="120"/>
    <n v="60"/>
    <x v="4"/>
    <s v="None"/>
    <n v="50"/>
    <n v="75"/>
    <n v="85"/>
    <n v="20"/>
    <n v="30"/>
    <n v="40"/>
    <n v="300"/>
    <n v="50"/>
    <n v="20"/>
    <n v="1"/>
    <s v="Low"/>
    <n v="95"/>
    <n v="115"/>
  </r>
  <r>
    <n v="69"/>
    <s v="Bellsprout"/>
    <n v="7"/>
    <n v="40"/>
    <n v="60"/>
    <x v="10"/>
    <s v="poison"/>
    <n v="50"/>
    <n v="75"/>
    <n v="35"/>
    <n v="70"/>
    <n v="30"/>
    <n v="40"/>
    <n v="300"/>
    <n v="50"/>
    <n v="5.7142857142857144"/>
    <n v="2"/>
    <s v="Low"/>
    <n v="145"/>
    <n v="65"/>
  </r>
  <r>
    <n v="246"/>
    <s v="Larvitar"/>
    <n v="6"/>
    <n v="720"/>
    <n v="60"/>
    <x v="7"/>
    <s v="ground"/>
    <n v="50"/>
    <n v="64"/>
    <n v="50"/>
    <n v="45"/>
    <n v="50"/>
    <n v="41"/>
    <n v="300"/>
    <n v="50"/>
    <n v="120"/>
    <n v="2"/>
    <s v="Low"/>
    <n v="109"/>
    <n v="100"/>
  </r>
  <r>
    <n v="158"/>
    <s v="Totodile"/>
    <n v="6"/>
    <n v="95"/>
    <n v="63"/>
    <x v="2"/>
    <s v="None"/>
    <n v="50"/>
    <n v="65"/>
    <n v="64"/>
    <n v="44"/>
    <n v="48"/>
    <n v="43"/>
    <n v="314"/>
    <n v="52.333333333333336"/>
    <n v="15.833333333333334"/>
    <n v="1"/>
    <s v="Low"/>
    <n v="109"/>
    <n v="112"/>
  </r>
  <r>
    <n v="54"/>
    <s v="Psyduck"/>
    <n v="8"/>
    <n v="196"/>
    <n v="64"/>
    <x v="2"/>
    <s v="None"/>
    <n v="50"/>
    <n v="52"/>
    <n v="48"/>
    <n v="65"/>
    <n v="50"/>
    <n v="55"/>
    <n v="320"/>
    <n v="53.333333333333336"/>
    <n v="24.5"/>
    <n v="1"/>
    <s v="Low"/>
    <n v="117"/>
    <n v="98"/>
  </r>
  <r>
    <n v="104"/>
    <s v="Cubone"/>
    <n v="4"/>
    <n v="65"/>
    <n v="64"/>
    <x v="4"/>
    <s v="None"/>
    <n v="50"/>
    <n v="50"/>
    <n v="95"/>
    <n v="40"/>
    <n v="50"/>
    <n v="35"/>
    <n v="320"/>
    <n v="53.333333333333336"/>
    <n v="16.25"/>
    <n v="1"/>
    <s v="Low"/>
    <n v="90"/>
    <n v="145"/>
  </r>
  <r>
    <n v="77"/>
    <s v="Ponyta"/>
    <n v="10"/>
    <n v="300"/>
    <n v="82"/>
    <x v="3"/>
    <s v="None"/>
    <n v="50"/>
    <n v="85"/>
    <n v="55"/>
    <n v="65"/>
    <n v="65"/>
    <n v="90"/>
    <n v="410"/>
    <n v="68.333333333333329"/>
    <n v="30"/>
    <n v="1"/>
    <s v="Low"/>
    <n v="150"/>
    <n v="120"/>
  </r>
  <r>
    <n v="106"/>
    <s v="Hitmonlee"/>
    <n v="15"/>
    <n v="498"/>
    <n v="159"/>
    <x v="12"/>
    <s v="None"/>
    <n v="50"/>
    <n v="120"/>
    <n v="53"/>
    <n v="35"/>
    <n v="110"/>
    <n v="87"/>
    <n v="455"/>
    <n v="75.833333333333329"/>
    <n v="33.200000000000003"/>
    <n v="1"/>
    <s v="Medium"/>
    <n v="155"/>
    <n v="163"/>
  </r>
  <r>
    <n v="107"/>
    <s v="Hitmonchan"/>
    <n v="14"/>
    <n v="502"/>
    <n v="159"/>
    <x v="12"/>
    <s v="None"/>
    <n v="50"/>
    <n v="105"/>
    <n v="79"/>
    <n v="35"/>
    <n v="110"/>
    <n v="76"/>
    <n v="455"/>
    <n v="75.833333333333329"/>
    <n v="35.857142857142854"/>
    <n v="1"/>
    <s v="Medium"/>
    <n v="140"/>
    <n v="189"/>
  </r>
  <r>
    <n v="237"/>
    <s v="Hitmontop"/>
    <n v="14"/>
    <n v="480"/>
    <n v="159"/>
    <x v="12"/>
    <s v="None"/>
    <n v="50"/>
    <n v="95"/>
    <n v="95"/>
    <n v="35"/>
    <n v="110"/>
    <n v="70"/>
    <n v="455"/>
    <n v="75.833333333333329"/>
    <n v="34.285714285714285"/>
    <n v="1"/>
    <s v="Medium"/>
    <n v="130"/>
    <n v="205"/>
  </r>
  <r>
    <n v="82"/>
    <s v="Magneton"/>
    <n v="10"/>
    <n v="600"/>
    <n v="163"/>
    <x v="13"/>
    <s v="steel"/>
    <n v="50"/>
    <n v="60"/>
    <n v="95"/>
    <n v="120"/>
    <n v="70"/>
    <n v="70"/>
    <n v="465"/>
    <n v="77.5"/>
    <n v="60"/>
    <n v="2"/>
    <s v="Medium"/>
    <n v="180"/>
    <n v="165"/>
  </r>
  <r>
    <n v="91"/>
    <s v="Cloyster"/>
    <n v="15"/>
    <n v="1325"/>
    <n v="184"/>
    <x v="2"/>
    <s v="ice"/>
    <n v="50"/>
    <n v="95"/>
    <n v="180"/>
    <n v="85"/>
    <n v="45"/>
    <n v="70"/>
    <n v="525"/>
    <n v="87.5"/>
    <n v="88.333333333333329"/>
    <n v="2"/>
    <s v="Medium"/>
    <n v="180"/>
    <n v="225"/>
  </r>
  <r>
    <n v="132"/>
    <s v="Ditto"/>
    <n v="3"/>
    <n v="40"/>
    <n v="101"/>
    <x v="0"/>
    <s v="None"/>
    <n v="48"/>
    <n v="48"/>
    <n v="48"/>
    <n v="48"/>
    <n v="48"/>
    <n v="48"/>
    <n v="288"/>
    <n v="48"/>
    <n v="13.333333333333334"/>
    <n v="1"/>
    <s v="Medium"/>
    <n v="96"/>
    <n v="96"/>
  </r>
  <r>
    <n v="201"/>
    <s v="Unown"/>
    <n v="5"/>
    <n v="50"/>
    <n v="118"/>
    <x v="1"/>
    <s v="None"/>
    <n v="48"/>
    <n v="72"/>
    <n v="48"/>
    <n v="72"/>
    <n v="48"/>
    <n v="48"/>
    <n v="336"/>
    <n v="56"/>
    <n v="10"/>
    <n v="1"/>
    <s v="Medium"/>
    <n v="144"/>
    <n v="96"/>
  </r>
  <r>
    <n v="32"/>
    <s v="Nidoran-m"/>
    <n v="5"/>
    <n v="90"/>
    <n v="55"/>
    <x v="5"/>
    <s v="None"/>
    <n v="46"/>
    <n v="57"/>
    <n v="40"/>
    <n v="40"/>
    <n v="40"/>
    <n v="50"/>
    <n v="273"/>
    <n v="45.5"/>
    <n v="18"/>
    <n v="1"/>
    <s v="Low"/>
    <n v="97"/>
    <n v="80"/>
  </r>
  <r>
    <n v="10"/>
    <s v="Caterpie"/>
    <n v="3"/>
    <n v="29"/>
    <n v="39"/>
    <x v="14"/>
    <s v="None"/>
    <n v="45"/>
    <n v="30"/>
    <n v="35"/>
    <n v="20"/>
    <n v="20"/>
    <n v="45"/>
    <n v="195"/>
    <n v="32.5"/>
    <n v="9.6666666666666661"/>
    <n v="1"/>
    <s v="Low"/>
    <n v="50"/>
    <n v="55"/>
  </r>
  <r>
    <n v="14"/>
    <s v="Kakuna"/>
    <n v="6"/>
    <n v="100"/>
    <n v="72"/>
    <x v="14"/>
    <s v="poison"/>
    <n v="45"/>
    <n v="25"/>
    <n v="50"/>
    <n v="25"/>
    <n v="25"/>
    <n v="35"/>
    <n v="205"/>
    <n v="34.166666666666664"/>
    <n v="16.666666666666668"/>
    <n v="2"/>
    <s v="Low"/>
    <n v="50"/>
    <n v="75"/>
  </r>
  <r>
    <n v="238"/>
    <s v="Smoochum"/>
    <n v="4"/>
    <n v="60"/>
    <n v="61"/>
    <x v="6"/>
    <s v="psychic"/>
    <n v="45"/>
    <n v="30"/>
    <n v="15"/>
    <n v="85"/>
    <n v="65"/>
    <n v="65"/>
    <n v="305"/>
    <n v="50.833333333333336"/>
    <n v="15"/>
    <n v="2"/>
    <s v="Low"/>
    <n v="115"/>
    <n v="80"/>
  </r>
  <r>
    <n v="1"/>
    <s v="Bulbasaur"/>
    <n v="7"/>
    <n v="69"/>
    <n v="64"/>
    <x v="10"/>
    <s v="poison"/>
    <n v="45"/>
    <n v="49"/>
    <n v="49"/>
    <n v="65"/>
    <n v="65"/>
    <n v="45"/>
    <n v="318"/>
    <n v="53"/>
    <n v="9.8571428571428577"/>
    <n v="2"/>
    <s v="Low"/>
    <n v="114"/>
    <n v="114"/>
  </r>
  <r>
    <n v="152"/>
    <s v="Chikorita"/>
    <n v="9"/>
    <n v="64"/>
    <n v="64"/>
    <x v="10"/>
    <s v="None"/>
    <n v="45"/>
    <n v="49"/>
    <n v="65"/>
    <n v="49"/>
    <n v="65"/>
    <n v="45"/>
    <n v="318"/>
    <n v="53"/>
    <n v="7.1111111111111107"/>
    <n v="1"/>
    <s v="Low"/>
    <n v="98"/>
    <n v="130"/>
  </r>
  <r>
    <n v="43"/>
    <s v="Oddish"/>
    <n v="5"/>
    <n v="54"/>
    <n v="64"/>
    <x v="10"/>
    <s v="poison"/>
    <n v="45"/>
    <n v="50"/>
    <n v="55"/>
    <n v="75"/>
    <n v="65"/>
    <n v="30"/>
    <n v="320"/>
    <n v="53.333333333333336"/>
    <n v="10.8"/>
    <n v="2"/>
    <s v="Low"/>
    <n v="125"/>
    <n v="120"/>
  </r>
  <r>
    <n v="118"/>
    <s v="Goldeen"/>
    <n v="6"/>
    <n v="150"/>
    <n v="64"/>
    <x v="2"/>
    <s v="None"/>
    <n v="45"/>
    <n v="67"/>
    <n v="60"/>
    <n v="35"/>
    <n v="50"/>
    <n v="63"/>
    <n v="320"/>
    <n v="53.333333333333336"/>
    <n v="25"/>
    <n v="1"/>
    <s v="Low"/>
    <n v="102"/>
    <n v="110"/>
  </r>
  <r>
    <n v="225"/>
    <s v="Delibird"/>
    <n v="9"/>
    <n v="160"/>
    <n v="116"/>
    <x v="6"/>
    <s v="flying"/>
    <n v="45"/>
    <n v="55"/>
    <n v="45"/>
    <n v="65"/>
    <n v="45"/>
    <n v="75"/>
    <n v="330"/>
    <n v="55"/>
    <n v="17.777777777777779"/>
    <n v="2"/>
    <s v="Medium"/>
    <n v="120"/>
    <n v="90"/>
  </r>
  <r>
    <n v="228"/>
    <s v="Houndour"/>
    <n v="6"/>
    <n v="108"/>
    <n v="66"/>
    <x v="9"/>
    <s v="fire"/>
    <n v="45"/>
    <n v="60"/>
    <n v="30"/>
    <n v="80"/>
    <n v="50"/>
    <n v="65"/>
    <n v="330"/>
    <n v="55"/>
    <n v="18"/>
    <n v="2"/>
    <s v="Low"/>
    <n v="140"/>
    <n v="80"/>
  </r>
  <r>
    <n v="239"/>
    <s v="Elekid"/>
    <n v="6"/>
    <n v="235"/>
    <n v="72"/>
    <x v="13"/>
    <s v="None"/>
    <n v="45"/>
    <n v="63"/>
    <n v="37"/>
    <n v="65"/>
    <n v="55"/>
    <n v="95"/>
    <n v="360"/>
    <n v="60"/>
    <n v="39.166666666666664"/>
    <n v="1"/>
    <s v="Low"/>
    <n v="128"/>
    <n v="92"/>
  </r>
  <r>
    <n v="240"/>
    <s v="Magby"/>
    <n v="7"/>
    <n v="214"/>
    <n v="73"/>
    <x v="3"/>
    <s v="None"/>
    <n v="45"/>
    <n v="75"/>
    <n v="37"/>
    <n v="70"/>
    <n v="55"/>
    <n v="83"/>
    <n v="365"/>
    <n v="60.833333333333336"/>
    <n v="30.571428571428573"/>
    <n v="1"/>
    <s v="Low"/>
    <n v="145"/>
    <n v="92"/>
  </r>
  <r>
    <n v="93"/>
    <s v="Haunter"/>
    <n v="16"/>
    <n v="1"/>
    <n v="142"/>
    <x v="16"/>
    <s v="poison"/>
    <n v="45"/>
    <n v="50"/>
    <n v="45"/>
    <n v="115"/>
    <n v="55"/>
    <n v="95"/>
    <n v="405"/>
    <n v="67.5"/>
    <n v="6.25E-2"/>
    <n v="2"/>
    <s v="Medium"/>
    <n v="165"/>
    <n v="100"/>
  </r>
  <r>
    <n v="7"/>
    <s v="Squirtle"/>
    <n v="5"/>
    <n v="90"/>
    <n v="63"/>
    <x v="2"/>
    <s v="None"/>
    <n v="44"/>
    <n v="48"/>
    <n v="65"/>
    <n v="50"/>
    <n v="64"/>
    <n v="43"/>
    <n v="314"/>
    <n v="52.333333333333336"/>
    <n v="18"/>
    <n v="1"/>
    <s v="Low"/>
    <n v="98"/>
    <n v="129"/>
  </r>
  <r>
    <n v="147"/>
    <s v="Dratini"/>
    <n v="18"/>
    <n v="33"/>
    <n v="60"/>
    <x v="11"/>
    <s v="None"/>
    <n v="41"/>
    <n v="64"/>
    <n v="45"/>
    <n v="50"/>
    <n v="50"/>
    <n v="50"/>
    <n v="300"/>
    <n v="50"/>
    <n v="1.8333333333333333"/>
    <n v="1"/>
    <s v="Low"/>
    <n v="114"/>
    <n v="95"/>
  </r>
  <r>
    <n v="13"/>
    <s v="Weedle"/>
    <n v="3"/>
    <n v="32"/>
    <n v="39"/>
    <x v="14"/>
    <s v="poison"/>
    <n v="40"/>
    <n v="35"/>
    <n v="30"/>
    <n v="20"/>
    <n v="20"/>
    <n v="50"/>
    <n v="195"/>
    <n v="32.5"/>
    <n v="10.666666666666666"/>
    <n v="2"/>
    <s v="Low"/>
    <n v="55"/>
    <n v="50"/>
  </r>
  <r>
    <n v="41"/>
    <s v="Zubat"/>
    <n v="8"/>
    <n v="75"/>
    <n v="49"/>
    <x v="5"/>
    <s v="flying"/>
    <n v="40"/>
    <n v="45"/>
    <n v="35"/>
    <n v="30"/>
    <n v="40"/>
    <n v="55"/>
    <n v="245"/>
    <n v="40.833333333333336"/>
    <n v="9.375"/>
    <n v="2"/>
    <s v="Low"/>
    <n v="75"/>
    <n v="75"/>
  </r>
  <r>
    <n v="167"/>
    <s v="Spinarak"/>
    <n v="5"/>
    <n v="85"/>
    <n v="50"/>
    <x v="14"/>
    <s v="poison"/>
    <n v="40"/>
    <n v="60"/>
    <n v="40"/>
    <n v="40"/>
    <n v="40"/>
    <n v="30"/>
    <n v="250"/>
    <n v="41.666666666666664"/>
    <n v="17"/>
    <n v="2"/>
    <s v="Low"/>
    <n v="100"/>
    <n v="80"/>
  </r>
  <r>
    <n v="218"/>
    <s v="Slugma"/>
    <n v="7"/>
    <n v="350"/>
    <n v="50"/>
    <x v="3"/>
    <s v="None"/>
    <n v="40"/>
    <n v="40"/>
    <n v="40"/>
    <n v="70"/>
    <n v="40"/>
    <n v="20"/>
    <n v="250"/>
    <n v="41.666666666666664"/>
    <n v="50"/>
    <n v="1"/>
    <s v="Low"/>
    <n v="110"/>
    <n v="80"/>
  </r>
  <r>
    <n v="16"/>
    <s v="Pidgey"/>
    <n v="3"/>
    <n v="18"/>
    <n v="50"/>
    <x v="0"/>
    <s v="flying"/>
    <n v="40"/>
    <n v="45"/>
    <n v="40"/>
    <n v="35"/>
    <n v="35"/>
    <n v="56"/>
    <n v="251"/>
    <n v="41.833333333333336"/>
    <n v="6"/>
    <n v="2"/>
    <s v="Low"/>
    <n v="80"/>
    <n v="75"/>
  </r>
  <r>
    <n v="21"/>
    <s v="Spearow"/>
    <n v="3"/>
    <n v="20"/>
    <n v="52"/>
    <x v="0"/>
    <s v="flying"/>
    <n v="40"/>
    <n v="60"/>
    <n v="30"/>
    <n v="31"/>
    <n v="31"/>
    <n v="70"/>
    <n v="262"/>
    <n v="43.666666666666664"/>
    <n v="6.666666666666667"/>
    <n v="2"/>
    <s v="Low"/>
    <n v="91"/>
    <n v="61"/>
  </r>
  <r>
    <n v="165"/>
    <s v="Ledyba"/>
    <n v="10"/>
    <n v="108"/>
    <n v="53"/>
    <x v="14"/>
    <s v="flying"/>
    <n v="40"/>
    <n v="20"/>
    <n v="30"/>
    <n v="40"/>
    <n v="80"/>
    <n v="55"/>
    <n v="265"/>
    <n v="44.166666666666664"/>
    <n v="10.8"/>
    <n v="2"/>
    <s v="Low"/>
    <n v="60"/>
    <n v="110"/>
  </r>
  <r>
    <n v="52"/>
    <s v="Meowth"/>
    <n v="4"/>
    <n v="42"/>
    <n v="58"/>
    <x v="0"/>
    <s v="None"/>
    <n v="40"/>
    <n v="45"/>
    <n v="35"/>
    <n v="40"/>
    <n v="40"/>
    <n v="90"/>
    <n v="290"/>
    <n v="48.333333333333336"/>
    <n v="10.5"/>
    <n v="1"/>
    <s v="Low"/>
    <n v="85"/>
    <n v="75"/>
  </r>
  <r>
    <n v="60"/>
    <s v="Poliwag"/>
    <n v="6"/>
    <n v="124"/>
    <n v="60"/>
    <x v="2"/>
    <s v="None"/>
    <n v="40"/>
    <n v="50"/>
    <n v="40"/>
    <n v="40"/>
    <n v="40"/>
    <n v="90"/>
    <n v="300"/>
    <n v="50"/>
    <n v="20.666666666666668"/>
    <n v="1"/>
    <s v="Low"/>
    <n v="90"/>
    <n v="80"/>
  </r>
  <r>
    <n v="74"/>
    <s v="Geodude"/>
    <n v="4"/>
    <n v="200"/>
    <n v="60"/>
    <x v="7"/>
    <s v="ground"/>
    <n v="40"/>
    <n v="80"/>
    <n v="100"/>
    <n v="30"/>
    <n v="30"/>
    <n v="20"/>
    <n v="300"/>
    <n v="50"/>
    <n v="50"/>
    <n v="2"/>
    <s v="Low"/>
    <n v="110"/>
    <n v="130"/>
  </r>
  <r>
    <n v="56"/>
    <s v="Mankey"/>
    <n v="5"/>
    <n v="280"/>
    <n v="61"/>
    <x v="12"/>
    <s v="None"/>
    <n v="40"/>
    <n v="80"/>
    <n v="35"/>
    <n v="35"/>
    <n v="45"/>
    <n v="70"/>
    <n v="305"/>
    <n v="50.833333333333336"/>
    <n v="56"/>
    <n v="1"/>
    <s v="Low"/>
    <n v="115"/>
    <n v="80"/>
  </r>
  <r>
    <n v="177"/>
    <s v="Natu"/>
    <n v="2"/>
    <n v="20"/>
    <n v="64"/>
    <x v="1"/>
    <s v="flying"/>
    <n v="40"/>
    <n v="50"/>
    <n v="45"/>
    <n v="70"/>
    <n v="45"/>
    <n v="70"/>
    <n v="320"/>
    <n v="53.333333333333336"/>
    <n v="10"/>
    <n v="2"/>
    <s v="Low"/>
    <n v="120"/>
    <n v="90"/>
  </r>
  <r>
    <n v="100"/>
    <s v="Voltorb"/>
    <n v="5"/>
    <n v="104"/>
    <n v="66"/>
    <x v="13"/>
    <s v="None"/>
    <n v="40"/>
    <n v="30"/>
    <n v="50"/>
    <n v="55"/>
    <n v="55"/>
    <n v="100"/>
    <n v="330"/>
    <n v="55"/>
    <n v="20.8"/>
    <n v="1"/>
    <s v="Low"/>
    <n v="85"/>
    <n v="105"/>
  </r>
  <r>
    <n v="72"/>
    <s v="Tentacool"/>
    <n v="9"/>
    <n v="455"/>
    <n v="67"/>
    <x v="2"/>
    <s v="poison"/>
    <n v="40"/>
    <n v="40"/>
    <n v="35"/>
    <n v="50"/>
    <n v="100"/>
    <n v="70"/>
    <n v="335"/>
    <n v="55.833333333333336"/>
    <n v="50.555555555555557"/>
    <n v="2"/>
    <s v="Low"/>
    <n v="90"/>
    <n v="135"/>
  </r>
  <r>
    <n v="109"/>
    <s v="Koffing"/>
    <n v="6"/>
    <n v="10"/>
    <n v="68"/>
    <x v="5"/>
    <s v="None"/>
    <n v="40"/>
    <n v="65"/>
    <n v="95"/>
    <n v="60"/>
    <n v="45"/>
    <n v="35"/>
    <n v="340"/>
    <n v="56.666666666666664"/>
    <n v="1.6666666666666667"/>
    <n v="1"/>
    <s v="Low"/>
    <n v="125"/>
    <n v="140"/>
  </r>
  <r>
    <n v="64"/>
    <s v="Kadabra"/>
    <n v="13"/>
    <n v="565"/>
    <n v="140"/>
    <x v="1"/>
    <s v="None"/>
    <n v="40"/>
    <n v="35"/>
    <n v="30"/>
    <n v="120"/>
    <n v="70"/>
    <n v="105"/>
    <n v="400"/>
    <n v="66.666666666666671"/>
    <n v="43.46153846153846"/>
    <n v="1"/>
    <s v="Medium"/>
    <n v="155"/>
    <n v="100"/>
  </r>
  <r>
    <n v="122"/>
    <s v="Mr-mime"/>
    <n v="13"/>
    <n v="545"/>
    <n v="161"/>
    <x v="1"/>
    <s v="fairy"/>
    <n v="40"/>
    <n v="45"/>
    <n v="65"/>
    <n v="100"/>
    <n v="120"/>
    <n v="90"/>
    <n v="460"/>
    <n v="76.666666666666671"/>
    <n v="41.92307692307692"/>
    <n v="2"/>
    <s v="Medium"/>
    <n v="145"/>
    <n v="185"/>
  </r>
  <r>
    <n v="4"/>
    <s v="Charmander"/>
    <n v="6"/>
    <n v="85"/>
    <n v="62"/>
    <x v="3"/>
    <s v="None"/>
    <n v="39"/>
    <n v="52"/>
    <n v="43"/>
    <n v="60"/>
    <n v="50"/>
    <n v="65"/>
    <n v="309"/>
    <n v="51.5"/>
    <n v="14.166666666666666"/>
    <n v="1"/>
    <s v="Low"/>
    <n v="112"/>
    <n v="93"/>
  </r>
  <r>
    <n v="155"/>
    <s v="Cyndaquil"/>
    <n v="5"/>
    <n v="79"/>
    <n v="62"/>
    <x v="3"/>
    <s v="None"/>
    <n v="39"/>
    <n v="52"/>
    <n v="43"/>
    <n v="60"/>
    <n v="50"/>
    <n v="65"/>
    <n v="309"/>
    <n v="51.5"/>
    <n v="15.8"/>
    <n v="1"/>
    <s v="Low"/>
    <n v="112"/>
    <n v="93"/>
  </r>
  <r>
    <n v="37"/>
    <s v="Vulpix"/>
    <n v="6"/>
    <n v="99"/>
    <n v="60"/>
    <x v="3"/>
    <s v="None"/>
    <n v="38"/>
    <n v="41"/>
    <n v="40"/>
    <n v="50"/>
    <n v="65"/>
    <n v="65"/>
    <n v="299"/>
    <n v="49.833333333333336"/>
    <n v="16.5"/>
    <n v="1"/>
    <s v="Low"/>
    <n v="91"/>
    <n v="105"/>
  </r>
  <r>
    <n v="236"/>
    <s v="Tyrogue"/>
    <n v="7"/>
    <n v="210"/>
    <n v="42"/>
    <x v="12"/>
    <s v="None"/>
    <n v="35"/>
    <n v="35"/>
    <n v="35"/>
    <n v="35"/>
    <n v="35"/>
    <n v="35"/>
    <n v="210"/>
    <n v="35"/>
    <n v="30"/>
    <n v="1"/>
    <s v="Low"/>
    <n v="70"/>
    <n v="70"/>
  </r>
  <r>
    <n v="161"/>
    <s v="Sentret"/>
    <n v="8"/>
    <n v="60"/>
    <n v="43"/>
    <x v="0"/>
    <s v="None"/>
    <n v="35"/>
    <n v="46"/>
    <n v="34"/>
    <n v="35"/>
    <n v="45"/>
    <n v="20"/>
    <n v="215"/>
    <n v="35.833333333333336"/>
    <n v="7.5"/>
    <n v="1"/>
    <s v="Low"/>
    <n v="81"/>
    <n v="79"/>
  </r>
  <r>
    <n v="175"/>
    <s v="Togepi"/>
    <n v="3"/>
    <n v="15"/>
    <n v="49"/>
    <x v="8"/>
    <s v="None"/>
    <n v="35"/>
    <n v="20"/>
    <n v="65"/>
    <n v="40"/>
    <n v="65"/>
    <n v="20"/>
    <n v="245"/>
    <n v="40.833333333333336"/>
    <n v="5"/>
    <n v="1"/>
    <s v="Low"/>
    <n v="60"/>
    <n v="130"/>
  </r>
  <r>
    <n v="187"/>
    <s v="Hoppip"/>
    <n v="4"/>
    <n v="5"/>
    <n v="50"/>
    <x v="10"/>
    <s v="flying"/>
    <n v="35"/>
    <n v="35"/>
    <n v="40"/>
    <n v="35"/>
    <n v="55"/>
    <n v="50"/>
    <n v="250"/>
    <n v="41.666666666666664"/>
    <n v="1.25"/>
    <n v="2"/>
    <s v="Low"/>
    <n v="70"/>
    <n v="95"/>
  </r>
  <r>
    <n v="46"/>
    <s v="Paras"/>
    <n v="3"/>
    <n v="54"/>
    <n v="57"/>
    <x v="14"/>
    <s v="grass"/>
    <n v="35"/>
    <n v="70"/>
    <n v="55"/>
    <n v="45"/>
    <n v="55"/>
    <n v="25"/>
    <n v="285"/>
    <n v="47.5"/>
    <n v="18"/>
    <n v="2"/>
    <s v="Low"/>
    <n v="115"/>
    <n v="110"/>
  </r>
  <r>
    <n v="23"/>
    <s v="Ekans"/>
    <n v="20"/>
    <n v="69"/>
    <n v="58"/>
    <x v="5"/>
    <s v="None"/>
    <n v="35"/>
    <n v="60"/>
    <n v="44"/>
    <n v="40"/>
    <n v="54"/>
    <n v="55"/>
    <n v="288"/>
    <n v="48"/>
    <n v="3.45"/>
    <n v="1"/>
    <s v="Low"/>
    <n v="100"/>
    <n v="98"/>
  </r>
  <r>
    <n v="223"/>
    <s v="Remoraid"/>
    <n v="6"/>
    <n v="120"/>
    <n v="60"/>
    <x v="2"/>
    <s v="None"/>
    <n v="35"/>
    <n v="65"/>
    <n v="35"/>
    <n v="65"/>
    <n v="35"/>
    <n v="65"/>
    <n v="300"/>
    <n v="50"/>
    <n v="20"/>
    <n v="1"/>
    <s v="Low"/>
    <n v="130"/>
    <n v="70"/>
  </r>
  <r>
    <n v="84"/>
    <s v="Doduo"/>
    <n v="14"/>
    <n v="392"/>
    <n v="62"/>
    <x v="0"/>
    <s v="flying"/>
    <n v="35"/>
    <n v="85"/>
    <n v="45"/>
    <n v="35"/>
    <n v="35"/>
    <n v="75"/>
    <n v="310"/>
    <n v="51.666666666666664"/>
    <n v="28"/>
    <n v="2"/>
    <s v="Low"/>
    <n v="120"/>
    <n v="80"/>
  </r>
  <r>
    <n v="25"/>
    <s v="Pikachu"/>
    <n v="4"/>
    <n v="60"/>
    <n v="112"/>
    <x v="13"/>
    <s v="None"/>
    <n v="35"/>
    <n v="55"/>
    <n v="40"/>
    <n v="50"/>
    <n v="50"/>
    <n v="90"/>
    <n v="320"/>
    <n v="53.333333333333336"/>
    <n v="15"/>
    <n v="1"/>
    <s v="Medium"/>
    <n v="105"/>
    <n v="90"/>
  </r>
  <r>
    <n v="138"/>
    <s v="Omanyte"/>
    <n v="4"/>
    <n v="75"/>
    <n v="71"/>
    <x v="7"/>
    <s v="water"/>
    <n v="35"/>
    <n v="40"/>
    <n v="100"/>
    <n v="90"/>
    <n v="55"/>
    <n v="35"/>
    <n v="355"/>
    <n v="59.166666666666664"/>
    <n v="18.75"/>
    <n v="2"/>
    <s v="Low"/>
    <n v="130"/>
    <n v="155"/>
  </r>
  <r>
    <n v="95"/>
    <s v="Onix"/>
    <n v="88"/>
    <n v="2100"/>
    <n v="77"/>
    <x v="7"/>
    <s v="ground"/>
    <n v="35"/>
    <n v="45"/>
    <n v="160"/>
    <n v="30"/>
    <n v="45"/>
    <n v="70"/>
    <n v="385"/>
    <n v="64.166666666666671"/>
    <n v="23.863636363636363"/>
    <n v="2"/>
    <s v="Low"/>
    <n v="75"/>
    <n v="205"/>
  </r>
  <r>
    <n v="51"/>
    <s v="Dugtrio"/>
    <n v="7"/>
    <n v="333"/>
    <n v="149"/>
    <x v="4"/>
    <s v="None"/>
    <n v="35"/>
    <n v="100"/>
    <n v="50"/>
    <n v="50"/>
    <n v="70"/>
    <n v="120"/>
    <n v="425"/>
    <n v="70.833333333333329"/>
    <n v="47.571428571428569"/>
    <n v="1"/>
    <s v="Medium"/>
    <n v="150"/>
    <n v="120"/>
  </r>
  <r>
    <n v="191"/>
    <s v="Sunkern"/>
    <n v="3"/>
    <n v="18"/>
    <n v="36"/>
    <x v="10"/>
    <s v="None"/>
    <n v="30"/>
    <n v="30"/>
    <n v="30"/>
    <n v="30"/>
    <n v="30"/>
    <n v="30"/>
    <n v="180"/>
    <n v="30"/>
    <n v="6"/>
    <n v="1"/>
    <s v="Low"/>
    <n v="60"/>
    <n v="60"/>
  </r>
  <r>
    <n v="19"/>
    <s v="Rattata"/>
    <n v="3"/>
    <n v="35"/>
    <n v="51"/>
    <x v="0"/>
    <s v="None"/>
    <n v="30"/>
    <n v="56"/>
    <n v="35"/>
    <n v="25"/>
    <n v="35"/>
    <n v="72"/>
    <n v="253"/>
    <n v="42.166666666666664"/>
    <n v="11.666666666666666"/>
    <n v="1"/>
    <s v="Low"/>
    <n v="81"/>
    <n v="70"/>
  </r>
  <r>
    <n v="116"/>
    <s v="Horsea"/>
    <n v="4"/>
    <n v="80"/>
    <n v="59"/>
    <x v="2"/>
    <s v="None"/>
    <n v="30"/>
    <n v="40"/>
    <n v="70"/>
    <n v="70"/>
    <n v="25"/>
    <n v="60"/>
    <n v="295"/>
    <n v="49.166666666666664"/>
    <n v="20"/>
    <n v="1"/>
    <s v="Low"/>
    <n v="110"/>
    <n v="95"/>
  </r>
  <r>
    <n v="90"/>
    <s v="Shellder"/>
    <n v="3"/>
    <n v="40"/>
    <n v="61"/>
    <x v="2"/>
    <s v="None"/>
    <n v="30"/>
    <n v="65"/>
    <n v="100"/>
    <n v="45"/>
    <n v="25"/>
    <n v="40"/>
    <n v="305"/>
    <n v="50.833333333333336"/>
    <n v="13.333333333333334"/>
    <n v="1"/>
    <s v="Low"/>
    <n v="110"/>
    <n v="125"/>
  </r>
  <r>
    <n v="92"/>
    <s v="Gastly"/>
    <n v="13"/>
    <n v="1"/>
    <n v="62"/>
    <x v="16"/>
    <s v="poison"/>
    <n v="30"/>
    <n v="35"/>
    <n v="30"/>
    <n v="100"/>
    <n v="35"/>
    <n v="80"/>
    <n v="310"/>
    <n v="51.666666666666664"/>
    <n v="7.6923076923076927E-2"/>
    <n v="2"/>
    <s v="Low"/>
    <n v="135"/>
    <n v="65"/>
  </r>
  <r>
    <n v="98"/>
    <s v="Krabby"/>
    <n v="4"/>
    <n v="65"/>
    <n v="65"/>
    <x v="2"/>
    <s v="None"/>
    <n v="30"/>
    <n v="105"/>
    <n v="90"/>
    <n v="25"/>
    <n v="25"/>
    <n v="50"/>
    <n v="325"/>
    <n v="54.166666666666664"/>
    <n v="16.25"/>
    <n v="1"/>
    <s v="Low"/>
    <n v="130"/>
    <n v="115"/>
  </r>
  <r>
    <n v="120"/>
    <s v="Staryu"/>
    <n v="8"/>
    <n v="345"/>
    <n v="68"/>
    <x v="2"/>
    <s v="None"/>
    <n v="30"/>
    <n v="45"/>
    <n v="55"/>
    <n v="70"/>
    <n v="55"/>
    <n v="85"/>
    <n v="340"/>
    <n v="56.666666666666664"/>
    <n v="43.125"/>
    <n v="1"/>
    <s v="Low"/>
    <n v="115"/>
    <n v="110"/>
  </r>
  <r>
    <n v="140"/>
    <s v="Kabuto"/>
    <n v="5"/>
    <n v="115"/>
    <n v="71"/>
    <x v="7"/>
    <s v="water"/>
    <n v="30"/>
    <n v="80"/>
    <n v="90"/>
    <n v="55"/>
    <n v="45"/>
    <n v="55"/>
    <n v="355"/>
    <n v="59.166666666666664"/>
    <n v="23"/>
    <n v="2"/>
    <s v="Low"/>
    <n v="135"/>
    <n v="135"/>
  </r>
  <r>
    <n v="63"/>
    <s v="Abra"/>
    <n v="9"/>
    <n v="195"/>
    <n v="62"/>
    <x v="1"/>
    <s v="None"/>
    <n v="25"/>
    <n v="20"/>
    <n v="15"/>
    <n v="105"/>
    <n v="55"/>
    <n v="90"/>
    <n v="310"/>
    <n v="51.666666666666664"/>
    <n v="21.666666666666668"/>
    <n v="1"/>
    <s v="Low"/>
    <n v="125"/>
    <n v="70"/>
  </r>
  <r>
    <n v="81"/>
    <s v="Magnemite"/>
    <n v="3"/>
    <n v="60"/>
    <n v="65"/>
    <x v="13"/>
    <s v="steel"/>
    <n v="25"/>
    <n v="35"/>
    <n v="70"/>
    <n v="95"/>
    <n v="55"/>
    <n v="45"/>
    <n v="325"/>
    <n v="54.166666666666664"/>
    <n v="20"/>
    <n v="2"/>
    <s v="Low"/>
    <n v="130"/>
    <n v="125"/>
  </r>
  <r>
    <n v="129"/>
    <s v="Magikarp"/>
    <n v="9"/>
    <n v="100"/>
    <n v="40"/>
    <x v="2"/>
    <s v="None"/>
    <n v="20"/>
    <n v="10"/>
    <n v="55"/>
    <n v="15"/>
    <n v="20"/>
    <n v="80"/>
    <n v="200"/>
    <n v="33.333333333333336"/>
    <n v="11.111111111111111"/>
    <n v="1"/>
    <s v="Low"/>
    <n v="25"/>
    <n v="75"/>
  </r>
  <r>
    <n v="172"/>
    <s v="Pichu"/>
    <n v="3"/>
    <n v="20"/>
    <n v="41"/>
    <x v="13"/>
    <s v="None"/>
    <n v="20"/>
    <n v="40"/>
    <n v="15"/>
    <n v="35"/>
    <n v="35"/>
    <n v="60"/>
    <n v="205"/>
    <n v="34.166666666666664"/>
    <n v="6.666666666666667"/>
    <n v="1"/>
    <s v="Low"/>
    <n v="75"/>
    <n v="50"/>
  </r>
  <r>
    <n v="213"/>
    <s v="Shuckle"/>
    <n v="6"/>
    <n v="205"/>
    <n v="177"/>
    <x v="14"/>
    <s v="rock"/>
    <n v="20"/>
    <n v="10"/>
    <n v="230"/>
    <n v="10"/>
    <n v="230"/>
    <n v="5"/>
    <n v="505"/>
    <n v="84.166666666666671"/>
    <n v="34.166666666666664"/>
    <n v="2"/>
    <s v="Medium"/>
    <n v="20"/>
    <n v="460"/>
  </r>
  <r>
    <n v="50"/>
    <s v="Diglett"/>
    <n v="2"/>
    <n v="8"/>
    <n v="53"/>
    <x v="4"/>
    <s v="None"/>
    <n v="10"/>
    <n v="55"/>
    <n v="25"/>
    <n v="35"/>
    <n v="45"/>
    <n v="95"/>
    <n v="265"/>
    <n v="44.166666666666664"/>
    <n v="4"/>
    <n v="1"/>
    <s v="Low"/>
    <n v="90"/>
    <n v="7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
    <x v="0"/>
    <n v="7"/>
    <n v="69"/>
    <n v="64"/>
    <x v="0"/>
    <x v="0"/>
    <n v="45"/>
    <n v="49"/>
    <n v="49"/>
    <n v="65"/>
    <n v="65"/>
    <n v="45"/>
    <x v="0"/>
    <n v="53"/>
    <n v="9.8571428571428577"/>
    <n v="2"/>
    <x v="0"/>
    <n v="114"/>
    <n v="114"/>
    <x v="0"/>
  </r>
  <r>
    <n v="2"/>
    <x v="1"/>
    <n v="10"/>
    <n v="130"/>
    <n v="142"/>
    <x v="0"/>
    <x v="0"/>
    <n v="60"/>
    <n v="62"/>
    <n v="63"/>
    <n v="80"/>
    <n v="80"/>
    <n v="60"/>
    <x v="1"/>
    <n v="67.5"/>
    <n v="13"/>
    <n v="2"/>
    <x v="1"/>
    <n v="142"/>
    <n v="143"/>
    <x v="0"/>
  </r>
  <r>
    <n v="3"/>
    <x v="2"/>
    <n v="20"/>
    <n v="1000"/>
    <n v="236"/>
    <x v="0"/>
    <x v="0"/>
    <n v="80"/>
    <n v="82"/>
    <n v="83"/>
    <n v="100"/>
    <n v="100"/>
    <n v="80"/>
    <x v="2"/>
    <n v="87.5"/>
    <n v="50"/>
    <n v="2"/>
    <x v="2"/>
    <n v="182"/>
    <n v="183"/>
    <x v="0"/>
  </r>
  <r>
    <n v="4"/>
    <x v="3"/>
    <n v="6"/>
    <n v="85"/>
    <n v="62"/>
    <x v="1"/>
    <x v="1"/>
    <n v="39"/>
    <n v="52"/>
    <n v="43"/>
    <n v="60"/>
    <n v="50"/>
    <n v="65"/>
    <x v="3"/>
    <n v="51.5"/>
    <n v="14.166666666666666"/>
    <n v="1"/>
    <x v="0"/>
    <n v="112"/>
    <n v="93"/>
    <x v="0"/>
  </r>
  <r>
    <n v="5"/>
    <x v="4"/>
    <n v="11"/>
    <n v="190"/>
    <n v="142"/>
    <x v="1"/>
    <x v="1"/>
    <n v="58"/>
    <n v="64"/>
    <n v="58"/>
    <n v="80"/>
    <n v="65"/>
    <n v="80"/>
    <x v="1"/>
    <n v="67.5"/>
    <n v="17.272727272727273"/>
    <n v="1"/>
    <x v="1"/>
    <n v="144"/>
    <n v="123"/>
    <x v="0"/>
  </r>
  <r>
    <n v="6"/>
    <x v="5"/>
    <n v="17"/>
    <n v="905"/>
    <n v="240"/>
    <x v="1"/>
    <x v="2"/>
    <n v="78"/>
    <n v="84"/>
    <n v="78"/>
    <n v="109"/>
    <n v="85"/>
    <n v="100"/>
    <x v="4"/>
    <n v="89"/>
    <n v="53.235294117647058"/>
    <n v="2"/>
    <x v="2"/>
    <n v="193"/>
    <n v="163"/>
    <x v="0"/>
  </r>
  <r>
    <n v="7"/>
    <x v="6"/>
    <n v="5"/>
    <n v="90"/>
    <n v="63"/>
    <x v="2"/>
    <x v="1"/>
    <n v="44"/>
    <n v="48"/>
    <n v="65"/>
    <n v="50"/>
    <n v="64"/>
    <n v="43"/>
    <x v="5"/>
    <n v="52.333333333333336"/>
    <n v="18"/>
    <n v="1"/>
    <x v="0"/>
    <n v="98"/>
    <n v="129"/>
    <x v="0"/>
  </r>
  <r>
    <n v="8"/>
    <x v="7"/>
    <n v="10"/>
    <n v="225"/>
    <n v="142"/>
    <x v="2"/>
    <x v="1"/>
    <n v="59"/>
    <n v="63"/>
    <n v="80"/>
    <n v="65"/>
    <n v="80"/>
    <n v="58"/>
    <x v="1"/>
    <n v="67.5"/>
    <n v="22.5"/>
    <n v="1"/>
    <x v="1"/>
    <n v="128"/>
    <n v="160"/>
    <x v="0"/>
  </r>
  <r>
    <n v="9"/>
    <x v="8"/>
    <n v="16"/>
    <n v="855"/>
    <n v="239"/>
    <x v="2"/>
    <x v="1"/>
    <n v="79"/>
    <n v="83"/>
    <n v="100"/>
    <n v="85"/>
    <n v="105"/>
    <n v="78"/>
    <x v="6"/>
    <n v="88.333333333333329"/>
    <n v="53.4375"/>
    <n v="1"/>
    <x v="2"/>
    <n v="168"/>
    <n v="205"/>
    <x v="0"/>
  </r>
  <r>
    <n v="10"/>
    <x v="9"/>
    <n v="3"/>
    <n v="29"/>
    <n v="39"/>
    <x v="3"/>
    <x v="1"/>
    <n v="45"/>
    <n v="30"/>
    <n v="35"/>
    <n v="20"/>
    <n v="20"/>
    <n v="45"/>
    <x v="7"/>
    <n v="32.5"/>
    <n v="9.6666666666666661"/>
    <n v="1"/>
    <x v="0"/>
    <n v="50"/>
    <n v="55"/>
    <x v="0"/>
  </r>
  <r>
    <n v="11"/>
    <x v="10"/>
    <n v="7"/>
    <n v="99"/>
    <n v="72"/>
    <x v="3"/>
    <x v="1"/>
    <n v="50"/>
    <n v="20"/>
    <n v="55"/>
    <n v="25"/>
    <n v="25"/>
    <n v="30"/>
    <x v="8"/>
    <n v="34.166666666666664"/>
    <n v="14.142857142857142"/>
    <n v="1"/>
    <x v="0"/>
    <n v="45"/>
    <n v="80"/>
    <x v="0"/>
  </r>
  <r>
    <n v="12"/>
    <x v="11"/>
    <n v="11"/>
    <n v="320"/>
    <n v="178"/>
    <x v="3"/>
    <x v="2"/>
    <n v="60"/>
    <n v="45"/>
    <n v="50"/>
    <n v="90"/>
    <n v="80"/>
    <n v="70"/>
    <x v="9"/>
    <n v="65.833333333333329"/>
    <n v="29.09090909090909"/>
    <n v="2"/>
    <x v="1"/>
    <n v="135"/>
    <n v="130"/>
    <x v="0"/>
  </r>
  <r>
    <n v="13"/>
    <x v="12"/>
    <n v="3"/>
    <n v="32"/>
    <n v="39"/>
    <x v="3"/>
    <x v="0"/>
    <n v="40"/>
    <n v="35"/>
    <n v="30"/>
    <n v="20"/>
    <n v="20"/>
    <n v="50"/>
    <x v="7"/>
    <n v="32.5"/>
    <n v="10.666666666666666"/>
    <n v="2"/>
    <x v="0"/>
    <n v="55"/>
    <n v="50"/>
    <x v="0"/>
  </r>
  <r>
    <n v="14"/>
    <x v="13"/>
    <n v="6"/>
    <n v="100"/>
    <n v="72"/>
    <x v="3"/>
    <x v="0"/>
    <n v="45"/>
    <n v="25"/>
    <n v="50"/>
    <n v="25"/>
    <n v="25"/>
    <n v="35"/>
    <x v="8"/>
    <n v="34.166666666666664"/>
    <n v="16.666666666666668"/>
    <n v="2"/>
    <x v="0"/>
    <n v="50"/>
    <n v="75"/>
    <x v="0"/>
  </r>
  <r>
    <n v="15"/>
    <x v="14"/>
    <n v="10"/>
    <n v="295"/>
    <n v="178"/>
    <x v="3"/>
    <x v="0"/>
    <n v="65"/>
    <n v="90"/>
    <n v="40"/>
    <n v="45"/>
    <n v="80"/>
    <n v="75"/>
    <x v="9"/>
    <n v="65.833333333333329"/>
    <n v="29.5"/>
    <n v="2"/>
    <x v="1"/>
    <n v="135"/>
    <n v="120"/>
    <x v="0"/>
  </r>
  <r>
    <n v="16"/>
    <x v="15"/>
    <n v="3"/>
    <n v="18"/>
    <n v="50"/>
    <x v="4"/>
    <x v="2"/>
    <n v="40"/>
    <n v="45"/>
    <n v="40"/>
    <n v="35"/>
    <n v="35"/>
    <n v="56"/>
    <x v="10"/>
    <n v="41.833333333333336"/>
    <n v="6"/>
    <n v="2"/>
    <x v="0"/>
    <n v="80"/>
    <n v="75"/>
    <x v="0"/>
  </r>
  <r>
    <n v="17"/>
    <x v="16"/>
    <n v="11"/>
    <n v="300"/>
    <n v="122"/>
    <x v="4"/>
    <x v="2"/>
    <n v="63"/>
    <n v="60"/>
    <n v="55"/>
    <n v="50"/>
    <n v="50"/>
    <n v="71"/>
    <x v="11"/>
    <n v="58.166666666666664"/>
    <n v="27.272727272727273"/>
    <n v="2"/>
    <x v="1"/>
    <n v="110"/>
    <n v="105"/>
    <x v="0"/>
  </r>
  <r>
    <n v="18"/>
    <x v="17"/>
    <n v="15"/>
    <n v="395"/>
    <n v="216"/>
    <x v="4"/>
    <x v="2"/>
    <n v="83"/>
    <n v="80"/>
    <n v="75"/>
    <n v="70"/>
    <n v="70"/>
    <n v="101"/>
    <x v="12"/>
    <n v="79.833333333333329"/>
    <n v="26.333333333333332"/>
    <n v="2"/>
    <x v="2"/>
    <n v="150"/>
    <n v="145"/>
    <x v="0"/>
  </r>
  <r>
    <n v="19"/>
    <x v="18"/>
    <n v="3"/>
    <n v="35"/>
    <n v="51"/>
    <x v="4"/>
    <x v="1"/>
    <n v="30"/>
    <n v="56"/>
    <n v="35"/>
    <n v="25"/>
    <n v="35"/>
    <n v="72"/>
    <x v="13"/>
    <n v="42.166666666666664"/>
    <n v="11.666666666666666"/>
    <n v="1"/>
    <x v="0"/>
    <n v="81"/>
    <n v="70"/>
    <x v="0"/>
  </r>
  <r>
    <n v="20"/>
    <x v="19"/>
    <n v="7"/>
    <n v="185"/>
    <n v="145"/>
    <x v="4"/>
    <x v="1"/>
    <n v="55"/>
    <n v="81"/>
    <n v="60"/>
    <n v="50"/>
    <n v="70"/>
    <n v="97"/>
    <x v="14"/>
    <n v="68.833333333333329"/>
    <n v="26.428571428571427"/>
    <n v="1"/>
    <x v="1"/>
    <n v="131"/>
    <n v="130"/>
    <x v="0"/>
  </r>
  <r>
    <n v="21"/>
    <x v="20"/>
    <n v="3"/>
    <n v="20"/>
    <n v="52"/>
    <x v="4"/>
    <x v="2"/>
    <n v="40"/>
    <n v="60"/>
    <n v="30"/>
    <n v="31"/>
    <n v="31"/>
    <n v="70"/>
    <x v="15"/>
    <n v="43.666666666666664"/>
    <n v="6.666666666666667"/>
    <n v="2"/>
    <x v="0"/>
    <n v="91"/>
    <n v="61"/>
    <x v="0"/>
  </r>
  <r>
    <n v="22"/>
    <x v="21"/>
    <n v="12"/>
    <n v="380"/>
    <n v="155"/>
    <x v="4"/>
    <x v="2"/>
    <n v="65"/>
    <n v="90"/>
    <n v="65"/>
    <n v="61"/>
    <n v="61"/>
    <n v="100"/>
    <x v="16"/>
    <n v="73.666666666666671"/>
    <n v="31.666666666666668"/>
    <n v="2"/>
    <x v="1"/>
    <n v="151"/>
    <n v="126"/>
    <x v="0"/>
  </r>
  <r>
    <n v="23"/>
    <x v="22"/>
    <n v="20"/>
    <n v="69"/>
    <n v="58"/>
    <x v="5"/>
    <x v="1"/>
    <n v="35"/>
    <n v="60"/>
    <n v="44"/>
    <n v="40"/>
    <n v="54"/>
    <n v="55"/>
    <x v="17"/>
    <n v="48"/>
    <n v="3.45"/>
    <n v="1"/>
    <x v="0"/>
    <n v="100"/>
    <n v="98"/>
    <x v="0"/>
  </r>
  <r>
    <n v="24"/>
    <x v="23"/>
    <n v="35"/>
    <n v="650"/>
    <n v="157"/>
    <x v="5"/>
    <x v="1"/>
    <n v="60"/>
    <n v="95"/>
    <n v="69"/>
    <n v="65"/>
    <n v="79"/>
    <n v="80"/>
    <x v="18"/>
    <n v="74.666666666666671"/>
    <n v="18.571428571428573"/>
    <n v="1"/>
    <x v="1"/>
    <n v="160"/>
    <n v="148"/>
    <x v="0"/>
  </r>
  <r>
    <n v="25"/>
    <x v="24"/>
    <n v="4"/>
    <n v="60"/>
    <n v="112"/>
    <x v="6"/>
    <x v="1"/>
    <n v="35"/>
    <n v="55"/>
    <n v="40"/>
    <n v="50"/>
    <n v="50"/>
    <n v="90"/>
    <x v="19"/>
    <n v="53.333333333333336"/>
    <n v="15"/>
    <n v="1"/>
    <x v="1"/>
    <n v="105"/>
    <n v="90"/>
    <x v="0"/>
  </r>
  <r>
    <n v="26"/>
    <x v="25"/>
    <n v="8"/>
    <n v="300"/>
    <n v="218"/>
    <x v="6"/>
    <x v="1"/>
    <n v="60"/>
    <n v="90"/>
    <n v="55"/>
    <n v="90"/>
    <n v="80"/>
    <n v="110"/>
    <x v="20"/>
    <n v="80.833333333333329"/>
    <n v="37.5"/>
    <n v="1"/>
    <x v="2"/>
    <n v="180"/>
    <n v="135"/>
    <x v="0"/>
  </r>
  <r>
    <n v="27"/>
    <x v="26"/>
    <n v="6"/>
    <n v="120"/>
    <n v="60"/>
    <x v="7"/>
    <x v="1"/>
    <n v="50"/>
    <n v="75"/>
    <n v="85"/>
    <n v="20"/>
    <n v="30"/>
    <n v="40"/>
    <x v="21"/>
    <n v="50"/>
    <n v="20"/>
    <n v="1"/>
    <x v="0"/>
    <n v="95"/>
    <n v="115"/>
    <x v="0"/>
  </r>
  <r>
    <n v="28"/>
    <x v="27"/>
    <n v="10"/>
    <n v="295"/>
    <n v="158"/>
    <x v="7"/>
    <x v="1"/>
    <n v="75"/>
    <n v="100"/>
    <n v="110"/>
    <n v="45"/>
    <n v="55"/>
    <n v="65"/>
    <x v="22"/>
    <n v="75"/>
    <n v="29.5"/>
    <n v="1"/>
    <x v="1"/>
    <n v="145"/>
    <n v="165"/>
    <x v="0"/>
  </r>
  <r>
    <n v="29"/>
    <x v="28"/>
    <n v="4"/>
    <n v="70"/>
    <n v="55"/>
    <x v="5"/>
    <x v="1"/>
    <n v="55"/>
    <n v="47"/>
    <n v="52"/>
    <n v="40"/>
    <n v="40"/>
    <n v="41"/>
    <x v="23"/>
    <n v="45.833333333333336"/>
    <n v="17.5"/>
    <n v="1"/>
    <x v="0"/>
    <n v="87"/>
    <n v="92"/>
    <x v="0"/>
  </r>
  <r>
    <n v="30"/>
    <x v="29"/>
    <n v="8"/>
    <n v="200"/>
    <n v="128"/>
    <x v="5"/>
    <x v="1"/>
    <n v="70"/>
    <n v="62"/>
    <n v="67"/>
    <n v="55"/>
    <n v="55"/>
    <n v="56"/>
    <x v="24"/>
    <n v="60.833333333333336"/>
    <n v="25"/>
    <n v="1"/>
    <x v="1"/>
    <n v="117"/>
    <n v="122"/>
    <x v="0"/>
  </r>
  <r>
    <n v="31"/>
    <x v="30"/>
    <n v="13"/>
    <n v="600"/>
    <n v="227"/>
    <x v="5"/>
    <x v="3"/>
    <n v="90"/>
    <n v="92"/>
    <n v="87"/>
    <n v="75"/>
    <n v="85"/>
    <n v="76"/>
    <x v="25"/>
    <n v="84.166666666666671"/>
    <n v="46.153846153846153"/>
    <n v="2"/>
    <x v="2"/>
    <n v="167"/>
    <n v="172"/>
    <x v="0"/>
  </r>
  <r>
    <n v="32"/>
    <x v="31"/>
    <n v="5"/>
    <n v="90"/>
    <n v="55"/>
    <x v="5"/>
    <x v="1"/>
    <n v="46"/>
    <n v="57"/>
    <n v="40"/>
    <n v="40"/>
    <n v="40"/>
    <n v="50"/>
    <x v="26"/>
    <n v="45.5"/>
    <n v="18"/>
    <n v="1"/>
    <x v="0"/>
    <n v="97"/>
    <n v="80"/>
    <x v="0"/>
  </r>
  <r>
    <n v="33"/>
    <x v="32"/>
    <n v="9"/>
    <n v="195"/>
    <n v="128"/>
    <x v="5"/>
    <x v="1"/>
    <n v="61"/>
    <n v="72"/>
    <n v="57"/>
    <n v="55"/>
    <n v="55"/>
    <n v="65"/>
    <x v="24"/>
    <n v="60.833333333333336"/>
    <n v="21.666666666666668"/>
    <n v="1"/>
    <x v="1"/>
    <n v="127"/>
    <n v="112"/>
    <x v="0"/>
  </r>
  <r>
    <n v="34"/>
    <x v="33"/>
    <n v="14"/>
    <n v="620"/>
    <n v="227"/>
    <x v="5"/>
    <x v="3"/>
    <n v="81"/>
    <n v="102"/>
    <n v="77"/>
    <n v="85"/>
    <n v="75"/>
    <n v="85"/>
    <x v="25"/>
    <n v="84.166666666666671"/>
    <n v="44.285714285714285"/>
    <n v="2"/>
    <x v="2"/>
    <n v="187"/>
    <n v="152"/>
    <x v="0"/>
  </r>
  <r>
    <n v="35"/>
    <x v="34"/>
    <n v="6"/>
    <n v="75"/>
    <n v="113"/>
    <x v="8"/>
    <x v="1"/>
    <n v="70"/>
    <n v="45"/>
    <n v="48"/>
    <n v="60"/>
    <n v="65"/>
    <n v="35"/>
    <x v="27"/>
    <n v="53.833333333333336"/>
    <n v="12.5"/>
    <n v="1"/>
    <x v="1"/>
    <n v="105"/>
    <n v="113"/>
    <x v="0"/>
  </r>
  <r>
    <n v="36"/>
    <x v="35"/>
    <n v="13"/>
    <n v="400"/>
    <n v="217"/>
    <x v="8"/>
    <x v="1"/>
    <n v="95"/>
    <n v="70"/>
    <n v="73"/>
    <n v="95"/>
    <n v="90"/>
    <n v="60"/>
    <x v="28"/>
    <n v="80.5"/>
    <n v="30.76923076923077"/>
    <n v="1"/>
    <x v="2"/>
    <n v="165"/>
    <n v="163"/>
    <x v="0"/>
  </r>
  <r>
    <n v="37"/>
    <x v="36"/>
    <n v="6"/>
    <n v="99"/>
    <n v="60"/>
    <x v="1"/>
    <x v="1"/>
    <n v="38"/>
    <n v="41"/>
    <n v="40"/>
    <n v="50"/>
    <n v="65"/>
    <n v="65"/>
    <x v="29"/>
    <n v="49.833333333333336"/>
    <n v="16.5"/>
    <n v="1"/>
    <x v="0"/>
    <n v="91"/>
    <n v="105"/>
    <x v="0"/>
  </r>
  <r>
    <n v="38"/>
    <x v="37"/>
    <n v="11"/>
    <n v="199"/>
    <n v="177"/>
    <x v="1"/>
    <x v="1"/>
    <n v="73"/>
    <n v="76"/>
    <n v="75"/>
    <n v="81"/>
    <n v="100"/>
    <n v="100"/>
    <x v="25"/>
    <n v="84.166666666666671"/>
    <n v="18.09090909090909"/>
    <n v="1"/>
    <x v="1"/>
    <n v="157"/>
    <n v="175"/>
    <x v="0"/>
  </r>
  <r>
    <n v="39"/>
    <x v="38"/>
    <n v="5"/>
    <n v="55"/>
    <n v="95"/>
    <x v="4"/>
    <x v="4"/>
    <n v="115"/>
    <n v="45"/>
    <n v="20"/>
    <n v="45"/>
    <n v="25"/>
    <n v="20"/>
    <x v="30"/>
    <n v="45"/>
    <n v="11"/>
    <n v="2"/>
    <x v="0"/>
    <n v="90"/>
    <n v="45"/>
    <x v="0"/>
  </r>
  <r>
    <n v="40"/>
    <x v="39"/>
    <n v="10"/>
    <n v="120"/>
    <n v="196"/>
    <x v="4"/>
    <x v="4"/>
    <n v="140"/>
    <n v="70"/>
    <n v="45"/>
    <n v="85"/>
    <n v="50"/>
    <n v="45"/>
    <x v="31"/>
    <n v="72.5"/>
    <n v="12"/>
    <n v="2"/>
    <x v="1"/>
    <n v="155"/>
    <n v="95"/>
    <x v="0"/>
  </r>
  <r>
    <n v="41"/>
    <x v="40"/>
    <n v="8"/>
    <n v="75"/>
    <n v="49"/>
    <x v="5"/>
    <x v="2"/>
    <n v="40"/>
    <n v="45"/>
    <n v="35"/>
    <n v="30"/>
    <n v="40"/>
    <n v="55"/>
    <x v="32"/>
    <n v="40.833333333333336"/>
    <n v="9.375"/>
    <n v="2"/>
    <x v="0"/>
    <n v="75"/>
    <n v="75"/>
    <x v="0"/>
  </r>
  <r>
    <n v="42"/>
    <x v="41"/>
    <n v="16"/>
    <n v="550"/>
    <n v="159"/>
    <x v="5"/>
    <x v="2"/>
    <n v="75"/>
    <n v="80"/>
    <n v="70"/>
    <n v="65"/>
    <n v="75"/>
    <n v="90"/>
    <x v="33"/>
    <n v="75.833333333333329"/>
    <n v="34.375"/>
    <n v="2"/>
    <x v="1"/>
    <n v="145"/>
    <n v="145"/>
    <x v="0"/>
  </r>
  <r>
    <n v="43"/>
    <x v="42"/>
    <n v="5"/>
    <n v="54"/>
    <n v="64"/>
    <x v="0"/>
    <x v="0"/>
    <n v="45"/>
    <n v="50"/>
    <n v="55"/>
    <n v="75"/>
    <n v="65"/>
    <n v="30"/>
    <x v="19"/>
    <n v="53.333333333333336"/>
    <n v="10.8"/>
    <n v="2"/>
    <x v="0"/>
    <n v="125"/>
    <n v="120"/>
    <x v="0"/>
  </r>
  <r>
    <n v="44"/>
    <x v="43"/>
    <n v="8"/>
    <n v="86"/>
    <n v="138"/>
    <x v="0"/>
    <x v="0"/>
    <n v="60"/>
    <n v="65"/>
    <n v="70"/>
    <n v="85"/>
    <n v="75"/>
    <n v="40"/>
    <x v="9"/>
    <n v="65.833333333333329"/>
    <n v="10.75"/>
    <n v="2"/>
    <x v="1"/>
    <n v="150"/>
    <n v="145"/>
    <x v="0"/>
  </r>
  <r>
    <n v="45"/>
    <x v="44"/>
    <n v="12"/>
    <n v="186"/>
    <n v="221"/>
    <x v="0"/>
    <x v="0"/>
    <n v="75"/>
    <n v="80"/>
    <n v="85"/>
    <n v="110"/>
    <n v="90"/>
    <n v="50"/>
    <x v="34"/>
    <n v="81.666666666666671"/>
    <n v="15.5"/>
    <n v="2"/>
    <x v="2"/>
    <n v="190"/>
    <n v="175"/>
    <x v="0"/>
  </r>
  <r>
    <n v="46"/>
    <x v="45"/>
    <n v="3"/>
    <n v="54"/>
    <n v="57"/>
    <x v="3"/>
    <x v="5"/>
    <n v="35"/>
    <n v="70"/>
    <n v="55"/>
    <n v="45"/>
    <n v="55"/>
    <n v="25"/>
    <x v="35"/>
    <n v="47.5"/>
    <n v="18"/>
    <n v="2"/>
    <x v="0"/>
    <n v="115"/>
    <n v="110"/>
    <x v="0"/>
  </r>
  <r>
    <n v="47"/>
    <x v="46"/>
    <n v="10"/>
    <n v="295"/>
    <n v="142"/>
    <x v="3"/>
    <x v="5"/>
    <n v="60"/>
    <n v="95"/>
    <n v="80"/>
    <n v="60"/>
    <n v="80"/>
    <n v="30"/>
    <x v="1"/>
    <n v="67.5"/>
    <n v="29.5"/>
    <n v="2"/>
    <x v="1"/>
    <n v="155"/>
    <n v="160"/>
    <x v="0"/>
  </r>
  <r>
    <n v="48"/>
    <x v="47"/>
    <n v="10"/>
    <n v="300"/>
    <n v="61"/>
    <x v="3"/>
    <x v="0"/>
    <n v="60"/>
    <n v="55"/>
    <n v="50"/>
    <n v="40"/>
    <n v="55"/>
    <n v="45"/>
    <x v="36"/>
    <n v="50.833333333333336"/>
    <n v="30"/>
    <n v="2"/>
    <x v="0"/>
    <n v="95"/>
    <n v="105"/>
    <x v="0"/>
  </r>
  <r>
    <n v="49"/>
    <x v="48"/>
    <n v="15"/>
    <n v="125"/>
    <n v="158"/>
    <x v="3"/>
    <x v="0"/>
    <n v="70"/>
    <n v="65"/>
    <n v="60"/>
    <n v="90"/>
    <n v="75"/>
    <n v="90"/>
    <x v="22"/>
    <n v="75"/>
    <n v="8.3333333333333339"/>
    <n v="2"/>
    <x v="1"/>
    <n v="155"/>
    <n v="135"/>
    <x v="0"/>
  </r>
  <r>
    <n v="50"/>
    <x v="49"/>
    <n v="2"/>
    <n v="8"/>
    <n v="53"/>
    <x v="7"/>
    <x v="1"/>
    <n v="10"/>
    <n v="55"/>
    <n v="25"/>
    <n v="35"/>
    <n v="45"/>
    <n v="95"/>
    <x v="37"/>
    <n v="44.166666666666664"/>
    <n v="4"/>
    <n v="1"/>
    <x v="0"/>
    <n v="90"/>
    <n v="70"/>
    <x v="0"/>
  </r>
  <r>
    <n v="51"/>
    <x v="50"/>
    <n v="7"/>
    <n v="333"/>
    <n v="149"/>
    <x v="7"/>
    <x v="1"/>
    <n v="35"/>
    <n v="100"/>
    <n v="50"/>
    <n v="50"/>
    <n v="70"/>
    <n v="120"/>
    <x v="38"/>
    <n v="70.833333333333329"/>
    <n v="47.571428571428569"/>
    <n v="1"/>
    <x v="1"/>
    <n v="150"/>
    <n v="120"/>
    <x v="0"/>
  </r>
  <r>
    <n v="52"/>
    <x v="51"/>
    <n v="4"/>
    <n v="42"/>
    <n v="58"/>
    <x v="4"/>
    <x v="1"/>
    <n v="40"/>
    <n v="45"/>
    <n v="35"/>
    <n v="40"/>
    <n v="40"/>
    <n v="90"/>
    <x v="39"/>
    <n v="48.333333333333336"/>
    <n v="10.5"/>
    <n v="1"/>
    <x v="0"/>
    <n v="85"/>
    <n v="75"/>
    <x v="0"/>
  </r>
  <r>
    <n v="53"/>
    <x v="52"/>
    <n v="10"/>
    <n v="320"/>
    <n v="154"/>
    <x v="4"/>
    <x v="1"/>
    <n v="65"/>
    <n v="70"/>
    <n v="60"/>
    <n v="65"/>
    <n v="65"/>
    <n v="115"/>
    <x v="40"/>
    <n v="73.333333333333329"/>
    <n v="32"/>
    <n v="1"/>
    <x v="1"/>
    <n v="135"/>
    <n v="125"/>
    <x v="0"/>
  </r>
  <r>
    <n v="54"/>
    <x v="53"/>
    <n v="8"/>
    <n v="196"/>
    <n v="64"/>
    <x v="2"/>
    <x v="1"/>
    <n v="50"/>
    <n v="52"/>
    <n v="48"/>
    <n v="65"/>
    <n v="50"/>
    <n v="55"/>
    <x v="19"/>
    <n v="53.333333333333336"/>
    <n v="24.5"/>
    <n v="1"/>
    <x v="0"/>
    <n v="117"/>
    <n v="98"/>
    <x v="0"/>
  </r>
  <r>
    <n v="55"/>
    <x v="54"/>
    <n v="17"/>
    <n v="766"/>
    <n v="175"/>
    <x v="2"/>
    <x v="1"/>
    <n v="80"/>
    <n v="82"/>
    <n v="78"/>
    <n v="95"/>
    <n v="80"/>
    <n v="85"/>
    <x v="41"/>
    <n v="83.333333333333329"/>
    <n v="45.058823529411768"/>
    <n v="1"/>
    <x v="1"/>
    <n v="177"/>
    <n v="158"/>
    <x v="0"/>
  </r>
  <r>
    <n v="56"/>
    <x v="55"/>
    <n v="5"/>
    <n v="280"/>
    <n v="61"/>
    <x v="9"/>
    <x v="1"/>
    <n v="40"/>
    <n v="80"/>
    <n v="35"/>
    <n v="35"/>
    <n v="45"/>
    <n v="70"/>
    <x v="36"/>
    <n v="50.833333333333336"/>
    <n v="56"/>
    <n v="1"/>
    <x v="0"/>
    <n v="115"/>
    <n v="80"/>
    <x v="0"/>
  </r>
  <r>
    <n v="57"/>
    <x v="56"/>
    <n v="10"/>
    <n v="320"/>
    <n v="159"/>
    <x v="9"/>
    <x v="1"/>
    <n v="65"/>
    <n v="105"/>
    <n v="60"/>
    <n v="60"/>
    <n v="70"/>
    <n v="95"/>
    <x v="33"/>
    <n v="75.833333333333329"/>
    <n v="32"/>
    <n v="1"/>
    <x v="1"/>
    <n v="165"/>
    <n v="130"/>
    <x v="0"/>
  </r>
  <r>
    <n v="58"/>
    <x v="57"/>
    <n v="7"/>
    <n v="190"/>
    <n v="70"/>
    <x v="1"/>
    <x v="1"/>
    <n v="55"/>
    <n v="70"/>
    <n v="45"/>
    <n v="70"/>
    <n v="50"/>
    <n v="60"/>
    <x v="42"/>
    <n v="58.333333333333336"/>
    <n v="27.142857142857142"/>
    <n v="1"/>
    <x v="0"/>
    <n v="140"/>
    <n v="95"/>
    <x v="0"/>
  </r>
  <r>
    <n v="59"/>
    <x v="58"/>
    <n v="19"/>
    <n v="1550"/>
    <n v="194"/>
    <x v="1"/>
    <x v="1"/>
    <n v="90"/>
    <n v="110"/>
    <n v="80"/>
    <n v="100"/>
    <n v="80"/>
    <n v="95"/>
    <x v="43"/>
    <n v="92.5"/>
    <n v="81.578947368421055"/>
    <n v="1"/>
    <x v="1"/>
    <n v="210"/>
    <n v="160"/>
    <x v="0"/>
  </r>
  <r>
    <n v="60"/>
    <x v="59"/>
    <n v="6"/>
    <n v="124"/>
    <n v="60"/>
    <x v="2"/>
    <x v="1"/>
    <n v="40"/>
    <n v="50"/>
    <n v="40"/>
    <n v="40"/>
    <n v="40"/>
    <n v="90"/>
    <x v="21"/>
    <n v="50"/>
    <n v="20.666666666666668"/>
    <n v="1"/>
    <x v="0"/>
    <n v="90"/>
    <n v="80"/>
    <x v="0"/>
  </r>
  <r>
    <n v="61"/>
    <x v="60"/>
    <n v="10"/>
    <n v="200"/>
    <n v="135"/>
    <x v="2"/>
    <x v="1"/>
    <n v="65"/>
    <n v="65"/>
    <n v="65"/>
    <n v="50"/>
    <n v="50"/>
    <n v="90"/>
    <x v="44"/>
    <n v="64.166666666666671"/>
    <n v="20"/>
    <n v="1"/>
    <x v="1"/>
    <n v="115"/>
    <n v="115"/>
    <x v="0"/>
  </r>
  <r>
    <n v="62"/>
    <x v="61"/>
    <n v="13"/>
    <n v="540"/>
    <n v="230"/>
    <x v="2"/>
    <x v="6"/>
    <n v="90"/>
    <n v="95"/>
    <n v="95"/>
    <n v="70"/>
    <n v="90"/>
    <n v="70"/>
    <x v="45"/>
    <n v="85"/>
    <n v="41.53846153846154"/>
    <n v="2"/>
    <x v="2"/>
    <n v="165"/>
    <n v="185"/>
    <x v="0"/>
  </r>
  <r>
    <n v="63"/>
    <x v="62"/>
    <n v="9"/>
    <n v="195"/>
    <n v="62"/>
    <x v="10"/>
    <x v="1"/>
    <n v="25"/>
    <n v="20"/>
    <n v="15"/>
    <n v="105"/>
    <n v="55"/>
    <n v="90"/>
    <x v="46"/>
    <n v="51.666666666666664"/>
    <n v="21.666666666666668"/>
    <n v="1"/>
    <x v="0"/>
    <n v="125"/>
    <n v="70"/>
    <x v="0"/>
  </r>
  <r>
    <n v="64"/>
    <x v="63"/>
    <n v="13"/>
    <n v="565"/>
    <n v="140"/>
    <x v="10"/>
    <x v="1"/>
    <n v="40"/>
    <n v="35"/>
    <n v="30"/>
    <n v="120"/>
    <n v="70"/>
    <n v="105"/>
    <x v="47"/>
    <n v="66.666666666666671"/>
    <n v="43.46153846153846"/>
    <n v="1"/>
    <x v="1"/>
    <n v="155"/>
    <n v="100"/>
    <x v="0"/>
  </r>
  <r>
    <n v="65"/>
    <x v="64"/>
    <n v="15"/>
    <n v="480"/>
    <n v="225"/>
    <x v="10"/>
    <x v="1"/>
    <n v="55"/>
    <n v="50"/>
    <n v="45"/>
    <n v="135"/>
    <n v="95"/>
    <n v="120"/>
    <x v="41"/>
    <n v="83.333333333333329"/>
    <n v="32"/>
    <n v="1"/>
    <x v="2"/>
    <n v="185"/>
    <n v="140"/>
    <x v="0"/>
  </r>
  <r>
    <n v="66"/>
    <x v="65"/>
    <n v="8"/>
    <n v="195"/>
    <n v="61"/>
    <x v="9"/>
    <x v="1"/>
    <n v="70"/>
    <n v="80"/>
    <n v="50"/>
    <n v="35"/>
    <n v="35"/>
    <n v="35"/>
    <x v="36"/>
    <n v="50.833333333333336"/>
    <n v="24.375"/>
    <n v="1"/>
    <x v="0"/>
    <n v="115"/>
    <n v="85"/>
    <x v="0"/>
  </r>
  <r>
    <n v="67"/>
    <x v="66"/>
    <n v="15"/>
    <n v="705"/>
    <n v="142"/>
    <x v="9"/>
    <x v="1"/>
    <n v="80"/>
    <n v="100"/>
    <n v="70"/>
    <n v="50"/>
    <n v="60"/>
    <n v="45"/>
    <x v="1"/>
    <n v="67.5"/>
    <n v="47"/>
    <n v="1"/>
    <x v="1"/>
    <n v="150"/>
    <n v="130"/>
    <x v="0"/>
  </r>
  <r>
    <n v="68"/>
    <x v="67"/>
    <n v="16"/>
    <n v="1300"/>
    <n v="227"/>
    <x v="9"/>
    <x v="1"/>
    <n v="90"/>
    <n v="130"/>
    <n v="80"/>
    <n v="65"/>
    <n v="85"/>
    <n v="55"/>
    <x v="25"/>
    <n v="84.166666666666671"/>
    <n v="81.25"/>
    <n v="1"/>
    <x v="2"/>
    <n v="195"/>
    <n v="165"/>
    <x v="0"/>
  </r>
  <r>
    <n v="69"/>
    <x v="68"/>
    <n v="7"/>
    <n v="40"/>
    <n v="60"/>
    <x v="0"/>
    <x v="0"/>
    <n v="50"/>
    <n v="75"/>
    <n v="35"/>
    <n v="70"/>
    <n v="30"/>
    <n v="40"/>
    <x v="21"/>
    <n v="50"/>
    <n v="5.7142857142857144"/>
    <n v="2"/>
    <x v="0"/>
    <n v="145"/>
    <n v="65"/>
    <x v="0"/>
  </r>
  <r>
    <n v="70"/>
    <x v="69"/>
    <n v="10"/>
    <n v="64"/>
    <n v="137"/>
    <x v="0"/>
    <x v="0"/>
    <n v="65"/>
    <n v="90"/>
    <n v="50"/>
    <n v="85"/>
    <n v="45"/>
    <n v="55"/>
    <x v="48"/>
    <n v="65"/>
    <n v="6.4"/>
    <n v="2"/>
    <x v="1"/>
    <n v="175"/>
    <n v="95"/>
    <x v="0"/>
  </r>
  <r>
    <n v="71"/>
    <x v="70"/>
    <n v="17"/>
    <n v="155"/>
    <n v="221"/>
    <x v="0"/>
    <x v="0"/>
    <n v="80"/>
    <n v="105"/>
    <n v="65"/>
    <n v="100"/>
    <n v="70"/>
    <n v="70"/>
    <x v="34"/>
    <n v="81.666666666666671"/>
    <n v="9.117647058823529"/>
    <n v="2"/>
    <x v="2"/>
    <n v="205"/>
    <n v="135"/>
    <x v="0"/>
  </r>
  <r>
    <n v="72"/>
    <x v="71"/>
    <n v="9"/>
    <n v="455"/>
    <n v="67"/>
    <x v="2"/>
    <x v="0"/>
    <n v="40"/>
    <n v="40"/>
    <n v="35"/>
    <n v="50"/>
    <n v="100"/>
    <n v="70"/>
    <x v="49"/>
    <n v="55.833333333333336"/>
    <n v="50.555555555555557"/>
    <n v="2"/>
    <x v="0"/>
    <n v="90"/>
    <n v="135"/>
    <x v="0"/>
  </r>
  <r>
    <n v="73"/>
    <x v="72"/>
    <n v="16"/>
    <n v="550"/>
    <n v="180"/>
    <x v="2"/>
    <x v="0"/>
    <n v="80"/>
    <n v="70"/>
    <n v="65"/>
    <n v="80"/>
    <n v="120"/>
    <n v="100"/>
    <x v="50"/>
    <n v="85.833333333333329"/>
    <n v="34.375"/>
    <n v="2"/>
    <x v="1"/>
    <n v="150"/>
    <n v="185"/>
    <x v="0"/>
  </r>
  <r>
    <n v="74"/>
    <x v="73"/>
    <n v="4"/>
    <n v="200"/>
    <n v="60"/>
    <x v="11"/>
    <x v="3"/>
    <n v="40"/>
    <n v="80"/>
    <n v="100"/>
    <n v="30"/>
    <n v="30"/>
    <n v="20"/>
    <x v="21"/>
    <n v="50"/>
    <n v="50"/>
    <n v="2"/>
    <x v="0"/>
    <n v="110"/>
    <n v="130"/>
    <x v="0"/>
  </r>
  <r>
    <n v="75"/>
    <x v="74"/>
    <n v="10"/>
    <n v="1050"/>
    <n v="137"/>
    <x v="11"/>
    <x v="3"/>
    <n v="55"/>
    <n v="95"/>
    <n v="115"/>
    <n v="45"/>
    <n v="45"/>
    <n v="35"/>
    <x v="48"/>
    <n v="65"/>
    <n v="105"/>
    <n v="2"/>
    <x v="1"/>
    <n v="140"/>
    <n v="160"/>
    <x v="0"/>
  </r>
  <r>
    <n v="76"/>
    <x v="75"/>
    <n v="14"/>
    <n v="3000"/>
    <n v="223"/>
    <x v="11"/>
    <x v="3"/>
    <n v="80"/>
    <n v="120"/>
    <n v="130"/>
    <n v="55"/>
    <n v="65"/>
    <n v="45"/>
    <x v="51"/>
    <n v="82.5"/>
    <n v="214.28571428571428"/>
    <n v="2"/>
    <x v="2"/>
    <n v="175"/>
    <n v="195"/>
    <x v="0"/>
  </r>
  <r>
    <n v="77"/>
    <x v="76"/>
    <n v="10"/>
    <n v="300"/>
    <n v="82"/>
    <x v="1"/>
    <x v="1"/>
    <n v="50"/>
    <n v="85"/>
    <n v="55"/>
    <n v="65"/>
    <n v="65"/>
    <n v="90"/>
    <x v="52"/>
    <n v="68.333333333333329"/>
    <n v="30"/>
    <n v="1"/>
    <x v="0"/>
    <n v="150"/>
    <n v="120"/>
    <x v="0"/>
  </r>
  <r>
    <n v="78"/>
    <x v="77"/>
    <n v="17"/>
    <n v="950"/>
    <n v="175"/>
    <x v="1"/>
    <x v="1"/>
    <n v="65"/>
    <n v="100"/>
    <n v="70"/>
    <n v="80"/>
    <n v="80"/>
    <n v="105"/>
    <x v="41"/>
    <n v="83.333333333333329"/>
    <n v="55.882352941176471"/>
    <n v="1"/>
    <x v="1"/>
    <n v="180"/>
    <n v="150"/>
    <x v="0"/>
  </r>
  <r>
    <n v="79"/>
    <x v="78"/>
    <n v="12"/>
    <n v="360"/>
    <n v="63"/>
    <x v="2"/>
    <x v="7"/>
    <n v="90"/>
    <n v="65"/>
    <n v="65"/>
    <n v="40"/>
    <n v="40"/>
    <n v="15"/>
    <x v="53"/>
    <n v="52.5"/>
    <n v="30"/>
    <n v="2"/>
    <x v="0"/>
    <n v="105"/>
    <n v="105"/>
    <x v="0"/>
  </r>
  <r>
    <n v="80"/>
    <x v="79"/>
    <n v="16"/>
    <n v="785"/>
    <n v="172"/>
    <x v="2"/>
    <x v="7"/>
    <n v="95"/>
    <n v="75"/>
    <n v="110"/>
    <n v="100"/>
    <n v="80"/>
    <n v="30"/>
    <x v="34"/>
    <n v="81.666666666666671"/>
    <n v="49.0625"/>
    <n v="2"/>
    <x v="1"/>
    <n v="175"/>
    <n v="190"/>
    <x v="0"/>
  </r>
  <r>
    <n v="81"/>
    <x v="80"/>
    <n v="3"/>
    <n v="60"/>
    <n v="65"/>
    <x v="6"/>
    <x v="8"/>
    <n v="25"/>
    <n v="35"/>
    <n v="70"/>
    <n v="95"/>
    <n v="55"/>
    <n v="45"/>
    <x v="54"/>
    <n v="54.166666666666664"/>
    <n v="20"/>
    <n v="2"/>
    <x v="0"/>
    <n v="130"/>
    <n v="125"/>
    <x v="0"/>
  </r>
  <r>
    <n v="82"/>
    <x v="81"/>
    <n v="10"/>
    <n v="600"/>
    <n v="163"/>
    <x v="6"/>
    <x v="8"/>
    <n v="50"/>
    <n v="60"/>
    <n v="95"/>
    <n v="120"/>
    <n v="70"/>
    <n v="70"/>
    <x v="55"/>
    <n v="77.5"/>
    <n v="60"/>
    <n v="2"/>
    <x v="1"/>
    <n v="180"/>
    <n v="165"/>
    <x v="0"/>
  </r>
  <r>
    <n v="83"/>
    <x v="82"/>
    <n v="8"/>
    <n v="150"/>
    <n v="132"/>
    <x v="4"/>
    <x v="2"/>
    <n v="52"/>
    <n v="90"/>
    <n v="55"/>
    <n v="58"/>
    <n v="62"/>
    <n v="60"/>
    <x v="56"/>
    <n v="62.833333333333336"/>
    <n v="18.75"/>
    <n v="2"/>
    <x v="1"/>
    <n v="148"/>
    <n v="117"/>
    <x v="0"/>
  </r>
  <r>
    <n v="84"/>
    <x v="83"/>
    <n v="14"/>
    <n v="392"/>
    <n v="62"/>
    <x v="4"/>
    <x v="2"/>
    <n v="35"/>
    <n v="85"/>
    <n v="45"/>
    <n v="35"/>
    <n v="35"/>
    <n v="75"/>
    <x v="46"/>
    <n v="51.666666666666664"/>
    <n v="28"/>
    <n v="2"/>
    <x v="0"/>
    <n v="120"/>
    <n v="80"/>
    <x v="0"/>
  </r>
  <r>
    <n v="85"/>
    <x v="84"/>
    <n v="18"/>
    <n v="852"/>
    <n v="165"/>
    <x v="4"/>
    <x v="2"/>
    <n v="60"/>
    <n v="110"/>
    <n v="70"/>
    <n v="60"/>
    <n v="60"/>
    <n v="110"/>
    <x v="57"/>
    <n v="78.333333333333329"/>
    <n v="47.333333333333336"/>
    <n v="2"/>
    <x v="1"/>
    <n v="170"/>
    <n v="130"/>
    <x v="0"/>
  </r>
  <r>
    <n v="86"/>
    <x v="85"/>
    <n v="11"/>
    <n v="900"/>
    <n v="65"/>
    <x v="2"/>
    <x v="1"/>
    <n v="65"/>
    <n v="45"/>
    <n v="55"/>
    <n v="45"/>
    <n v="70"/>
    <n v="45"/>
    <x v="54"/>
    <n v="54.166666666666664"/>
    <n v="81.818181818181813"/>
    <n v="1"/>
    <x v="0"/>
    <n v="90"/>
    <n v="125"/>
    <x v="0"/>
  </r>
  <r>
    <n v="87"/>
    <x v="86"/>
    <n v="17"/>
    <n v="1200"/>
    <n v="166"/>
    <x v="2"/>
    <x v="9"/>
    <n v="90"/>
    <n v="70"/>
    <n v="80"/>
    <n v="70"/>
    <n v="95"/>
    <n v="70"/>
    <x v="58"/>
    <n v="79.166666666666671"/>
    <n v="70.588235294117652"/>
    <n v="2"/>
    <x v="1"/>
    <n v="140"/>
    <n v="175"/>
    <x v="0"/>
  </r>
  <r>
    <n v="88"/>
    <x v="87"/>
    <n v="9"/>
    <n v="300"/>
    <n v="65"/>
    <x v="5"/>
    <x v="1"/>
    <n v="80"/>
    <n v="80"/>
    <n v="50"/>
    <n v="40"/>
    <n v="50"/>
    <n v="25"/>
    <x v="54"/>
    <n v="54.166666666666664"/>
    <n v="33.333333333333336"/>
    <n v="1"/>
    <x v="0"/>
    <n v="120"/>
    <n v="100"/>
    <x v="0"/>
  </r>
  <r>
    <n v="89"/>
    <x v="88"/>
    <n v="12"/>
    <n v="300"/>
    <n v="175"/>
    <x v="5"/>
    <x v="1"/>
    <n v="105"/>
    <n v="105"/>
    <n v="75"/>
    <n v="65"/>
    <n v="100"/>
    <n v="50"/>
    <x v="41"/>
    <n v="83.333333333333329"/>
    <n v="25"/>
    <n v="1"/>
    <x v="1"/>
    <n v="170"/>
    <n v="175"/>
    <x v="0"/>
  </r>
  <r>
    <n v="90"/>
    <x v="89"/>
    <n v="3"/>
    <n v="40"/>
    <n v="61"/>
    <x v="2"/>
    <x v="1"/>
    <n v="30"/>
    <n v="65"/>
    <n v="100"/>
    <n v="45"/>
    <n v="25"/>
    <n v="40"/>
    <x v="36"/>
    <n v="50.833333333333336"/>
    <n v="13.333333333333334"/>
    <n v="1"/>
    <x v="0"/>
    <n v="110"/>
    <n v="125"/>
    <x v="0"/>
  </r>
  <r>
    <n v="91"/>
    <x v="90"/>
    <n v="15"/>
    <n v="1325"/>
    <n v="184"/>
    <x v="2"/>
    <x v="9"/>
    <n v="50"/>
    <n v="95"/>
    <n v="180"/>
    <n v="85"/>
    <n v="45"/>
    <n v="70"/>
    <x v="2"/>
    <n v="87.5"/>
    <n v="88.333333333333329"/>
    <n v="2"/>
    <x v="1"/>
    <n v="180"/>
    <n v="225"/>
    <x v="0"/>
  </r>
  <r>
    <n v="92"/>
    <x v="91"/>
    <n v="13"/>
    <n v="1"/>
    <n v="62"/>
    <x v="12"/>
    <x v="0"/>
    <n v="30"/>
    <n v="35"/>
    <n v="30"/>
    <n v="100"/>
    <n v="35"/>
    <n v="80"/>
    <x v="46"/>
    <n v="51.666666666666664"/>
    <n v="7.6923076923076927E-2"/>
    <n v="2"/>
    <x v="0"/>
    <n v="135"/>
    <n v="65"/>
    <x v="0"/>
  </r>
  <r>
    <n v="93"/>
    <x v="92"/>
    <n v="16"/>
    <n v="1"/>
    <n v="142"/>
    <x v="12"/>
    <x v="0"/>
    <n v="45"/>
    <n v="50"/>
    <n v="45"/>
    <n v="115"/>
    <n v="55"/>
    <n v="95"/>
    <x v="1"/>
    <n v="67.5"/>
    <n v="6.25E-2"/>
    <n v="2"/>
    <x v="1"/>
    <n v="165"/>
    <n v="100"/>
    <x v="0"/>
  </r>
  <r>
    <n v="94"/>
    <x v="93"/>
    <n v="15"/>
    <n v="405"/>
    <n v="225"/>
    <x v="12"/>
    <x v="0"/>
    <n v="60"/>
    <n v="65"/>
    <n v="60"/>
    <n v="130"/>
    <n v="75"/>
    <n v="110"/>
    <x v="41"/>
    <n v="83.333333333333329"/>
    <n v="27"/>
    <n v="2"/>
    <x v="2"/>
    <n v="195"/>
    <n v="135"/>
    <x v="0"/>
  </r>
  <r>
    <n v="95"/>
    <x v="94"/>
    <n v="88"/>
    <n v="2100"/>
    <n v="77"/>
    <x v="11"/>
    <x v="3"/>
    <n v="35"/>
    <n v="45"/>
    <n v="160"/>
    <n v="30"/>
    <n v="45"/>
    <n v="70"/>
    <x v="44"/>
    <n v="64.166666666666671"/>
    <n v="23.863636363636363"/>
    <n v="2"/>
    <x v="0"/>
    <n v="75"/>
    <n v="205"/>
    <x v="0"/>
  </r>
  <r>
    <n v="96"/>
    <x v="95"/>
    <n v="10"/>
    <n v="324"/>
    <n v="66"/>
    <x v="10"/>
    <x v="1"/>
    <n v="60"/>
    <n v="48"/>
    <n v="45"/>
    <n v="43"/>
    <n v="90"/>
    <n v="42"/>
    <x v="59"/>
    <n v="54.666666666666664"/>
    <n v="32.4"/>
    <n v="1"/>
    <x v="0"/>
    <n v="91"/>
    <n v="135"/>
    <x v="0"/>
  </r>
  <r>
    <n v="97"/>
    <x v="96"/>
    <n v="16"/>
    <n v="756"/>
    <n v="169"/>
    <x v="10"/>
    <x v="1"/>
    <n v="85"/>
    <n v="73"/>
    <n v="70"/>
    <n v="73"/>
    <n v="115"/>
    <n v="67"/>
    <x v="28"/>
    <n v="80.5"/>
    <n v="47.25"/>
    <n v="1"/>
    <x v="1"/>
    <n v="146"/>
    <n v="185"/>
    <x v="0"/>
  </r>
  <r>
    <n v="98"/>
    <x v="97"/>
    <n v="4"/>
    <n v="65"/>
    <n v="65"/>
    <x v="2"/>
    <x v="1"/>
    <n v="30"/>
    <n v="105"/>
    <n v="90"/>
    <n v="25"/>
    <n v="25"/>
    <n v="50"/>
    <x v="54"/>
    <n v="54.166666666666664"/>
    <n v="16.25"/>
    <n v="1"/>
    <x v="0"/>
    <n v="130"/>
    <n v="115"/>
    <x v="0"/>
  </r>
  <r>
    <n v="99"/>
    <x v="98"/>
    <n v="13"/>
    <n v="600"/>
    <n v="166"/>
    <x v="2"/>
    <x v="1"/>
    <n v="55"/>
    <n v="130"/>
    <n v="115"/>
    <n v="50"/>
    <n v="50"/>
    <n v="75"/>
    <x v="58"/>
    <n v="79.166666666666671"/>
    <n v="46.153846153846153"/>
    <n v="1"/>
    <x v="1"/>
    <n v="180"/>
    <n v="165"/>
    <x v="0"/>
  </r>
  <r>
    <n v="100"/>
    <x v="99"/>
    <n v="5"/>
    <n v="104"/>
    <n v="66"/>
    <x v="6"/>
    <x v="1"/>
    <n v="40"/>
    <n v="30"/>
    <n v="50"/>
    <n v="55"/>
    <n v="55"/>
    <n v="100"/>
    <x v="60"/>
    <n v="55"/>
    <n v="20.8"/>
    <n v="1"/>
    <x v="0"/>
    <n v="85"/>
    <n v="105"/>
    <x v="0"/>
  </r>
  <r>
    <n v="101"/>
    <x v="100"/>
    <n v="12"/>
    <n v="666"/>
    <n v="172"/>
    <x v="6"/>
    <x v="1"/>
    <n v="60"/>
    <n v="50"/>
    <n v="70"/>
    <n v="80"/>
    <n v="80"/>
    <n v="150"/>
    <x v="34"/>
    <n v="81.666666666666671"/>
    <n v="55.5"/>
    <n v="1"/>
    <x v="1"/>
    <n v="130"/>
    <n v="150"/>
    <x v="0"/>
  </r>
  <r>
    <n v="102"/>
    <x v="101"/>
    <n v="4"/>
    <n v="25"/>
    <n v="65"/>
    <x v="0"/>
    <x v="7"/>
    <n v="60"/>
    <n v="40"/>
    <n v="80"/>
    <n v="60"/>
    <n v="45"/>
    <n v="40"/>
    <x v="54"/>
    <n v="54.166666666666664"/>
    <n v="6.25"/>
    <n v="2"/>
    <x v="0"/>
    <n v="100"/>
    <n v="125"/>
    <x v="0"/>
  </r>
  <r>
    <n v="103"/>
    <x v="102"/>
    <n v="20"/>
    <n v="1200"/>
    <n v="186"/>
    <x v="0"/>
    <x v="7"/>
    <n v="95"/>
    <n v="95"/>
    <n v="85"/>
    <n v="125"/>
    <n v="75"/>
    <n v="55"/>
    <x v="6"/>
    <n v="88.333333333333329"/>
    <n v="60"/>
    <n v="2"/>
    <x v="1"/>
    <n v="220"/>
    <n v="160"/>
    <x v="0"/>
  </r>
  <r>
    <n v="104"/>
    <x v="103"/>
    <n v="4"/>
    <n v="65"/>
    <n v="64"/>
    <x v="7"/>
    <x v="1"/>
    <n v="50"/>
    <n v="50"/>
    <n v="95"/>
    <n v="40"/>
    <n v="50"/>
    <n v="35"/>
    <x v="19"/>
    <n v="53.333333333333336"/>
    <n v="16.25"/>
    <n v="1"/>
    <x v="0"/>
    <n v="90"/>
    <n v="145"/>
    <x v="0"/>
  </r>
  <r>
    <n v="105"/>
    <x v="104"/>
    <n v="10"/>
    <n v="450"/>
    <n v="149"/>
    <x v="7"/>
    <x v="1"/>
    <n v="60"/>
    <n v="80"/>
    <n v="110"/>
    <n v="50"/>
    <n v="80"/>
    <n v="45"/>
    <x v="38"/>
    <n v="70.833333333333329"/>
    <n v="45"/>
    <n v="1"/>
    <x v="1"/>
    <n v="130"/>
    <n v="190"/>
    <x v="0"/>
  </r>
  <r>
    <n v="106"/>
    <x v="105"/>
    <n v="15"/>
    <n v="498"/>
    <n v="159"/>
    <x v="9"/>
    <x v="1"/>
    <n v="50"/>
    <n v="120"/>
    <n v="53"/>
    <n v="35"/>
    <n v="110"/>
    <n v="87"/>
    <x v="33"/>
    <n v="75.833333333333329"/>
    <n v="33.200000000000003"/>
    <n v="1"/>
    <x v="1"/>
    <n v="155"/>
    <n v="163"/>
    <x v="0"/>
  </r>
  <r>
    <n v="107"/>
    <x v="106"/>
    <n v="14"/>
    <n v="502"/>
    <n v="159"/>
    <x v="9"/>
    <x v="1"/>
    <n v="50"/>
    <n v="105"/>
    <n v="79"/>
    <n v="35"/>
    <n v="110"/>
    <n v="76"/>
    <x v="33"/>
    <n v="75.833333333333329"/>
    <n v="35.857142857142854"/>
    <n v="1"/>
    <x v="1"/>
    <n v="140"/>
    <n v="189"/>
    <x v="0"/>
  </r>
  <r>
    <n v="108"/>
    <x v="107"/>
    <n v="12"/>
    <n v="655"/>
    <n v="77"/>
    <x v="4"/>
    <x v="1"/>
    <n v="90"/>
    <n v="55"/>
    <n v="75"/>
    <n v="60"/>
    <n v="75"/>
    <n v="30"/>
    <x v="44"/>
    <n v="64.166666666666671"/>
    <n v="54.583333333333336"/>
    <n v="1"/>
    <x v="0"/>
    <n v="115"/>
    <n v="150"/>
    <x v="0"/>
  </r>
  <r>
    <n v="109"/>
    <x v="108"/>
    <n v="6"/>
    <n v="10"/>
    <n v="68"/>
    <x v="5"/>
    <x v="1"/>
    <n v="40"/>
    <n v="65"/>
    <n v="95"/>
    <n v="60"/>
    <n v="45"/>
    <n v="35"/>
    <x v="61"/>
    <n v="56.666666666666664"/>
    <n v="1.6666666666666667"/>
    <n v="1"/>
    <x v="0"/>
    <n v="125"/>
    <n v="140"/>
    <x v="0"/>
  </r>
  <r>
    <n v="110"/>
    <x v="109"/>
    <n v="12"/>
    <n v="95"/>
    <n v="172"/>
    <x v="5"/>
    <x v="1"/>
    <n v="65"/>
    <n v="90"/>
    <n v="120"/>
    <n v="85"/>
    <n v="70"/>
    <n v="60"/>
    <x v="34"/>
    <n v="81.666666666666671"/>
    <n v="7.916666666666667"/>
    <n v="1"/>
    <x v="1"/>
    <n v="175"/>
    <n v="190"/>
    <x v="0"/>
  </r>
  <r>
    <n v="111"/>
    <x v="110"/>
    <n v="10"/>
    <n v="1150"/>
    <n v="69"/>
    <x v="7"/>
    <x v="10"/>
    <n v="80"/>
    <n v="85"/>
    <n v="95"/>
    <n v="30"/>
    <n v="30"/>
    <n v="25"/>
    <x v="62"/>
    <n v="57.5"/>
    <n v="115"/>
    <n v="2"/>
    <x v="0"/>
    <n v="115"/>
    <n v="125"/>
    <x v="0"/>
  </r>
  <r>
    <n v="112"/>
    <x v="111"/>
    <n v="19"/>
    <n v="1200"/>
    <n v="170"/>
    <x v="7"/>
    <x v="10"/>
    <n v="105"/>
    <n v="130"/>
    <n v="120"/>
    <n v="45"/>
    <n v="45"/>
    <n v="40"/>
    <x v="20"/>
    <n v="80.833333333333329"/>
    <n v="63.157894736842103"/>
    <n v="2"/>
    <x v="1"/>
    <n v="175"/>
    <n v="165"/>
    <x v="0"/>
  </r>
  <r>
    <n v="113"/>
    <x v="112"/>
    <n v="11"/>
    <n v="346"/>
    <n v="395"/>
    <x v="4"/>
    <x v="1"/>
    <n v="250"/>
    <n v="5"/>
    <n v="5"/>
    <n v="35"/>
    <n v="105"/>
    <n v="50"/>
    <x v="22"/>
    <n v="75"/>
    <n v="31.454545454545453"/>
    <n v="1"/>
    <x v="3"/>
    <n v="40"/>
    <n v="110"/>
    <x v="0"/>
  </r>
  <r>
    <n v="114"/>
    <x v="113"/>
    <n v="10"/>
    <n v="350"/>
    <n v="87"/>
    <x v="0"/>
    <x v="1"/>
    <n v="65"/>
    <n v="55"/>
    <n v="115"/>
    <n v="100"/>
    <n v="40"/>
    <n v="60"/>
    <x v="31"/>
    <n v="72.5"/>
    <n v="35"/>
    <n v="1"/>
    <x v="0"/>
    <n v="155"/>
    <n v="155"/>
    <x v="0"/>
  </r>
  <r>
    <n v="115"/>
    <x v="114"/>
    <n v="22"/>
    <n v="800"/>
    <n v="172"/>
    <x v="4"/>
    <x v="1"/>
    <n v="105"/>
    <n v="95"/>
    <n v="80"/>
    <n v="40"/>
    <n v="80"/>
    <n v="90"/>
    <x v="34"/>
    <n v="81.666666666666671"/>
    <n v="36.363636363636367"/>
    <n v="1"/>
    <x v="1"/>
    <n v="135"/>
    <n v="160"/>
    <x v="0"/>
  </r>
  <r>
    <n v="116"/>
    <x v="115"/>
    <n v="4"/>
    <n v="80"/>
    <n v="59"/>
    <x v="2"/>
    <x v="1"/>
    <n v="30"/>
    <n v="40"/>
    <n v="70"/>
    <n v="70"/>
    <n v="25"/>
    <n v="60"/>
    <x v="63"/>
    <n v="49.166666666666664"/>
    <n v="20"/>
    <n v="1"/>
    <x v="0"/>
    <n v="110"/>
    <n v="95"/>
    <x v="0"/>
  </r>
  <r>
    <n v="117"/>
    <x v="116"/>
    <n v="12"/>
    <n v="250"/>
    <n v="154"/>
    <x v="2"/>
    <x v="1"/>
    <n v="55"/>
    <n v="65"/>
    <n v="95"/>
    <n v="95"/>
    <n v="45"/>
    <n v="85"/>
    <x v="40"/>
    <n v="73.333333333333329"/>
    <n v="20.833333333333332"/>
    <n v="1"/>
    <x v="1"/>
    <n v="160"/>
    <n v="140"/>
    <x v="0"/>
  </r>
  <r>
    <n v="118"/>
    <x v="117"/>
    <n v="6"/>
    <n v="150"/>
    <n v="64"/>
    <x v="2"/>
    <x v="1"/>
    <n v="45"/>
    <n v="67"/>
    <n v="60"/>
    <n v="35"/>
    <n v="50"/>
    <n v="63"/>
    <x v="19"/>
    <n v="53.333333333333336"/>
    <n v="25"/>
    <n v="1"/>
    <x v="0"/>
    <n v="102"/>
    <n v="110"/>
    <x v="0"/>
  </r>
  <r>
    <n v="119"/>
    <x v="118"/>
    <n v="13"/>
    <n v="390"/>
    <n v="158"/>
    <x v="2"/>
    <x v="1"/>
    <n v="80"/>
    <n v="92"/>
    <n v="65"/>
    <n v="65"/>
    <n v="80"/>
    <n v="68"/>
    <x v="22"/>
    <n v="75"/>
    <n v="30"/>
    <n v="1"/>
    <x v="1"/>
    <n v="157"/>
    <n v="145"/>
    <x v="0"/>
  </r>
  <r>
    <n v="120"/>
    <x v="119"/>
    <n v="8"/>
    <n v="345"/>
    <n v="68"/>
    <x v="2"/>
    <x v="1"/>
    <n v="30"/>
    <n v="45"/>
    <n v="55"/>
    <n v="70"/>
    <n v="55"/>
    <n v="85"/>
    <x v="61"/>
    <n v="56.666666666666664"/>
    <n v="43.125"/>
    <n v="1"/>
    <x v="0"/>
    <n v="115"/>
    <n v="110"/>
    <x v="0"/>
  </r>
  <r>
    <n v="121"/>
    <x v="120"/>
    <n v="11"/>
    <n v="800"/>
    <n v="182"/>
    <x v="2"/>
    <x v="7"/>
    <n v="60"/>
    <n v="75"/>
    <n v="85"/>
    <n v="100"/>
    <n v="85"/>
    <n v="115"/>
    <x v="64"/>
    <n v="86.666666666666671"/>
    <n v="72.727272727272734"/>
    <n v="2"/>
    <x v="1"/>
    <n v="175"/>
    <n v="170"/>
    <x v="0"/>
  </r>
  <r>
    <n v="122"/>
    <x v="121"/>
    <n v="13"/>
    <n v="545"/>
    <n v="161"/>
    <x v="10"/>
    <x v="4"/>
    <n v="40"/>
    <n v="45"/>
    <n v="65"/>
    <n v="100"/>
    <n v="120"/>
    <n v="90"/>
    <x v="65"/>
    <n v="76.666666666666671"/>
    <n v="41.92307692307692"/>
    <n v="2"/>
    <x v="1"/>
    <n v="145"/>
    <n v="185"/>
    <x v="0"/>
  </r>
  <r>
    <n v="123"/>
    <x v="122"/>
    <n v="15"/>
    <n v="560"/>
    <n v="100"/>
    <x v="3"/>
    <x v="2"/>
    <n v="70"/>
    <n v="110"/>
    <n v="80"/>
    <n v="55"/>
    <n v="80"/>
    <n v="105"/>
    <x v="41"/>
    <n v="83.333333333333329"/>
    <n v="37.333333333333336"/>
    <n v="2"/>
    <x v="1"/>
    <n v="165"/>
    <n v="160"/>
    <x v="0"/>
  </r>
  <r>
    <n v="124"/>
    <x v="123"/>
    <n v="14"/>
    <n v="406"/>
    <n v="159"/>
    <x v="13"/>
    <x v="7"/>
    <n v="65"/>
    <n v="50"/>
    <n v="35"/>
    <n v="115"/>
    <n v="95"/>
    <n v="95"/>
    <x v="33"/>
    <n v="75.833333333333329"/>
    <n v="29"/>
    <n v="2"/>
    <x v="1"/>
    <n v="165"/>
    <n v="130"/>
    <x v="0"/>
  </r>
  <r>
    <n v="125"/>
    <x v="124"/>
    <n v="11"/>
    <n v="300"/>
    <n v="172"/>
    <x v="6"/>
    <x v="1"/>
    <n v="65"/>
    <n v="83"/>
    <n v="57"/>
    <n v="95"/>
    <n v="85"/>
    <n v="105"/>
    <x v="34"/>
    <n v="81.666666666666671"/>
    <n v="27.272727272727273"/>
    <n v="1"/>
    <x v="1"/>
    <n v="178"/>
    <n v="142"/>
    <x v="0"/>
  </r>
  <r>
    <n v="126"/>
    <x v="125"/>
    <n v="13"/>
    <n v="445"/>
    <n v="173"/>
    <x v="1"/>
    <x v="1"/>
    <n v="65"/>
    <n v="95"/>
    <n v="57"/>
    <n v="100"/>
    <n v="85"/>
    <n v="93"/>
    <x v="51"/>
    <n v="82.5"/>
    <n v="34.230769230769234"/>
    <n v="1"/>
    <x v="1"/>
    <n v="195"/>
    <n v="142"/>
    <x v="0"/>
  </r>
  <r>
    <n v="127"/>
    <x v="126"/>
    <n v="15"/>
    <n v="550"/>
    <n v="175"/>
    <x v="3"/>
    <x v="1"/>
    <n v="65"/>
    <n v="125"/>
    <n v="100"/>
    <n v="55"/>
    <n v="70"/>
    <n v="85"/>
    <x v="41"/>
    <n v="83.333333333333329"/>
    <n v="36.666666666666664"/>
    <n v="1"/>
    <x v="1"/>
    <n v="180"/>
    <n v="170"/>
    <x v="0"/>
  </r>
  <r>
    <n v="128"/>
    <x v="127"/>
    <n v="14"/>
    <n v="884"/>
    <n v="172"/>
    <x v="4"/>
    <x v="1"/>
    <n v="75"/>
    <n v="100"/>
    <n v="95"/>
    <n v="40"/>
    <n v="70"/>
    <n v="110"/>
    <x v="34"/>
    <n v="81.666666666666671"/>
    <n v="63.142857142857146"/>
    <n v="1"/>
    <x v="1"/>
    <n v="140"/>
    <n v="165"/>
    <x v="0"/>
  </r>
  <r>
    <n v="129"/>
    <x v="128"/>
    <n v="9"/>
    <n v="100"/>
    <n v="40"/>
    <x v="2"/>
    <x v="1"/>
    <n v="20"/>
    <n v="10"/>
    <n v="55"/>
    <n v="15"/>
    <n v="20"/>
    <n v="80"/>
    <x v="66"/>
    <n v="33.333333333333336"/>
    <n v="11.111111111111111"/>
    <n v="1"/>
    <x v="0"/>
    <n v="25"/>
    <n v="75"/>
    <x v="0"/>
  </r>
  <r>
    <n v="130"/>
    <x v="129"/>
    <n v="65"/>
    <n v="2350"/>
    <n v="189"/>
    <x v="2"/>
    <x v="2"/>
    <n v="95"/>
    <n v="125"/>
    <n v="79"/>
    <n v="60"/>
    <n v="100"/>
    <n v="81"/>
    <x v="67"/>
    <n v="90"/>
    <n v="36.153846153846153"/>
    <n v="2"/>
    <x v="1"/>
    <n v="185"/>
    <n v="179"/>
    <x v="0"/>
  </r>
  <r>
    <n v="131"/>
    <x v="130"/>
    <n v="25"/>
    <n v="2200"/>
    <n v="187"/>
    <x v="2"/>
    <x v="9"/>
    <n v="130"/>
    <n v="85"/>
    <n v="80"/>
    <n v="85"/>
    <n v="95"/>
    <n v="60"/>
    <x v="68"/>
    <n v="89.166666666666671"/>
    <n v="88"/>
    <n v="2"/>
    <x v="1"/>
    <n v="170"/>
    <n v="175"/>
    <x v="0"/>
  </r>
  <r>
    <n v="132"/>
    <x v="131"/>
    <n v="3"/>
    <n v="40"/>
    <n v="101"/>
    <x v="4"/>
    <x v="1"/>
    <n v="48"/>
    <n v="48"/>
    <n v="48"/>
    <n v="48"/>
    <n v="48"/>
    <n v="48"/>
    <x v="17"/>
    <n v="48"/>
    <n v="13.333333333333334"/>
    <n v="1"/>
    <x v="1"/>
    <n v="96"/>
    <n v="96"/>
    <x v="0"/>
  </r>
  <r>
    <n v="133"/>
    <x v="132"/>
    <n v="3"/>
    <n v="65"/>
    <n v="65"/>
    <x v="4"/>
    <x v="1"/>
    <n v="55"/>
    <n v="55"/>
    <n v="50"/>
    <n v="45"/>
    <n v="65"/>
    <n v="55"/>
    <x v="54"/>
    <n v="54.166666666666664"/>
    <n v="21.666666666666668"/>
    <n v="1"/>
    <x v="0"/>
    <n v="100"/>
    <n v="115"/>
    <x v="0"/>
  </r>
  <r>
    <n v="134"/>
    <x v="133"/>
    <n v="10"/>
    <n v="290"/>
    <n v="184"/>
    <x v="2"/>
    <x v="1"/>
    <n v="130"/>
    <n v="65"/>
    <n v="60"/>
    <n v="110"/>
    <n v="95"/>
    <n v="65"/>
    <x v="2"/>
    <n v="87.5"/>
    <n v="29"/>
    <n v="1"/>
    <x v="1"/>
    <n v="175"/>
    <n v="155"/>
    <x v="0"/>
  </r>
  <r>
    <n v="135"/>
    <x v="134"/>
    <n v="8"/>
    <n v="245"/>
    <n v="184"/>
    <x v="6"/>
    <x v="1"/>
    <n v="65"/>
    <n v="65"/>
    <n v="60"/>
    <n v="110"/>
    <n v="95"/>
    <n v="130"/>
    <x v="2"/>
    <n v="87.5"/>
    <n v="30.625"/>
    <n v="1"/>
    <x v="1"/>
    <n v="175"/>
    <n v="155"/>
    <x v="0"/>
  </r>
  <r>
    <n v="136"/>
    <x v="135"/>
    <n v="9"/>
    <n v="250"/>
    <n v="184"/>
    <x v="1"/>
    <x v="1"/>
    <n v="65"/>
    <n v="130"/>
    <n v="60"/>
    <n v="95"/>
    <n v="110"/>
    <n v="65"/>
    <x v="2"/>
    <n v="87.5"/>
    <n v="27.777777777777779"/>
    <n v="1"/>
    <x v="1"/>
    <n v="225"/>
    <n v="170"/>
    <x v="0"/>
  </r>
  <r>
    <n v="137"/>
    <x v="136"/>
    <n v="8"/>
    <n v="365"/>
    <n v="79"/>
    <x v="4"/>
    <x v="1"/>
    <n v="65"/>
    <n v="60"/>
    <n v="70"/>
    <n v="85"/>
    <n v="75"/>
    <n v="40"/>
    <x v="9"/>
    <n v="65.833333333333329"/>
    <n v="45.625"/>
    <n v="1"/>
    <x v="0"/>
    <n v="145"/>
    <n v="145"/>
    <x v="0"/>
  </r>
  <r>
    <n v="138"/>
    <x v="137"/>
    <n v="4"/>
    <n v="75"/>
    <n v="71"/>
    <x v="11"/>
    <x v="11"/>
    <n v="35"/>
    <n v="40"/>
    <n v="100"/>
    <n v="90"/>
    <n v="55"/>
    <n v="35"/>
    <x v="69"/>
    <n v="59.166666666666664"/>
    <n v="18.75"/>
    <n v="2"/>
    <x v="0"/>
    <n v="130"/>
    <n v="155"/>
    <x v="0"/>
  </r>
  <r>
    <n v="139"/>
    <x v="138"/>
    <n v="10"/>
    <n v="350"/>
    <n v="173"/>
    <x v="11"/>
    <x v="11"/>
    <n v="70"/>
    <n v="60"/>
    <n v="125"/>
    <n v="115"/>
    <n v="70"/>
    <n v="55"/>
    <x v="51"/>
    <n v="82.5"/>
    <n v="35"/>
    <n v="2"/>
    <x v="1"/>
    <n v="175"/>
    <n v="195"/>
    <x v="0"/>
  </r>
  <r>
    <n v="140"/>
    <x v="139"/>
    <n v="5"/>
    <n v="115"/>
    <n v="71"/>
    <x v="11"/>
    <x v="11"/>
    <n v="30"/>
    <n v="80"/>
    <n v="90"/>
    <n v="55"/>
    <n v="45"/>
    <n v="55"/>
    <x v="69"/>
    <n v="59.166666666666664"/>
    <n v="23"/>
    <n v="2"/>
    <x v="0"/>
    <n v="135"/>
    <n v="135"/>
    <x v="0"/>
  </r>
  <r>
    <n v="141"/>
    <x v="140"/>
    <n v="13"/>
    <n v="405"/>
    <n v="173"/>
    <x v="11"/>
    <x v="11"/>
    <n v="60"/>
    <n v="115"/>
    <n v="105"/>
    <n v="65"/>
    <n v="70"/>
    <n v="80"/>
    <x v="51"/>
    <n v="82.5"/>
    <n v="31.153846153846153"/>
    <n v="2"/>
    <x v="1"/>
    <n v="180"/>
    <n v="175"/>
    <x v="0"/>
  </r>
  <r>
    <n v="142"/>
    <x v="141"/>
    <n v="18"/>
    <n v="590"/>
    <n v="180"/>
    <x v="11"/>
    <x v="2"/>
    <n v="80"/>
    <n v="105"/>
    <n v="65"/>
    <n v="60"/>
    <n v="75"/>
    <n v="130"/>
    <x v="50"/>
    <n v="85.833333333333329"/>
    <n v="32.777777777777779"/>
    <n v="2"/>
    <x v="1"/>
    <n v="165"/>
    <n v="140"/>
    <x v="0"/>
  </r>
  <r>
    <n v="143"/>
    <x v="142"/>
    <n v="21"/>
    <n v="4600"/>
    <n v="189"/>
    <x v="4"/>
    <x v="1"/>
    <n v="160"/>
    <n v="110"/>
    <n v="65"/>
    <n v="65"/>
    <n v="110"/>
    <n v="30"/>
    <x v="67"/>
    <n v="90"/>
    <n v="219.04761904761904"/>
    <n v="1"/>
    <x v="1"/>
    <n v="175"/>
    <n v="175"/>
    <x v="0"/>
  </r>
  <r>
    <n v="144"/>
    <x v="143"/>
    <n v="17"/>
    <n v="554"/>
    <n v="261"/>
    <x v="13"/>
    <x v="2"/>
    <n v="90"/>
    <n v="85"/>
    <n v="100"/>
    <n v="95"/>
    <n v="125"/>
    <n v="85"/>
    <x v="70"/>
    <n v="96.666666666666671"/>
    <n v="32.588235294117645"/>
    <n v="2"/>
    <x v="3"/>
    <n v="180"/>
    <n v="225"/>
    <x v="0"/>
  </r>
  <r>
    <n v="145"/>
    <x v="144"/>
    <n v="16"/>
    <n v="526"/>
    <n v="261"/>
    <x v="6"/>
    <x v="2"/>
    <n v="90"/>
    <n v="90"/>
    <n v="85"/>
    <n v="125"/>
    <n v="90"/>
    <n v="100"/>
    <x v="70"/>
    <n v="96.666666666666671"/>
    <n v="32.875"/>
    <n v="2"/>
    <x v="3"/>
    <n v="215"/>
    <n v="175"/>
    <x v="0"/>
  </r>
  <r>
    <n v="146"/>
    <x v="145"/>
    <n v="20"/>
    <n v="600"/>
    <n v="261"/>
    <x v="1"/>
    <x v="2"/>
    <n v="90"/>
    <n v="100"/>
    <n v="90"/>
    <n v="125"/>
    <n v="85"/>
    <n v="90"/>
    <x v="70"/>
    <n v="96.666666666666671"/>
    <n v="30"/>
    <n v="2"/>
    <x v="3"/>
    <n v="225"/>
    <n v="175"/>
    <x v="0"/>
  </r>
  <r>
    <n v="147"/>
    <x v="146"/>
    <n v="18"/>
    <n v="33"/>
    <n v="60"/>
    <x v="14"/>
    <x v="1"/>
    <n v="41"/>
    <n v="64"/>
    <n v="45"/>
    <n v="50"/>
    <n v="50"/>
    <n v="50"/>
    <x v="21"/>
    <n v="50"/>
    <n v="1.8333333333333333"/>
    <n v="1"/>
    <x v="0"/>
    <n v="114"/>
    <n v="95"/>
    <x v="0"/>
  </r>
  <r>
    <n v="148"/>
    <x v="147"/>
    <n v="40"/>
    <n v="165"/>
    <n v="147"/>
    <x v="14"/>
    <x v="1"/>
    <n v="61"/>
    <n v="84"/>
    <n v="65"/>
    <n v="70"/>
    <n v="70"/>
    <n v="70"/>
    <x v="71"/>
    <n v="70"/>
    <n v="4.125"/>
    <n v="1"/>
    <x v="1"/>
    <n v="154"/>
    <n v="135"/>
    <x v="0"/>
  </r>
  <r>
    <n v="149"/>
    <x v="148"/>
    <n v="22"/>
    <n v="2100"/>
    <n v="270"/>
    <x v="14"/>
    <x v="2"/>
    <n v="91"/>
    <n v="134"/>
    <n v="95"/>
    <n v="100"/>
    <n v="100"/>
    <n v="80"/>
    <x v="72"/>
    <n v="100"/>
    <n v="95.454545454545453"/>
    <n v="2"/>
    <x v="3"/>
    <n v="234"/>
    <n v="195"/>
    <x v="0"/>
  </r>
  <r>
    <n v="150"/>
    <x v="149"/>
    <n v="20"/>
    <n v="1220"/>
    <n v="306"/>
    <x v="10"/>
    <x v="1"/>
    <n v="106"/>
    <n v="110"/>
    <n v="90"/>
    <n v="154"/>
    <n v="90"/>
    <n v="130"/>
    <x v="73"/>
    <n v="113.33333333333333"/>
    <n v="61"/>
    <n v="1"/>
    <x v="3"/>
    <n v="264"/>
    <n v="180"/>
    <x v="0"/>
  </r>
  <r>
    <n v="151"/>
    <x v="150"/>
    <n v="4"/>
    <n v="40"/>
    <n v="270"/>
    <x v="10"/>
    <x v="1"/>
    <n v="100"/>
    <n v="100"/>
    <n v="100"/>
    <n v="100"/>
    <n v="100"/>
    <n v="100"/>
    <x v="72"/>
    <n v="100"/>
    <n v="10"/>
    <n v="1"/>
    <x v="3"/>
    <n v="200"/>
    <n v="200"/>
    <x v="1"/>
  </r>
  <r>
    <n v="152"/>
    <x v="151"/>
    <n v="9"/>
    <n v="64"/>
    <n v="64"/>
    <x v="0"/>
    <x v="1"/>
    <n v="45"/>
    <n v="49"/>
    <n v="65"/>
    <n v="49"/>
    <n v="65"/>
    <n v="45"/>
    <x v="0"/>
    <n v="53"/>
    <n v="7.1111111111111107"/>
    <n v="1"/>
    <x v="0"/>
    <n v="98"/>
    <n v="130"/>
    <x v="1"/>
  </r>
  <r>
    <n v="153"/>
    <x v="152"/>
    <n v="12"/>
    <n v="158"/>
    <n v="142"/>
    <x v="0"/>
    <x v="1"/>
    <n v="60"/>
    <n v="62"/>
    <n v="80"/>
    <n v="63"/>
    <n v="80"/>
    <n v="60"/>
    <x v="1"/>
    <n v="67.5"/>
    <n v="13.166666666666666"/>
    <n v="1"/>
    <x v="1"/>
    <n v="125"/>
    <n v="160"/>
    <x v="1"/>
  </r>
  <r>
    <n v="154"/>
    <x v="153"/>
    <n v="18"/>
    <n v="1005"/>
    <n v="236"/>
    <x v="0"/>
    <x v="1"/>
    <n v="80"/>
    <n v="82"/>
    <n v="100"/>
    <n v="83"/>
    <n v="100"/>
    <n v="80"/>
    <x v="2"/>
    <n v="87.5"/>
    <n v="55.833333333333336"/>
    <n v="1"/>
    <x v="2"/>
    <n v="165"/>
    <n v="200"/>
    <x v="1"/>
  </r>
  <r>
    <n v="155"/>
    <x v="154"/>
    <n v="5"/>
    <n v="79"/>
    <n v="62"/>
    <x v="1"/>
    <x v="1"/>
    <n v="39"/>
    <n v="52"/>
    <n v="43"/>
    <n v="60"/>
    <n v="50"/>
    <n v="65"/>
    <x v="3"/>
    <n v="51.5"/>
    <n v="15.8"/>
    <n v="1"/>
    <x v="0"/>
    <n v="112"/>
    <n v="93"/>
    <x v="1"/>
  </r>
  <r>
    <n v="156"/>
    <x v="155"/>
    <n v="9"/>
    <n v="190"/>
    <n v="142"/>
    <x v="1"/>
    <x v="1"/>
    <n v="58"/>
    <n v="64"/>
    <n v="58"/>
    <n v="80"/>
    <n v="65"/>
    <n v="80"/>
    <x v="1"/>
    <n v="67.5"/>
    <n v="21.111111111111111"/>
    <n v="1"/>
    <x v="1"/>
    <n v="144"/>
    <n v="123"/>
    <x v="1"/>
  </r>
  <r>
    <n v="157"/>
    <x v="156"/>
    <n v="17"/>
    <n v="795"/>
    <n v="240"/>
    <x v="1"/>
    <x v="1"/>
    <n v="78"/>
    <n v="84"/>
    <n v="78"/>
    <n v="109"/>
    <n v="85"/>
    <n v="100"/>
    <x v="4"/>
    <n v="89"/>
    <n v="46.764705882352942"/>
    <n v="1"/>
    <x v="2"/>
    <n v="193"/>
    <n v="163"/>
    <x v="1"/>
  </r>
  <r>
    <n v="158"/>
    <x v="157"/>
    <n v="6"/>
    <n v="95"/>
    <n v="63"/>
    <x v="2"/>
    <x v="1"/>
    <n v="50"/>
    <n v="65"/>
    <n v="64"/>
    <n v="44"/>
    <n v="48"/>
    <n v="43"/>
    <x v="5"/>
    <n v="52.333333333333336"/>
    <n v="15.833333333333334"/>
    <n v="1"/>
    <x v="0"/>
    <n v="109"/>
    <n v="112"/>
    <x v="1"/>
  </r>
  <r>
    <n v="159"/>
    <x v="158"/>
    <n v="11"/>
    <n v="250"/>
    <n v="142"/>
    <x v="2"/>
    <x v="1"/>
    <n v="65"/>
    <n v="80"/>
    <n v="80"/>
    <n v="59"/>
    <n v="63"/>
    <n v="58"/>
    <x v="1"/>
    <n v="67.5"/>
    <n v="22.727272727272727"/>
    <n v="1"/>
    <x v="1"/>
    <n v="139"/>
    <n v="143"/>
    <x v="1"/>
  </r>
  <r>
    <n v="160"/>
    <x v="159"/>
    <n v="23"/>
    <n v="888"/>
    <n v="239"/>
    <x v="2"/>
    <x v="1"/>
    <n v="85"/>
    <n v="105"/>
    <n v="100"/>
    <n v="79"/>
    <n v="83"/>
    <n v="78"/>
    <x v="6"/>
    <n v="88.333333333333329"/>
    <n v="38.608695652173914"/>
    <n v="1"/>
    <x v="2"/>
    <n v="184"/>
    <n v="183"/>
    <x v="1"/>
  </r>
  <r>
    <n v="161"/>
    <x v="160"/>
    <n v="8"/>
    <n v="60"/>
    <n v="43"/>
    <x v="4"/>
    <x v="1"/>
    <n v="35"/>
    <n v="46"/>
    <n v="34"/>
    <n v="35"/>
    <n v="45"/>
    <n v="20"/>
    <x v="74"/>
    <n v="35.833333333333336"/>
    <n v="7.5"/>
    <n v="1"/>
    <x v="0"/>
    <n v="81"/>
    <n v="79"/>
    <x v="1"/>
  </r>
  <r>
    <n v="162"/>
    <x v="161"/>
    <n v="18"/>
    <n v="325"/>
    <n v="145"/>
    <x v="4"/>
    <x v="1"/>
    <n v="85"/>
    <n v="76"/>
    <n v="64"/>
    <n v="45"/>
    <n v="55"/>
    <n v="90"/>
    <x v="75"/>
    <n v="69.166666666666671"/>
    <n v="18.055555555555557"/>
    <n v="1"/>
    <x v="1"/>
    <n v="121"/>
    <n v="119"/>
    <x v="1"/>
  </r>
  <r>
    <n v="163"/>
    <x v="162"/>
    <n v="7"/>
    <n v="212"/>
    <n v="52"/>
    <x v="4"/>
    <x v="2"/>
    <n v="60"/>
    <n v="30"/>
    <n v="30"/>
    <n v="36"/>
    <n v="56"/>
    <n v="50"/>
    <x v="15"/>
    <n v="43.666666666666664"/>
    <n v="30.285714285714285"/>
    <n v="2"/>
    <x v="0"/>
    <n v="66"/>
    <n v="86"/>
    <x v="1"/>
  </r>
  <r>
    <n v="164"/>
    <x v="163"/>
    <n v="16"/>
    <n v="408"/>
    <n v="158"/>
    <x v="4"/>
    <x v="2"/>
    <n v="100"/>
    <n v="50"/>
    <n v="50"/>
    <n v="86"/>
    <n v="96"/>
    <n v="70"/>
    <x v="76"/>
    <n v="75.333333333333329"/>
    <n v="25.5"/>
    <n v="2"/>
    <x v="1"/>
    <n v="136"/>
    <n v="146"/>
    <x v="1"/>
  </r>
  <r>
    <n v="165"/>
    <x v="164"/>
    <n v="10"/>
    <n v="108"/>
    <n v="53"/>
    <x v="3"/>
    <x v="2"/>
    <n v="40"/>
    <n v="20"/>
    <n v="30"/>
    <n v="40"/>
    <n v="80"/>
    <n v="55"/>
    <x v="37"/>
    <n v="44.166666666666664"/>
    <n v="10.8"/>
    <n v="2"/>
    <x v="0"/>
    <n v="60"/>
    <n v="110"/>
    <x v="1"/>
  </r>
  <r>
    <n v="166"/>
    <x v="165"/>
    <n v="14"/>
    <n v="356"/>
    <n v="137"/>
    <x v="3"/>
    <x v="2"/>
    <n v="55"/>
    <n v="35"/>
    <n v="50"/>
    <n v="55"/>
    <n v="110"/>
    <n v="85"/>
    <x v="48"/>
    <n v="65"/>
    <n v="25.428571428571427"/>
    <n v="2"/>
    <x v="1"/>
    <n v="90"/>
    <n v="160"/>
    <x v="1"/>
  </r>
  <r>
    <n v="167"/>
    <x v="166"/>
    <n v="5"/>
    <n v="85"/>
    <n v="50"/>
    <x v="3"/>
    <x v="0"/>
    <n v="40"/>
    <n v="60"/>
    <n v="40"/>
    <n v="40"/>
    <n v="40"/>
    <n v="30"/>
    <x v="77"/>
    <n v="41.666666666666664"/>
    <n v="17"/>
    <n v="2"/>
    <x v="0"/>
    <n v="100"/>
    <n v="80"/>
    <x v="1"/>
  </r>
  <r>
    <n v="168"/>
    <x v="167"/>
    <n v="11"/>
    <n v="335"/>
    <n v="140"/>
    <x v="3"/>
    <x v="0"/>
    <n v="70"/>
    <n v="90"/>
    <n v="70"/>
    <n v="60"/>
    <n v="70"/>
    <n v="40"/>
    <x v="47"/>
    <n v="66.666666666666671"/>
    <n v="30.454545454545453"/>
    <n v="2"/>
    <x v="1"/>
    <n v="150"/>
    <n v="140"/>
    <x v="1"/>
  </r>
  <r>
    <n v="169"/>
    <x v="168"/>
    <n v="18"/>
    <n v="750"/>
    <n v="241"/>
    <x v="5"/>
    <x v="2"/>
    <n v="85"/>
    <n v="90"/>
    <n v="80"/>
    <n v="70"/>
    <n v="80"/>
    <n v="130"/>
    <x v="68"/>
    <n v="89.166666666666671"/>
    <n v="41.666666666666664"/>
    <n v="2"/>
    <x v="2"/>
    <n v="160"/>
    <n v="160"/>
    <x v="1"/>
  </r>
  <r>
    <n v="170"/>
    <x v="169"/>
    <n v="5"/>
    <n v="120"/>
    <n v="66"/>
    <x v="2"/>
    <x v="12"/>
    <n v="75"/>
    <n v="38"/>
    <n v="38"/>
    <n v="56"/>
    <n v="56"/>
    <n v="67"/>
    <x v="60"/>
    <n v="55"/>
    <n v="24"/>
    <n v="2"/>
    <x v="0"/>
    <n v="94"/>
    <n v="94"/>
    <x v="1"/>
  </r>
  <r>
    <n v="171"/>
    <x v="170"/>
    <n v="12"/>
    <n v="225"/>
    <n v="161"/>
    <x v="2"/>
    <x v="12"/>
    <n v="125"/>
    <n v="58"/>
    <n v="58"/>
    <n v="76"/>
    <n v="76"/>
    <n v="67"/>
    <x v="65"/>
    <n v="76.666666666666671"/>
    <n v="18.75"/>
    <n v="2"/>
    <x v="1"/>
    <n v="134"/>
    <n v="134"/>
    <x v="1"/>
  </r>
  <r>
    <n v="172"/>
    <x v="171"/>
    <n v="3"/>
    <n v="20"/>
    <n v="41"/>
    <x v="6"/>
    <x v="1"/>
    <n v="20"/>
    <n v="40"/>
    <n v="15"/>
    <n v="35"/>
    <n v="35"/>
    <n v="60"/>
    <x v="8"/>
    <n v="34.166666666666664"/>
    <n v="6.666666666666667"/>
    <n v="1"/>
    <x v="0"/>
    <n v="75"/>
    <n v="50"/>
    <x v="1"/>
  </r>
  <r>
    <n v="173"/>
    <x v="172"/>
    <n v="3"/>
    <n v="30"/>
    <n v="44"/>
    <x v="8"/>
    <x v="1"/>
    <n v="50"/>
    <n v="25"/>
    <n v="28"/>
    <n v="45"/>
    <n v="55"/>
    <n v="15"/>
    <x v="78"/>
    <n v="36.333333333333336"/>
    <n v="10"/>
    <n v="1"/>
    <x v="0"/>
    <n v="70"/>
    <n v="83"/>
    <x v="1"/>
  </r>
  <r>
    <n v="174"/>
    <x v="173"/>
    <n v="3"/>
    <n v="10"/>
    <n v="42"/>
    <x v="4"/>
    <x v="4"/>
    <n v="90"/>
    <n v="30"/>
    <n v="15"/>
    <n v="40"/>
    <n v="20"/>
    <n v="15"/>
    <x v="79"/>
    <n v="35"/>
    <n v="3.3333333333333335"/>
    <n v="2"/>
    <x v="0"/>
    <n v="70"/>
    <n v="35"/>
    <x v="1"/>
  </r>
  <r>
    <n v="175"/>
    <x v="174"/>
    <n v="3"/>
    <n v="15"/>
    <n v="49"/>
    <x v="8"/>
    <x v="1"/>
    <n v="35"/>
    <n v="20"/>
    <n v="65"/>
    <n v="40"/>
    <n v="65"/>
    <n v="20"/>
    <x v="32"/>
    <n v="40.833333333333336"/>
    <n v="5"/>
    <n v="1"/>
    <x v="0"/>
    <n v="60"/>
    <n v="130"/>
    <x v="1"/>
  </r>
  <r>
    <n v="176"/>
    <x v="175"/>
    <n v="6"/>
    <n v="32"/>
    <n v="142"/>
    <x v="8"/>
    <x v="2"/>
    <n v="55"/>
    <n v="40"/>
    <n v="85"/>
    <n v="80"/>
    <n v="105"/>
    <n v="40"/>
    <x v="1"/>
    <n v="67.5"/>
    <n v="5.333333333333333"/>
    <n v="2"/>
    <x v="1"/>
    <n v="120"/>
    <n v="190"/>
    <x v="1"/>
  </r>
  <r>
    <n v="177"/>
    <x v="176"/>
    <n v="2"/>
    <n v="20"/>
    <n v="64"/>
    <x v="10"/>
    <x v="2"/>
    <n v="40"/>
    <n v="50"/>
    <n v="45"/>
    <n v="70"/>
    <n v="45"/>
    <n v="70"/>
    <x v="19"/>
    <n v="53.333333333333336"/>
    <n v="10"/>
    <n v="2"/>
    <x v="0"/>
    <n v="120"/>
    <n v="90"/>
    <x v="1"/>
  </r>
  <r>
    <n v="178"/>
    <x v="177"/>
    <n v="15"/>
    <n v="150"/>
    <n v="165"/>
    <x v="10"/>
    <x v="2"/>
    <n v="65"/>
    <n v="75"/>
    <n v="70"/>
    <n v="95"/>
    <n v="70"/>
    <n v="95"/>
    <x v="57"/>
    <n v="78.333333333333329"/>
    <n v="10"/>
    <n v="2"/>
    <x v="1"/>
    <n v="170"/>
    <n v="140"/>
    <x v="1"/>
  </r>
  <r>
    <n v="179"/>
    <x v="178"/>
    <n v="6"/>
    <n v="78"/>
    <n v="56"/>
    <x v="6"/>
    <x v="1"/>
    <n v="55"/>
    <n v="40"/>
    <n v="40"/>
    <n v="65"/>
    <n v="45"/>
    <n v="35"/>
    <x v="80"/>
    <n v="46.666666666666664"/>
    <n v="13"/>
    <n v="1"/>
    <x v="0"/>
    <n v="105"/>
    <n v="85"/>
    <x v="1"/>
  </r>
  <r>
    <n v="180"/>
    <x v="179"/>
    <n v="8"/>
    <n v="133"/>
    <n v="128"/>
    <x v="6"/>
    <x v="1"/>
    <n v="70"/>
    <n v="55"/>
    <n v="55"/>
    <n v="80"/>
    <n v="60"/>
    <n v="45"/>
    <x v="24"/>
    <n v="60.833333333333336"/>
    <n v="16.625"/>
    <n v="1"/>
    <x v="1"/>
    <n v="135"/>
    <n v="115"/>
    <x v="1"/>
  </r>
  <r>
    <n v="181"/>
    <x v="180"/>
    <n v="14"/>
    <n v="615"/>
    <n v="230"/>
    <x v="6"/>
    <x v="1"/>
    <n v="90"/>
    <n v="75"/>
    <n v="85"/>
    <n v="115"/>
    <n v="90"/>
    <n v="55"/>
    <x v="45"/>
    <n v="85"/>
    <n v="43.928571428571431"/>
    <n v="1"/>
    <x v="2"/>
    <n v="190"/>
    <n v="175"/>
    <x v="1"/>
  </r>
  <r>
    <n v="182"/>
    <x v="181"/>
    <n v="4"/>
    <n v="58"/>
    <n v="221"/>
    <x v="0"/>
    <x v="1"/>
    <n v="75"/>
    <n v="80"/>
    <n v="95"/>
    <n v="90"/>
    <n v="100"/>
    <n v="50"/>
    <x v="34"/>
    <n v="81.666666666666671"/>
    <n v="14.5"/>
    <n v="1"/>
    <x v="2"/>
    <n v="170"/>
    <n v="195"/>
    <x v="1"/>
  </r>
  <r>
    <n v="183"/>
    <x v="182"/>
    <n v="4"/>
    <n v="85"/>
    <n v="88"/>
    <x v="2"/>
    <x v="4"/>
    <n v="70"/>
    <n v="20"/>
    <n v="50"/>
    <n v="20"/>
    <n v="50"/>
    <n v="40"/>
    <x v="77"/>
    <n v="41.666666666666664"/>
    <n v="21.25"/>
    <n v="2"/>
    <x v="0"/>
    <n v="40"/>
    <n v="100"/>
    <x v="1"/>
  </r>
  <r>
    <n v="184"/>
    <x v="183"/>
    <n v="8"/>
    <n v="285"/>
    <n v="189"/>
    <x v="2"/>
    <x v="4"/>
    <n v="100"/>
    <n v="50"/>
    <n v="80"/>
    <n v="60"/>
    <n v="80"/>
    <n v="50"/>
    <x v="71"/>
    <n v="70"/>
    <n v="35.625"/>
    <n v="2"/>
    <x v="1"/>
    <n v="110"/>
    <n v="160"/>
    <x v="1"/>
  </r>
  <r>
    <n v="185"/>
    <x v="184"/>
    <n v="12"/>
    <n v="380"/>
    <n v="144"/>
    <x v="11"/>
    <x v="1"/>
    <n v="70"/>
    <n v="100"/>
    <n v="115"/>
    <n v="30"/>
    <n v="65"/>
    <n v="30"/>
    <x v="52"/>
    <n v="68.333333333333329"/>
    <n v="31.666666666666668"/>
    <n v="1"/>
    <x v="1"/>
    <n v="130"/>
    <n v="180"/>
    <x v="1"/>
  </r>
  <r>
    <n v="186"/>
    <x v="185"/>
    <n v="11"/>
    <n v="339"/>
    <n v="225"/>
    <x v="2"/>
    <x v="1"/>
    <n v="90"/>
    <n v="75"/>
    <n v="75"/>
    <n v="90"/>
    <n v="100"/>
    <n v="70"/>
    <x v="41"/>
    <n v="83.333333333333329"/>
    <n v="30.818181818181817"/>
    <n v="1"/>
    <x v="2"/>
    <n v="165"/>
    <n v="175"/>
    <x v="1"/>
  </r>
  <r>
    <n v="187"/>
    <x v="186"/>
    <n v="4"/>
    <n v="5"/>
    <n v="50"/>
    <x v="0"/>
    <x v="2"/>
    <n v="35"/>
    <n v="35"/>
    <n v="40"/>
    <n v="35"/>
    <n v="55"/>
    <n v="50"/>
    <x v="77"/>
    <n v="41.666666666666664"/>
    <n v="1.25"/>
    <n v="2"/>
    <x v="0"/>
    <n v="70"/>
    <n v="95"/>
    <x v="1"/>
  </r>
  <r>
    <n v="188"/>
    <x v="187"/>
    <n v="6"/>
    <n v="10"/>
    <n v="119"/>
    <x v="0"/>
    <x v="2"/>
    <n v="55"/>
    <n v="45"/>
    <n v="50"/>
    <n v="45"/>
    <n v="65"/>
    <n v="80"/>
    <x v="61"/>
    <n v="56.666666666666664"/>
    <n v="1.6666666666666667"/>
    <n v="2"/>
    <x v="1"/>
    <n v="90"/>
    <n v="115"/>
    <x v="1"/>
  </r>
  <r>
    <n v="189"/>
    <x v="188"/>
    <n v="8"/>
    <n v="30"/>
    <n v="207"/>
    <x v="0"/>
    <x v="2"/>
    <n v="75"/>
    <n v="55"/>
    <n v="70"/>
    <n v="55"/>
    <n v="95"/>
    <n v="110"/>
    <x v="65"/>
    <n v="76.666666666666671"/>
    <n v="3.75"/>
    <n v="2"/>
    <x v="2"/>
    <n v="110"/>
    <n v="165"/>
    <x v="1"/>
  </r>
  <r>
    <n v="190"/>
    <x v="189"/>
    <n v="8"/>
    <n v="115"/>
    <n v="72"/>
    <x v="4"/>
    <x v="1"/>
    <n v="55"/>
    <n v="70"/>
    <n v="55"/>
    <n v="40"/>
    <n v="55"/>
    <n v="85"/>
    <x v="81"/>
    <n v="60"/>
    <n v="14.375"/>
    <n v="1"/>
    <x v="0"/>
    <n v="110"/>
    <n v="110"/>
    <x v="1"/>
  </r>
  <r>
    <n v="191"/>
    <x v="190"/>
    <n v="3"/>
    <n v="18"/>
    <n v="36"/>
    <x v="0"/>
    <x v="1"/>
    <n v="30"/>
    <n v="30"/>
    <n v="30"/>
    <n v="30"/>
    <n v="30"/>
    <n v="30"/>
    <x v="82"/>
    <n v="30"/>
    <n v="6"/>
    <n v="1"/>
    <x v="0"/>
    <n v="60"/>
    <n v="60"/>
    <x v="1"/>
  </r>
  <r>
    <n v="192"/>
    <x v="191"/>
    <n v="8"/>
    <n v="85"/>
    <n v="149"/>
    <x v="0"/>
    <x v="1"/>
    <n v="75"/>
    <n v="75"/>
    <n v="55"/>
    <n v="105"/>
    <n v="85"/>
    <n v="30"/>
    <x v="38"/>
    <n v="70.833333333333329"/>
    <n v="10.625"/>
    <n v="1"/>
    <x v="1"/>
    <n v="180"/>
    <n v="140"/>
    <x v="1"/>
  </r>
  <r>
    <n v="193"/>
    <x v="192"/>
    <n v="12"/>
    <n v="380"/>
    <n v="78"/>
    <x v="3"/>
    <x v="2"/>
    <n v="65"/>
    <n v="65"/>
    <n v="45"/>
    <n v="75"/>
    <n v="45"/>
    <n v="95"/>
    <x v="48"/>
    <n v="65"/>
    <n v="31.666666666666668"/>
    <n v="2"/>
    <x v="0"/>
    <n v="140"/>
    <n v="90"/>
    <x v="1"/>
  </r>
  <r>
    <n v="194"/>
    <x v="193"/>
    <n v="4"/>
    <n v="85"/>
    <n v="42"/>
    <x v="2"/>
    <x v="3"/>
    <n v="55"/>
    <n v="45"/>
    <n v="45"/>
    <n v="25"/>
    <n v="25"/>
    <n v="15"/>
    <x v="79"/>
    <n v="35"/>
    <n v="21.25"/>
    <n v="2"/>
    <x v="0"/>
    <n v="70"/>
    <n v="70"/>
    <x v="1"/>
  </r>
  <r>
    <n v="195"/>
    <x v="194"/>
    <n v="14"/>
    <n v="750"/>
    <n v="151"/>
    <x v="2"/>
    <x v="3"/>
    <n v="95"/>
    <n v="85"/>
    <n v="85"/>
    <n v="65"/>
    <n v="65"/>
    <n v="35"/>
    <x v="83"/>
    <n v="71.666666666666671"/>
    <n v="53.571428571428569"/>
    <n v="2"/>
    <x v="1"/>
    <n v="150"/>
    <n v="150"/>
    <x v="1"/>
  </r>
  <r>
    <n v="196"/>
    <x v="195"/>
    <n v="9"/>
    <n v="265"/>
    <n v="184"/>
    <x v="10"/>
    <x v="1"/>
    <n v="65"/>
    <n v="65"/>
    <n v="60"/>
    <n v="130"/>
    <n v="95"/>
    <n v="110"/>
    <x v="2"/>
    <n v="87.5"/>
    <n v="29.444444444444443"/>
    <n v="1"/>
    <x v="1"/>
    <n v="195"/>
    <n v="155"/>
    <x v="1"/>
  </r>
  <r>
    <n v="197"/>
    <x v="196"/>
    <n v="10"/>
    <n v="270"/>
    <n v="184"/>
    <x v="15"/>
    <x v="1"/>
    <n v="95"/>
    <n v="65"/>
    <n v="110"/>
    <n v="60"/>
    <n v="130"/>
    <n v="65"/>
    <x v="2"/>
    <n v="87.5"/>
    <n v="27"/>
    <n v="1"/>
    <x v="1"/>
    <n v="125"/>
    <n v="240"/>
    <x v="1"/>
  </r>
  <r>
    <n v="198"/>
    <x v="197"/>
    <n v="5"/>
    <n v="21"/>
    <n v="81"/>
    <x v="15"/>
    <x v="2"/>
    <n v="60"/>
    <n v="85"/>
    <n v="42"/>
    <n v="85"/>
    <n v="42"/>
    <n v="91"/>
    <x v="1"/>
    <n v="67.5"/>
    <n v="4.2"/>
    <n v="2"/>
    <x v="0"/>
    <n v="170"/>
    <n v="84"/>
    <x v="1"/>
  </r>
  <r>
    <n v="199"/>
    <x v="198"/>
    <n v="20"/>
    <n v="795"/>
    <n v="172"/>
    <x v="2"/>
    <x v="7"/>
    <n v="95"/>
    <n v="75"/>
    <n v="80"/>
    <n v="100"/>
    <n v="110"/>
    <n v="30"/>
    <x v="34"/>
    <n v="81.666666666666671"/>
    <n v="39.75"/>
    <n v="2"/>
    <x v="1"/>
    <n v="175"/>
    <n v="190"/>
    <x v="1"/>
  </r>
  <r>
    <n v="200"/>
    <x v="199"/>
    <n v="7"/>
    <n v="10"/>
    <n v="87"/>
    <x v="12"/>
    <x v="1"/>
    <n v="60"/>
    <n v="60"/>
    <n v="60"/>
    <n v="85"/>
    <n v="85"/>
    <n v="85"/>
    <x v="31"/>
    <n v="72.5"/>
    <n v="1.4285714285714286"/>
    <n v="1"/>
    <x v="0"/>
    <n v="145"/>
    <n v="145"/>
    <x v="1"/>
  </r>
  <r>
    <n v="201"/>
    <x v="200"/>
    <n v="5"/>
    <n v="50"/>
    <n v="118"/>
    <x v="10"/>
    <x v="1"/>
    <n v="48"/>
    <n v="72"/>
    <n v="48"/>
    <n v="72"/>
    <n v="48"/>
    <n v="48"/>
    <x v="84"/>
    <n v="56"/>
    <n v="10"/>
    <n v="1"/>
    <x v="1"/>
    <n v="144"/>
    <n v="96"/>
    <x v="1"/>
  </r>
  <r>
    <n v="202"/>
    <x v="201"/>
    <n v="13"/>
    <n v="285"/>
    <n v="142"/>
    <x v="10"/>
    <x v="1"/>
    <n v="190"/>
    <n v="33"/>
    <n v="58"/>
    <n v="33"/>
    <n v="58"/>
    <n v="33"/>
    <x v="1"/>
    <n v="67.5"/>
    <n v="21.923076923076923"/>
    <n v="1"/>
    <x v="1"/>
    <n v="66"/>
    <n v="116"/>
    <x v="1"/>
  </r>
  <r>
    <n v="203"/>
    <x v="202"/>
    <n v="15"/>
    <n v="415"/>
    <n v="159"/>
    <x v="4"/>
    <x v="7"/>
    <n v="70"/>
    <n v="80"/>
    <n v="65"/>
    <n v="90"/>
    <n v="65"/>
    <n v="85"/>
    <x v="33"/>
    <n v="75.833333333333329"/>
    <n v="27.666666666666668"/>
    <n v="2"/>
    <x v="1"/>
    <n v="170"/>
    <n v="130"/>
    <x v="1"/>
  </r>
  <r>
    <n v="204"/>
    <x v="203"/>
    <n v="6"/>
    <n v="72"/>
    <n v="58"/>
    <x v="3"/>
    <x v="1"/>
    <n v="50"/>
    <n v="65"/>
    <n v="90"/>
    <n v="35"/>
    <n v="35"/>
    <n v="15"/>
    <x v="39"/>
    <n v="48.333333333333336"/>
    <n v="12"/>
    <n v="1"/>
    <x v="0"/>
    <n v="100"/>
    <n v="125"/>
    <x v="1"/>
  </r>
  <r>
    <n v="205"/>
    <x v="204"/>
    <n v="12"/>
    <n v="1258"/>
    <n v="163"/>
    <x v="3"/>
    <x v="8"/>
    <n v="75"/>
    <n v="90"/>
    <n v="140"/>
    <n v="60"/>
    <n v="60"/>
    <n v="40"/>
    <x v="55"/>
    <n v="77.5"/>
    <n v="104.83333333333333"/>
    <n v="2"/>
    <x v="1"/>
    <n v="150"/>
    <n v="200"/>
    <x v="1"/>
  </r>
  <r>
    <n v="206"/>
    <x v="205"/>
    <n v="15"/>
    <n v="140"/>
    <n v="145"/>
    <x v="4"/>
    <x v="1"/>
    <n v="100"/>
    <n v="70"/>
    <n v="70"/>
    <n v="65"/>
    <n v="65"/>
    <n v="45"/>
    <x v="75"/>
    <n v="69.166666666666671"/>
    <n v="9.3333333333333339"/>
    <n v="1"/>
    <x v="1"/>
    <n v="135"/>
    <n v="135"/>
    <x v="1"/>
  </r>
  <r>
    <n v="207"/>
    <x v="206"/>
    <n v="11"/>
    <n v="648"/>
    <n v="86"/>
    <x v="7"/>
    <x v="2"/>
    <n v="65"/>
    <n v="75"/>
    <n v="105"/>
    <n v="35"/>
    <n v="65"/>
    <n v="85"/>
    <x v="83"/>
    <n v="71.666666666666671"/>
    <n v="58.909090909090907"/>
    <n v="2"/>
    <x v="0"/>
    <n v="110"/>
    <n v="170"/>
    <x v="1"/>
  </r>
  <r>
    <n v="208"/>
    <x v="207"/>
    <n v="92"/>
    <n v="4000"/>
    <n v="179"/>
    <x v="16"/>
    <x v="3"/>
    <n v="75"/>
    <n v="85"/>
    <n v="200"/>
    <n v="55"/>
    <n v="65"/>
    <n v="30"/>
    <x v="45"/>
    <n v="85"/>
    <n v="43.478260869565219"/>
    <n v="2"/>
    <x v="1"/>
    <n v="140"/>
    <n v="265"/>
    <x v="1"/>
  </r>
  <r>
    <n v="209"/>
    <x v="208"/>
    <n v="6"/>
    <n v="78"/>
    <n v="60"/>
    <x v="8"/>
    <x v="1"/>
    <n v="60"/>
    <n v="80"/>
    <n v="50"/>
    <n v="40"/>
    <n v="40"/>
    <n v="30"/>
    <x v="21"/>
    <n v="50"/>
    <n v="13"/>
    <n v="1"/>
    <x v="0"/>
    <n v="120"/>
    <n v="90"/>
    <x v="1"/>
  </r>
  <r>
    <n v="210"/>
    <x v="209"/>
    <n v="14"/>
    <n v="487"/>
    <n v="158"/>
    <x v="8"/>
    <x v="1"/>
    <n v="90"/>
    <n v="120"/>
    <n v="75"/>
    <n v="60"/>
    <n v="60"/>
    <n v="45"/>
    <x v="22"/>
    <n v="75"/>
    <n v="34.785714285714285"/>
    <n v="1"/>
    <x v="1"/>
    <n v="180"/>
    <n v="135"/>
    <x v="1"/>
  </r>
  <r>
    <n v="211"/>
    <x v="210"/>
    <n v="5"/>
    <n v="39"/>
    <n v="88"/>
    <x v="2"/>
    <x v="0"/>
    <n v="65"/>
    <n v="95"/>
    <n v="85"/>
    <n v="55"/>
    <n v="55"/>
    <n v="85"/>
    <x v="40"/>
    <n v="73.333333333333329"/>
    <n v="7.8"/>
    <n v="2"/>
    <x v="0"/>
    <n v="150"/>
    <n v="140"/>
    <x v="1"/>
  </r>
  <r>
    <n v="212"/>
    <x v="211"/>
    <n v="18"/>
    <n v="1180"/>
    <n v="175"/>
    <x v="3"/>
    <x v="8"/>
    <n v="70"/>
    <n v="130"/>
    <n v="100"/>
    <n v="55"/>
    <n v="80"/>
    <n v="65"/>
    <x v="41"/>
    <n v="83.333333333333329"/>
    <n v="65.555555555555557"/>
    <n v="2"/>
    <x v="1"/>
    <n v="185"/>
    <n v="180"/>
    <x v="1"/>
  </r>
  <r>
    <n v="213"/>
    <x v="212"/>
    <n v="6"/>
    <n v="205"/>
    <n v="177"/>
    <x v="3"/>
    <x v="10"/>
    <n v="20"/>
    <n v="10"/>
    <n v="230"/>
    <n v="10"/>
    <n v="230"/>
    <n v="5"/>
    <x v="25"/>
    <n v="84.166666666666671"/>
    <n v="34.166666666666664"/>
    <n v="2"/>
    <x v="1"/>
    <n v="20"/>
    <n v="460"/>
    <x v="1"/>
  </r>
  <r>
    <n v="214"/>
    <x v="213"/>
    <n v="15"/>
    <n v="540"/>
    <n v="175"/>
    <x v="3"/>
    <x v="6"/>
    <n v="80"/>
    <n v="125"/>
    <n v="75"/>
    <n v="40"/>
    <n v="95"/>
    <n v="85"/>
    <x v="41"/>
    <n v="83.333333333333329"/>
    <n v="36"/>
    <n v="2"/>
    <x v="1"/>
    <n v="165"/>
    <n v="170"/>
    <x v="1"/>
  </r>
  <r>
    <n v="215"/>
    <x v="214"/>
    <n v="9"/>
    <n v="280"/>
    <n v="86"/>
    <x v="15"/>
    <x v="9"/>
    <n v="55"/>
    <n v="95"/>
    <n v="55"/>
    <n v="35"/>
    <n v="75"/>
    <n v="115"/>
    <x v="83"/>
    <n v="71.666666666666671"/>
    <n v="31.111111111111111"/>
    <n v="2"/>
    <x v="0"/>
    <n v="130"/>
    <n v="130"/>
    <x v="1"/>
  </r>
  <r>
    <n v="216"/>
    <x v="215"/>
    <n v="6"/>
    <n v="88"/>
    <n v="66"/>
    <x v="4"/>
    <x v="1"/>
    <n v="60"/>
    <n v="80"/>
    <n v="50"/>
    <n v="50"/>
    <n v="50"/>
    <n v="40"/>
    <x v="60"/>
    <n v="55"/>
    <n v="14.666666666666666"/>
    <n v="1"/>
    <x v="0"/>
    <n v="130"/>
    <n v="100"/>
    <x v="1"/>
  </r>
  <r>
    <n v="217"/>
    <x v="216"/>
    <n v="18"/>
    <n v="1258"/>
    <n v="175"/>
    <x v="4"/>
    <x v="1"/>
    <n v="90"/>
    <n v="130"/>
    <n v="75"/>
    <n v="75"/>
    <n v="75"/>
    <n v="55"/>
    <x v="41"/>
    <n v="83.333333333333329"/>
    <n v="69.888888888888886"/>
    <n v="1"/>
    <x v="1"/>
    <n v="205"/>
    <n v="150"/>
    <x v="1"/>
  </r>
  <r>
    <n v="218"/>
    <x v="217"/>
    <n v="7"/>
    <n v="350"/>
    <n v="50"/>
    <x v="1"/>
    <x v="1"/>
    <n v="40"/>
    <n v="40"/>
    <n v="40"/>
    <n v="70"/>
    <n v="40"/>
    <n v="20"/>
    <x v="77"/>
    <n v="41.666666666666664"/>
    <n v="50"/>
    <n v="1"/>
    <x v="0"/>
    <n v="110"/>
    <n v="80"/>
    <x v="1"/>
  </r>
  <r>
    <n v="219"/>
    <x v="218"/>
    <n v="8"/>
    <n v="550"/>
    <n v="151"/>
    <x v="1"/>
    <x v="10"/>
    <n v="60"/>
    <n v="50"/>
    <n v="120"/>
    <n v="90"/>
    <n v="80"/>
    <n v="30"/>
    <x v="83"/>
    <n v="71.666666666666671"/>
    <n v="68.75"/>
    <n v="2"/>
    <x v="1"/>
    <n v="140"/>
    <n v="200"/>
    <x v="1"/>
  </r>
  <r>
    <n v="220"/>
    <x v="219"/>
    <n v="4"/>
    <n v="65"/>
    <n v="50"/>
    <x v="13"/>
    <x v="3"/>
    <n v="50"/>
    <n v="50"/>
    <n v="40"/>
    <n v="30"/>
    <n v="30"/>
    <n v="50"/>
    <x v="77"/>
    <n v="41.666666666666664"/>
    <n v="16.25"/>
    <n v="2"/>
    <x v="0"/>
    <n v="80"/>
    <n v="70"/>
    <x v="1"/>
  </r>
  <r>
    <n v="221"/>
    <x v="220"/>
    <n v="11"/>
    <n v="558"/>
    <n v="158"/>
    <x v="13"/>
    <x v="3"/>
    <n v="100"/>
    <n v="100"/>
    <n v="80"/>
    <n v="60"/>
    <n v="60"/>
    <n v="50"/>
    <x v="22"/>
    <n v="75"/>
    <n v="50.727272727272727"/>
    <n v="2"/>
    <x v="1"/>
    <n v="160"/>
    <n v="140"/>
    <x v="1"/>
  </r>
  <r>
    <n v="222"/>
    <x v="221"/>
    <n v="6"/>
    <n v="50"/>
    <n v="144"/>
    <x v="2"/>
    <x v="10"/>
    <n v="65"/>
    <n v="55"/>
    <n v="95"/>
    <n v="65"/>
    <n v="95"/>
    <n v="35"/>
    <x v="52"/>
    <n v="68.333333333333329"/>
    <n v="8.3333333333333339"/>
    <n v="2"/>
    <x v="1"/>
    <n v="120"/>
    <n v="190"/>
    <x v="1"/>
  </r>
  <r>
    <n v="223"/>
    <x v="222"/>
    <n v="6"/>
    <n v="120"/>
    <n v="60"/>
    <x v="2"/>
    <x v="1"/>
    <n v="35"/>
    <n v="65"/>
    <n v="35"/>
    <n v="65"/>
    <n v="35"/>
    <n v="65"/>
    <x v="21"/>
    <n v="50"/>
    <n v="20"/>
    <n v="1"/>
    <x v="0"/>
    <n v="130"/>
    <n v="70"/>
    <x v="1"/>
  </r>
  <r>
    <n v="224"/>
    <x v="223"/>
    <n v="9"/>
    <n v="285"/>
    <n v="168"/>
    <x v="2"/>
    <x v="1"/>
    <n v="75"/>
    <n v="105"/>
    <n v="75"/>
    <n v="105"/>
    <n v="75"/>
    <n v="45"/>
    <x v="85"/>
    <n v="80"/>
    <n v="31.666666666666668"/>
    <n v="1"/>
    <x v="1"/>
    <n v="210"/>
    <n v="150"/>
    <x v="1"/>
  </r>
  <r>
    <n v="225"/>
    <x v="224"/>
    <n v="9"/>
    <n v="160"/>
    <n v="116"/>
    <x v="13"/>
    <x v="2"/>
    <n v="45"/>
    <n v="55"/>
    <n v="45"/>
    <n v="65"/>
    <n v="45"/>
    <n v="75"/>
    <x v="60"/>
    <n v="55"/>
    <n v="17.777777777777779"/>
    <n v="2"/>
    <x v="1"/>
    <n v="120"/>
    <n v="90"/>
    <x v="1"/>
  </r>
  <r>
    <n v="226"/>
    <x v="225"/>
    <n v="21"/>
    <n v="2200"/>
    <n v="170"/>
    <x v="2"/>
    <x v="2"/>
    <n v="85"/>
    <n v="40"/>
    <n v="70"/>
    <n v="80"/>
    <n v="140"/>
    <n v="70"/>
    <x v="20"/>
    <n v="80.833333333333329"/>
    <n v="104.76190476190476"/>
    <n v="2"/>
    <x v="1"/>
    <n v="120"/>
    <n v="210"/>
    <x v="1"/>
  </r>
  <r>
    <n v="227"/>
    <x v="226"/>
    <n v="17"/>
    <n v="505"/>
    <n v="163"/>
    <x v="16"/>
    <x v="2"/>
    <n v="65"/>
    <n v="80"/>
    <n v="140"/>
    <n v="40"/>
    <n v="70"/>
    <n v="70"/>
    <x v="55"/>
    <n v="77.5"/>
    <n v="29.705882352941178"/>
    <n v="2"/>
    <x v="1"/>
    <n v="120"/>
    <n v="210"/>
    <x v="1"/>
  </r>
  <r>
    <n v="228"/>
    <x v="227"/>
    <n v="6"/>
    <n v="108"/>
    <n v="66"/>
    <x v="15"/>
    <x v="13"/>
    <n v="45"/>
    <n v="60"/>
    <n v="30"/>
    <n v="80"/>
    <n v="50"/>
    <n v="65"/>
    <x v="60"/>
    <n v="55"/>
    <n v="18"/>
    <n v="2"/>
    <x v="0"/>
    <n v="140"/>
    <n v="80"/>
    <x v="1"/>
  </r>
  <r>
    <n v="229"/>
    <x v="228"/>
    <n v="14"/>
    <n v="350"/>
    <n v="175"/>
    <x v="15"/>
    <x v="13"/>
    <n v="75"/>
    <n v="90"/>
    <n v="50"/>
    <n v="110"/>
    <n v="80"/>
    <n v="95"/>
    <x v="41"/>
    <n v="83.333333333333329"/>
    <n v="25"/>
    <n v="2"/>
    <x v="1"/>
    <n v="200"/>
    <n v="130"/>
    <x v="1"/>
  </r>
  <r>
    <n v="230"/>
    <x v="229"/>
    <n v="18"/>
    <n v="1520"/>
    <n v="243"/>
    <x v="2"/>
    <x v="14"/>
    <n v="75"/>
    <n v="95"/>
    <n v="95"/>
    <n v="95"/>
    <n v="95"/>
    <n v="85"/>
    <x v="67"/>
    <n v="90"/>
    <n v="84.444444444444443"/>
    <n v="2"/>
    <x v="2"/>
    <n v="190"/>
    <n v="190"/>
    <x v="1"/>
  </r>
  <r>
    <n v="231"/>
    <x v="230"/>
    <n v="5"/>
    <n v="335"/>
    <n v="66"/>
    <x v="7"/>
    <x v="1"/>
    <n v="90"/>
    <n v="60"/>
    <n v="60"/>
    <n v="40"/>
    <n v="40"/>
    <n v="40"/>
    <x v="60"/>
    <n v="55"/>
    <n v="67"/>
    <n v="1"/>
    <x v="0"/>
    <n v="100"/>
    <n v="100"/>
    <x v="1"/>
  </r>
  <r>
    <n v="232"/>
    <x v="231"/>
    <n v="11"/>
    <n v="1200"/>
    <n v="175"/>
    <x v="7"/>
    <x v="1"/>
    <n v="90"/>
    <n v="120"/>
    <n v="120"/>
    <n v="60"/>
    <n v="60"/>
    <n v="50"/>
    <x v="41"/>
    <n v="83.333333333333329"/>
    <n v="109.09090909090909"/>
    <n v="1"/>
    <x v="1"/>
    <n v="180"/>
    <n v="180"/>
    <x v="1"/>
  </r>
  <r>
    <n v="233"/>
    <x v="232"/>
    <n v="6"/>
    <n v="325"/>
    <n v="180"/>
    <x v="4"/>
    <x v="1"/>
    <n v="85"/>
    <n v="80"/>
    <n v="90"/>
    <n v="105"/>
    <n v="95"/>
    <n v="60"/>
    <x v="50"/>
    <n v="85.833333333333329"/>
    <n v="54.166666666666664"/>
    <n v="1"/>
    <x v="1"/>
    <n v="185"/>
    <n v="185"/>
    <x v="1"/>
  </r>
  <r>
    <n v="234"/>
    <x v="233"/>
    <n v="14"/>
    <n v="712"/>
    <n v="163"/>
    <x v="4"/>
    <x v="1"/>
    <n v="73"/>
    <n v="95"/>
    <n v="62"/>
    <n v="85"/>
    <n v="65"/>
    <n v="85"/>
    <x v="55"/>
    <n v="77.5"/>
    <n v="50.857142857142854"/>
    <n v="1"/>
    <x v="1"/>
    <n v="180"/>
    <n v="127"/>
    <x v="1"/>
  </r>
  <r>
    <n v="235"/>
    <x v="234"/>
    <n v="12"/>
    <n v="580"/>
    <n v="88"/>
    <x v="4"/>
    <x v="1"/>
    <n v="55"/>
    <n v="20"/>
    <n v="35"/>
    <n v="20"/>
    <n v="45"/>
    <n v="75"/>
    <x v="77"/>
    <n v="41.666666666666664"/>
    <n v="48.333333333333336"/>
    <n v="1"/>
    <x v="0"/>
    <n v="40"/>
    <n v="80"/>
    <x v="1"/>
  </r>
  <r>
    <n v="236"/>
    <x v="235"/>
    <n v="7"/>
    <n v="210"/>
    <n v="42"/>
    <x v="9"/>
    <x v="1"/>
    <n v="35"/>
    <n v="35"/>
    <n v="35"/>
    <n v="35"/>
    <n v="35"/>
    <n v="35"/>
    <x v="79"/>
    <n v="35"/>
    <n v="30"/>
    <n v="1"/>
    <x v="0"/>
    <n v="70"/>
    <n v="70"/>
    <x v="1"/>
  </r>
  <r>
    <n v="237"/>
    <x v="236"/>
    <n v="14"/>
    <n v="480"/>
    <n v="159"/>
    <x v="9"/>
    <x v="1"/>
    <n v="50"/>
    <n v="95"/>
    <n v="95"/>
    <n v="35"/>
    <n v="110"/>
    <n v="70"/>
    <x v="33"/>
    <n v="75.833333333333329"/>
    <n v="34.285714285714285"/>
    <n v="1"/>
    <x v="1"/>
    <n v="130"/>
    <n v="205"/>
    <x v="1"/>
  </r>
  <r>
    <n v="238"/>
    <x v="237"/>
    <n v="4"/>
    <n v="60"/>
    <n v="61"/>
    <x v="13"/>
    <x v="7"/>
    <n v="45"/>
    <n v="30"/>
    <n v="15"/>
    <n v="85"/>
    <n v="65"/>
    <n v="65"/>
    <x v="36"/>
    <n v="50.833333333333336"/>
    <n v="15"/>
    <n v="2"/>
    <x v="0"/>
    <n v="115"/>
    <n v="80"/>
    <x v="1"/>
  </r>
  <r>
    <n v="239"/>
    <x v="238"/>
    <n v="6"/>
    <n v="235"/>
    <n v="72"/>
    <x v="6"/>
    <x v="1"/>
    <n v="45"/>
    <n v="63"/>
    <n v="37"/>
    <n v="65"/>
    <n v="55"/>
    <n v="95"/>
    <x v="81"/>
    <n v="60"/>
    <n v="39.166666666666664"/>
    <n v="1"/>
    <x v="0"/>
    <n v="128"/>
    <n v="92"/>
    <x v="1"/>
  </r>
  <r>
    <n v="240"/>
    <x v="239"/>
    <n v="7"/>
    <n v="214"/>
    <n v="73"/>
    <x v="1"/>
    <x v="1"/>
    <n v="45"/>
    <n v="75"/>
    <n v="37"/>
    <n v="70"/>
    <n v="55"/>
    <n v="83"/>
    <x v="24"/>
    <n v="60.833333333333336"/>
    <n v="30.571428571428573"/>
    <n v="1"/>
    <x v="0"/>
    <n v="145"/>
    <n v="92"/>
    <x v="1"/>
  </r>
  <r>
    <n v="241"/>
    <x v="240"/>
    <n v="12"/>
    <n v="755"/>
    <n v="172"/>
    <x v="4"/>
    <x v="1"/>
    <n v="95"/>
    <n v="80"/>
    <n v="105"/>
    <n v="40"/>
    <n v="70"/>
    <n v="100"/>
    <x v="34"/>
    <n v="81.666666666666671"/>
    <n v="62.916666666666664"/>
    <n v="1"/>
    <x v="1"/>
    <n v="120"/>
    <n v="175"/>
    <x v="1"/>
  </r>
  <r>
    <n v="242"/>
    <x v="241"/>
    <n v="15"/>
    <n v="468"/>
    <n v="608"/>
    <x v="4"/>
    <x v="1"/>
    <n v="255"/>
    <n v="10"/>
    <n v="10"/>
    <n v="75"/>
    <n v="135"/>
    <n v="55"/>
    <x v="67"/>
    <n v="90"/>
    <n v="31.2"/>
    <n v="1"/>
    <x v="3"/>
    <n v="85"/>
    <n v="145"/>
    <x v="1"/>
  </r>
  <r>
    <n v="243"/>
    <x v="242"/>
    <n v="19"/>
    <n v="1780"/>
    <n v="261"/>
    <x v="6"/>
    <x v="1"/>
    <n v="90"/>
    <n v="85"/>
    <n v="75"/>
    <n v="115"/>
    <n v="100"/>
    <n v="115"/>
    <x v="70"/>
    <n v="96.666666666666671"/>
    <n v="93.684210526315795"/>
    <n v="1"/>
    <x v="3"/>
    <n v="200"/>
    <n v="175"/>
    <x v="1"/>
  </r>
  <r>
    <n v="244"/>
    <x v="243"/>
    <n v="21"/>
    <n v="1980"/>
    <n v="261"/>
    <x v="1"/>
    <x v="1"/>
    <n v="115"/>
    <n v="115"/>
    <n v="85"/>
    <n v="90"/>
    <n v="75"/>
    <n v="100"/>
    <x v="70"/>
    <n v="96.666666666666671"/>
    <n v="94.285714285714292"/>
    <n v="1"/>
    <x v="3"/>
    <n v="205"/>
    <n v="160"/>
    <x v="1"/>
  </r>
  <r>
    <n v="245"/>
    <x v="244"/>
    <n v="20"/>
    <n v="1870"/>
    <n v="261"/>
    <x v="2"/>
    <x v="1"/>
    <n v="100"/>
    <n v="75"/>
    <n v="115"/>
    <n v="90"/>
    <n v="115"/>
    <n v="85"/>
    <x v="70"/>
    <n v="96.666666666666671"/>
    <n v="93.5"/>
    <n v="1"/>
    <x v="3"/>
    <n v="165"/>
    <n v="230"/>
    <x v="1"/>
  </r>
  <r>
    <n v="246"/>
    <x v="245"/>
    <n v="6"/>
    <n v="720"/>
    <n v="60"/>
    <x v="11"/>
    <x v="3"/>
    <n v="50"/>
    <n v="64"/>
    <n v="50"/>
    <n v="45"/>
    <n v="50"/>
    <n v="41"/>
    <x v="21"/>
    <n v="50"/>
    <n v="120"/>
    <n v="2"/>
    <x v="0"/>
    <n v="109"/>
    <n v="100"/>
    <x v="1"/>
  </r>
  <r>
    <n v="247"/>
    <x v="246"/>
    <n v="12"/>
    <n v="1520"/>
    <n v="144"/>
    <x v="11"/>
    <x v="3"/>
    <n v="70"/>
    <n v="84"/>
    <n v="70"/>
    <n v="65"/>
    <n v="70"/>
    <n v="51"/>
    <x v="52"/>
    <n v="68.333333333333329"/>
    <n v="126.66666666666667"/>
    <n v="2"/>
    <x v="1"/>
    <n v="149"/>
    <n v="140"/>
    <x v="1"/>
  </r>
  <r>
    <n v="248"/>
    <x v="247"/>
    <n v="20"/>
    <n v="2020"/>
    <n v="270"/>
    <x v="11"/>
    <x v="15"/>
    <n v="100"/>
    <n v="134"/>
    <n v="110"/>
    <n v="95"/>
    <n v="100"/>
    <n v="61"/>
    <x v="72"/>
    <n v="100"/>
    <n v="101"/>
    <n v="2"/>
    <x v="3"/>
    <n v="229"/>
    <n v="210"/>
    <x v="1"/>
  </r>
  <r>
    <n v="249"/>
    <x v="248"/>
    <n v="52"/>
    <n v="2160"/>
    <n v="306"/>
    <x v="10"/>
    <x v="2"/>
    <n v="106"/>
    <n v="90"/>
    <n v="130"/>
    <n v="90"/>
    <n v="154"/>
    <n v="110"/>
    <x v="73"/>
    <n v="113.33333333333333"/>
    <n v="41.53846153846154"/>
    <n v="2"/>
    <x v="3"/>
    <n v="180"/>
    <n v="284"/>
    <x v="1"/>
  </r>
  <r>
    <n v="250"/>
    <x v="249"/>
    <n v="38"/>
    <n v="1990"/>
    <n v="306"/>
    <x v="1"/>
    <x v="2"/>
    <n v="106"/>
    <n v="130"/>
    <n v="90"/>
    <n v="110"/>
    <n v="154"/>
    <n v="90"/>
    <x v="73"/>
    <n v="113.33333333333333"/>
    <n v="52.368421052631582"/>
    <n v="2"/>
    <x v="3"/>
    <n v="240"/>
    <n v="24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85DD55-DD19-41ED-A300-648D5971D437}"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4:Y22" firstHeaderRow="0" firstDataRow="1" firstDataCol="1"/>
  <pivotFields count="21">
    <pivotField showAll="0"/>
    <pivotField showAll="0">
      <items count="251">
        <item x="62"/>
        <item x="141"/>
        <item x="189"/>
        <item x="64"/>
        <item x="180"/>
        <item x="23"/>
        <item x="58"/>
        <item x="167"/>
        <item x="143"/>
        <item x="183"/>
        <item x="152"/>
        <item x="14"/>
        <item x="181"/>
        <item x="68"/>
        <item x="8"/>
        <item x="241"/>
        <item x="0"/>
        <item x="11"/>
        <item x="9"/>
        <item x="112"/>
        <item x="5"/>
        <item x="3"/>
        <item x="4"/>
        <item x="151"/>
        <item x="169"/>
        <item x="35"/>
        <item x="34"/>
        <item x="172"/>
        <item x="90"/>
        <item x="221"/>
        <item x="168"/>
        <item x="158"/>
        <item x="103"/>
        <item x="154"/>
        <item x="224"/>
        <item x="86"/>
        <item x="49"/>
        <item x="131"/>
        <item x="84"/>
        <item x="83"/>
        <item x="231"/>
        <item x="147"/>
        <item x="148"/>
        <item x="146"/>
        <item x="95"/>
        <item x="50"/>
        <item x="205"/>
        <item x="132"/>
        <item x="22"/>
        <item x="124"/>
        <item x="100"/>
        <item x="238"/>
        <item x="243"/>
        <item x="195"/>
        <item x="101"/>
        <item x="102"/>
        <item x="82"/>
        <item x="21"/>
        <item x="159"/>
        <item x="179"/>
        <item x="135"/>
        <item x="204"/>
        <item x="161"/>
        <item x="91"/>
        <item x="93"/>
        <item x="73"/>
        <item x="202"/>
        <item x="206"/>
        <item x="43"/>
        <item x="41"/>
        <item x="117"/>
        <item x="54"/>
        <item x="75"/>
        <item x="209"/>
        <item x="74"/>
        <item x="87"/>
        <item x="57"/>
        <item x="129"/>
        <item x="92"/>
        <item x="213"/>
        <item x="106"/>
        <item x="105"/>
        <item x="236"/>
        <item x="249"/>
        <item x="162"/>
        <item x="186"/>
        <item x="115"/>
        <item x="228"/>
        <item x="227"/>
        <item x="96"/>
        <item x="173"/>
        <item x="1"/>
        <item x="38"/>
        <item x="134"/>
        <item x="188"/>
        <item x="123"/>
        <item x="139"/>
        <item x="140"/>
        <item x="63"/>
        <item x="13"/>
        <item x="114"/>
        <item x="229"/>
        <item x="98"/>
        <item x="108"/>
        <item x="97"/>
        <item x="170"/>
        <item x="130"/>
        <item x="245"/>
        <item x="165"/>
        <item x="164"/>
        <item x="107"/>
        <item x="248"/>
        <item x="67"/>
        <item x="66"/>
        <item x="65"/>
        <item x="239"/>
        <item x="218"/>
        <item x="128"/>
        <item x="125"/>
        <item x="80"/>
        <item x="81"/>
        <item x="55"/>
        <item x="225"/>
        <item x="178"/>
        <item x="182"/>
        <item x="104"/>
        <item x="153"/>
        <item x="51"/>
        <item x="10"/>
        <item x="150"/>
        <item x="149"/>
        <item x="240"/>
        <item x="199"/>
        <item x="145"/>
        <item x="121"/>
        <item x="88"/>
        <item x="197"/>
        <item x="176"/>
        <item x="33"/>
        <item x="30"/>
        <item x="28"/>
        <item x="31"/>
        <item x="29"/>
        <item x="32"/>
        <item x="37"/>
        <item x="163"/>
        <item x="223"/>
        <item x="42"/>
        <item x="137"/>
        <item x="138"/>
        <item x="94"/>
        <item x="45"/>
        <item x="46"/>
        <item x="52"/>
        <item x="230"/>
        <item x="171"/>
        <item x="17"/>
        <item x="16"/>
        <item x="15"/>
        <item x="24"/>
        <item x="220"/>
        <item x="203"/>
        <item x="126"/>
        <item x="185"/>
        <item x="59"/>
        <item x="60"/>
        <item x="61"/>
        <item x="76"/>
        <item x="136"/>
        <item x="232"/>
        <item x="56"/>
        <item x="53"/>
        <item x="246"/>
        <item x="194"/>
        <item x="155"/>
        <item x="210"/>
        <item x="25"/>
        <item x="242"/>
        <item x="77"/>
        <item x="19"/>
        <item x="18"/>
        <item x="222"/>
        <item x="111"/>
        <item x="110"/>
        <item x="26"/>
        <item x="27"/>
        <item x="211"/>
        <item x="122"/>
        <item x="116"/>
        <item x="118"/>
        <item x="85"/>
        <item x="160"/>
        <item x="89"/>
        <item x="212"/>
        <item x="226"/>
        <item x="187"/>
        <item x="79"/>
        <item x="198"/>
        <item x="78"/>
        <item x="217"/>
        <item x="234"/>
        <item x="237"/>
        <item x="214"/>
        <item x="142"/>
        <item x="208"/>
        <item x="20"/>
        <item x="166"/>
        <item x="6"/>
        <item x="233"/>
        <item x="120"/>
        <item x="119"/>
        <item x="207"/>
        <item x="184"/>
        <item x="244"/>
        <item x="191"/>
        <item x="190"/>
        <item x="219"/>
        <item x="113"/>
        <item x="127"/>
        <item x="215"/>
        <item x="71"/>
        <item x="72"/>
        <item x="174"/>
        <item x="175"/>
        <item x="157"/>
        <item x="156"/>
        <item x="247"/>
        <item x="235"/>
        <item x="196"/>
        <item x="200"/>
        <item x="216"/>
        <item x="133"/>
        <item x="48"/>
        <item x="47"/>
        <item x="2"/>
        <item x="70"/>
        <item x="44"/>
        <item x="99"/>
        <item x="36"/>
        <item x="7"/>
        <item x="12"/>
        <item x="69"/>
        <item x="109"/>
        <item x="39"/>
        <item x="201"/>
        <item x="193"/>
        <item x="177"/>
        <item x="192"/>
        <item x="144"/>
        <item x="40"/>
        <item t="default"/>
      </items>
    </pivotField>
    <pivotField showAll="0"/>
    <pivotField showAll="0"/>
    <pivotField showAll="0"/>
    <pivotField axis="axisRow" showAll="0" maxSubtotal="1">
      <items count="18">
        <item x="3"/>
        <item x="15"/>
        <item x="14"/>
        <item x="6"/>
        <item x="8"/>
        <item x="9"/>
        <item x="1"/>
        <item x="12"/>
        <item x="0"/>
        <item x="7"/>
        <item x="13"/>
        <item x="4"/>
        <item x="5"/>
        <item x="10"/>
        <item x="11"/>
        <item x="16"/>
        <item x="2"/>
        <item t="max"/>
      </items>
    </pivotField>
    <pivotField showAll="0"/>
    <pivotField dataField="1" showAll="0"/>
    <pivotField dataField="1" showAll="0"/>
    <pivotField dataField="1" showAll="0"/>
    <pivotField dataField="1" showAll="0"/>
    <pivotField dataField="1" showAll="0"/>
    <pivotField dataField="1" showAll="0"/>
    <pivotField showAll="0">
      <items count="87">
        <item x="82"/>
        <item x="7"/>
        <item x="66"/>
        <item x="8"/>
        <item x="79"/>
        <item x="74"/>
        <item x="78"/>
        <item x="32"/>
        <item x="77"/>
        <item x="10"/>
        <item x="13"/>
        <item x="15"/>
        <item x="37"/>
        <item x="30"/>
        <item x="26"/>
        <item x="23"/>
        <item x="80"/>
        <item x="35"/>
        <item x="17"/>
        <item x="39"/>
        <item x="63"/>
        <item x="29"/>
        <item x="21"/>
        <item x="36"/>
        <item x="3"/>
        <item x="46"/>
        <item x="5"/>
        <item x="53"/>
        <item x="0"/>
        <item x="19"/>
        <item x="27"/>
        <item x="54"/>
        <item x="59"/>
        <item x="60"/>
        <item x="49"/>
        <item x="84"/>
        <item x="61"/>
        <item x="62"/>
        <item x="11"/>
        <item x="42"/>
        <item x="69"/>
        <item x="81"/>
        <item x="24"/>
        <item x="56"/>
        <item x="44"/>
        <item x="48"/>
        <item x="9"/>
        <item x="47"/>
        <item x="1"/>
        <item x="52"/>
        <item x="14"/>
        <item x="75"/>
        <item x="71"/>
        <item x="38"/>
        <item x="83"/>
        <item x="31"/>
        <item x="40"/>
        <item x="16"/>
        <item x="18"/>
        <item x="22"/>
        <item x="76"/>
        <item x="33"/>
        <item x="65"/>
        <item x="55"/>
        <item x="57"/>
        <item x="58"/>
        <item x="12"/>
        <item x="85"/>
        <item x="28"/>
        <item x="20"/>
        <item x="34"/>
        <item x="51"/>
        <item x="41"/>
        <item x="25"/>
        <item x="45"/>
        <item x="50"/>
        <item x="64"/>
        <item x="2"/>
        <item x="6"/>
        <item x="4"/>
        <item x="68"/>
        <item x="67"/>
        <item x="43"/>
        <item x="70"/>
        <item x="72"/>
        <item x="73"/>
        <item t="default"/>
      </items>
    </pivotField>
    <pivotField numFmtId="1" showAll="0"/>
    <pivotField numFmtId="164" showAll="0"/>
    <pivotField showAll="0"/>
    <pivotField showAll="0"/>
    <pivotField numFmtId="164" showAll="0"/>
    <pivotField showAll="0"/>
    <pivotField showAll="0"/>
  </pivotFields>
  <rowFields count="1">
    <field x="5"/>
  </rowFields>
  <rowItems count="18">
    <i>
      <x/>
    </i>
    <i>
      <x v="1"/>
    </i>
    <i>
      <x v="2"/>
    </i>
    <i>
      <x v="3"/>
    </i>
    <i>
      <x v="4"/>
    </i>
    <i>
      <x v="5"/>
    </i>
    <i>
      <x v="6"/>
    </i>
    <i>
      <x v="7"/>
    </i>
    <i>
      <x v="8"/>
    </i>
    <i>
      <x v="9"/>
    </i>
    <i>
      <x v="10"/>
    </i>
    <i>
      <x v="11"/>
    </i>
    <i>
      <x v="12"/>
    </i>
    <i>
      <x v="13"/>
    </i>
    <i>
      <x v="14"/>
    </i>
    <i>
      <x v="15"/>
    </i>
    <i>
      <x v="16"/>
    </i>
    <i t="grand">
      <x/>
    </i>
  </rowItems>
  <colFields count="1">
    <field x="-2"/>
  </colFields>
  <colItems count="6">
    <i>
      <x/>
    </i>
    <i i="1">
      <x v="1"/>
    </i>
    <i i="2">
      <x v="2"/>
    </i>
    <i i="3">
      <x v="3"/>
    </i>
    <i i="4">
      <x v="4"/>
    </i>
    <i i="5">
      <x v="5"/>
    </i>
  </colItems>
  <dataFields count="6">
    <dataField name="Average of attack" fld="8" subtotal="average" baseField="0" baseItem="0"/>
    <dataField name="Average of defense" fld="9" subtotal="average" baseField="0" baseItem="0"/>
    <dataField name="Average of special_attack" fld="10" subtotal="average" baseField="0" baseItem="0"/>
    <dataField name="Average of special_defense" fld="11" subtotal="average" baseField="0" baseItem="0"/>
    <dataField name="Average of speed" fld="12" subtotal="average" baseField="0" baseItem="0"/>
    <dataField name="Average of hp" fld="7" subtotal="average" baseField="0" baseItem="0"/>
  </dataFields>
  <formats count="1">
    <format dxfId="8">
      <pivotArea outline="0" collapsedLevelsAreSubtotals="1" fieldPosition="0"/>
    </format>
  </formats>
  <chartFormats count="1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 chart="5" format="4" series="1">
      <pivotArea type="data" outline="0" fieldPosition="0">
        <references count="1">
          <reference field="4294967294" count="1" selected="0">
            <x v="4"/>
          </reference>
        </references>
      </pivotArea>
    </chartFormat>
    <chartFormat chart="5" format="5" series="1">
      <pivotArea type="data" outline="0" fieldPosition="0">
        <references count="1">
          <reference field="4294967294" count="1" selected="0">
            <x v="5"/>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series="1">
      <pivotArea type="data" outline="0" fieldPosition="0">
        <references count="1">
          <reference field="4294967294" count="1" selected="0">
            <x v="2"/>
          </reference>
        </references>
      </pivotArea>
    </chartFormat>
    <chartFormat chart="7" format="15" series="1">
      <pivotArea type="data" outline="0" fieldPosition="0">
        <references count="1">
          <reference field="4294967294" count="1" selected="0">
            <x v="3"/>
          </reference>
        </references>
      </pivotArea>
    </chartFormat>
    <chartFormat chart="7" format="16" series="1">
      <pivotArea type="data" outline="0" fieldPosition="0">
        <references count="1">
          <reference field="4294967294" count="1" selected="0">
            <x v="4"/>
          </reference>
        </references>
      </pivotArea>
    </chartFormat>
    <chartFormat chart="7"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2A924-2292-4CA0-8FC1-A7234D390B13}"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8:B36" firstHeaderRow="1" firstDataRow="1" firstDataCol="1"/>
  <pivotFields count="21">
    <pivotField showAll="0"/>
    <pivotField dataField="1" showAll="0">
      <items count="251">
        <item x="62"/>
        <item x="141"/>
        <item x="189"/>
        <item x="64"/>
        <item x="180"/>
        <item x="23"/>
        <item x="58"/>
        <item x="167"/>
        <item x="143"/>
        <item x="183"/>
        <item x="152"/>
        <item x="14"/>
        <item x="181"/>
        <item x="68"/>
        <item x="8"/>
        <item x="241"/>
        <item x="0"/>
        <item x="11"/>
        <item x="9"/>
        <item x="112"/>
        <item x="5"/>
        <item x="3"/>
        <item x="4"/>
        <item x="151"/>
        <item x="169"/>
        <item x="35"/>
        <item x="34"/>
        <item x="172"/>
        <item x="90"/>
        <item x="221"/>
        <item x="168"/>
        <item x="158"/>
        <item x="103"/>
        <item x="154"/>
        <item x="224"/>
        <item x="86"/>
        <item x="49"/>
        <item x="131"/>
        <item x="84"/>
        <item x="83"/>
        <item x="231"/>
        <item x="147"/>
        <item x="148"/>
        <item x="146"/>
        <item x="95"/>
        <item x="50"/>
        <item x="205"/>
        <item x="132"/>
        <item x="22"/>
        <item x="124"/>
        <item x="100"/>
        <item x="238"/>
        <item x="243"/>
        <item x="195"/>
        <item x="101"/>
        <item x="102"/>
        <item x="82"/>
        <item x="21"/>
        <item x="159"/>
        <item x="179"/>
        <item x="135"/>
        <item x="204"/>
        <item x="161"/>
        <item x="91"/>
        <item x="93"/>
        <item x="73"/>
        <item x="202"/>
        <item x="206"/>
        <item x="43"/>
        <item x="41"/>
        <item x="117"/>
        <item x="54"/>
        <item x="75"/>
        <item x="209"/>
        <item x="74"/>
        <item x="87"/>
        <item x="57"/>
        <item x="129"/>
        <item x="92"/>
        <item x="213"/>
        <item x="106"/>
        <item x="105"/>
        <item x="236"/>
        <item x="249"/>
        <item x="162"/>
        <item x="186"/>
        <item x="115"/>
        <item x="228"/>
        <item x="227"/>
        <item x="96"/>
        <item x="173"/>
        <item x="1"/>
        <item x="38"/>
        <item x="134"/>
        <item x="188"/>
        <item x="123"/>
        <item x="139"/>
        <item x="140"/>
        <item x="63"/>
        <item x="13"/>
        <item x="114"/>
        <item x="229"/>
        <item x="98"/>
        <item x="108"/>
        <item x="97"/>
        <item x="170"/>
        <item x="130"/>
        <item x="245"/>
        <item x="165"/>
        <item x="164"/>
        <item x="107"/>
        <item x="248"/>
        <item x="67"/>
        <item x="66"/>
        <item x="65"/>
        <item x="239"/>
        <item x="218"/>
        <item x="128"/>
        <item x="125"/>
        <item x="80"/>
        <item x="81"/>
        <item x="55"/>
        <item x="225"/>
        <item x="178"/>
        <item x="182"/>
        <item x="104"/>
        <item x="153"/>
        <item x="51"/>
        <item x="10"/>
        <item x="150"/>
        <item x="149"/>
        <item x="240"/>
        <item x="199"/>
        <item x="145"/>
        <item x="121"/>
        <item x="88"/>
        <item x="197"/>
        <item x="176"/>
        <item x="33"/>
        <item x="30"/>
        <item x="28"/>
        <item x="31"/>
        <item x="29"/>
        <item x="32"/>
        <item x="37"/>
        <item x="163"/>
        <item x="223"/>
        <item x="42"/>
        <item x="137"/>
        <item x="138"/>
        <item x="94"/>
        <item x="45"/>
        <item x="46"/>
        <item x="52"/>
        <item x="230"/>
        <item x="171"/>
        <item x="17"/>
        <item x="16"/>
        <item x="15"/>
        <item x="24"/>
        <item x="220"/>
        <item x="203"/>
        <item x="126"/>
        <item x="185"/>
        <item x="59"/>
        <item x="60"/>
        <item x="61"/>
        <item x="76"/>
        <item x="136"/>
        <item x="232"/>
        <item x="56"/>
        <item x="53"/>
        <item x="246"/>
        <item x="194"/>
        <item x="155"/>
        <item x="210"/>
        <item x="25"/>
        <item x="242"/>
        <item x="77"/>
        <item x="19"/>
        <item x="18"/>
        <item x="222"/>
        <item x="111"/>
        <item x="110"/>
        <item x="26"/>
        <item x="27"/>
        <item x="211"/>
        <item x="122"/>
        <item x="116"/>
        <item x="118"/>
        <item x="85"/>
        <item x="160"/>
        <item x="89"/>
        <item x="212"/>
        <item x="226"/>
        <item x="187"/>
        <item x="79"/>
        <item x="198"/>
        <item x="78"/>
        <item x="217"/>
        <item x="234"/>
        <item x="237"/>
        <item x="214"/>
        <item x="142"/>
        <item x="208"/>
        <item x="20"/>
        <item x="166"/>
        <item x="6"/>
        <item x="233"/>
        <item x="120"/>
        <item x="119"/>
        <item x="207"/>
        <item x="184"/>
        <item x="244"/>
        <item x="191"/>
        <item x="190"/>
        <item x="219"/>
        <item x="113"/>
        <item x="127"/>
        <item x="215"/>
        <item x="71"/>
        <item x="72"/>
        <item x="174"/>
        <item x="175"/>
        <item x="157"/>
        <item x="156"/>
        <item x="247"/>
        <item x="235"/>
        <item x="196"/>
        <item x="200"/>
        <item x="216"/>
        <item x="133"/>
        <item x="48"/>
        <item x="47"/>
        <item x="2"/>
        <item x="70"/>
        <item x="44"/>
        <item x="99"/>
        <item x="36"/>
        <item x="7"/>
        <item x="12"/>
        <item x="69"/>
        <item x="109"/>
        <item x="39"/>
        <item x="201"/>
        <item x="193"/>
        <item x="177"/>
        <item x="192"/>
        <item x="144"/>
        <item x="40"/>
        <item t="default"/>
      </items>
    </pivotField>
    <pivotField showAll="0"/>
    <pivotField showAll="0"/>
    <pivotField showAll="0"/>
    <pivotField axis="axisRow" showAll="0" maxSubtotal="1">
      <items count="18">
        <item x="3"/>
        <item x="15"/>
        <item x="14"/>
        <item x="6"/>
        <item x="8"/>
        <item x="9"/>
        <item x="1"/>
        <item x="12"/>
        <item x="0"/>
        <item x="7"/>
        <item x="13"/>
        <item x="4"/>
        <item x="5"/>
        <item x="10"/>
        <item x="11"/>
        <item x="16"/>
        <item x="2"/>
        <item t="max"/>
      </items>
    </pivotField>
    <pivotField showAll="0"/>
    <pivotField showAll="0"/>
    <pivotField showAll="0"/>
    <pivotField showAll="0"/>
    <pivotField showAll="0"/>
    <pivotField showAll="0"/>
    <pivotField showAll="0"/>
    <pivotField showAll="0">
      <items count="87">
        <item x="82"/>
        <item x="7"/>
        <item x="66"/>
        <item x="8"/>
        <item x="79"/>
        <item x="74"/>
        <item x="78"/>
        <item x="32"/>
        <item x="77"/>
        <item x="10"/>
        <item x="13"/>
        <item x="15"/>
        <item x="37"/>
        <item x="30"/>
        <item x="26"/>
        <item x="23"/>
        <item x="80"/>
        <item x="35"/>
        <item x="17"/>
        <item x="39"/>
        <item x="63"/>
        <item x="29"/>
        <item x="21"/>
        <item x="36"/>
        <item x="3"/>
        <item x="46"/>
        <item x="5"/>
        <item x="53"/>
        <item x="0"/>
        <item x="19"/>
        <item x="27"/>
        <item x="54"/>
        <item x="59"/>
        <item x="60"/>
        <item x="49"/>
        <item x="84"/>
        <item x="61"/>
        <item x="62"/>
        <item x="11"/>
        <item x="42"/>
        <item x="69"/>
        <item x="81"/>
        <item x="24"/>
        <item x="56"/>
        <item x="44"/>
        <item x="48"/>
        <item x="9"/>
        <item x="47"/>
        <item x="1"/>
        <item x="52"/>
        <item x="14"/>
        <item x="75"/>
        <item x="71"/>
        <item x="38"/>
        <item x="83"/>
        <item x="31"/>
        <item x="40"/>
        <item x="16"/>
        <item x="18"/>
        <item x="22"/>
        <item x="76"/>
        <item x="33"/>
        <item x="65"/>
        <item x="55"/>
        <item x="57"/>
        <item x="58"/>
        <item x="12"/>
        <item x="85"/>
        <item x="28"/>
        <item x="20"/>
        <item x="34"/>
        <item x="51"/>
        <item x="41"/>
        <item x="25"/>
        <item x="45"/>
        <item x="50"/>
        <item x="64"/>
        <item x="2"/>
        <item x="6"/>
        <item x="4"/>
        <item x="68"/>
        <item x="67"/>
        <item x="43"/>
        <item x="70"/>
        <item x="72"/>
        <item x="73"/>
        <item t="default"/>
      </items>
    </pivotField>
    <pivotField numFmtId="1" showAll="0"/>
    <pivotField numFmtId="164" showAll="0"/>
    <pivotField showAll="0"/>
    <pivotField showAll="0"/>
    <pivotField numFmtId="164" showAll="0"/>
    <pivotField showAll="0"/>
    <pivotField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Count of name" fld="1" subtotal="count" baseField="0" baseItem="0"/>
  </dataFields>
  <chartFormats count="18">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5" count="1" selected="0">
            <x v="0"/>
          </reference>
        </references>
      </pivotArea>
    </chartFormat>
    <chartFormat chart="8" format="21">
      <pivotArea type="data" outline="0" fieldPosition="0">
        <references count="2">
          <reference field="4294967294" count="1" selected="0">
            <x v="0"/>
          </reference>
          <reference field="5" count="1" selected="0">
            <x v="1"/>
          </reference>
        </references>
      </pivotArea>
    </chartFormat>
    <chartFormat chart="8" format="22">
      <pivotArea type="data" outline="0" fieldPosition="0">
        <references count="2">
          <reference field="4294967294" count="1" selected="0">
            <x v="0"/>
          </reference>
          <reference field="5" count="1" selected="0">
            <x v="2"/>
          </reference>
        </references>
      </pivotArea>
    </chartFormat>
    <chartFormat chart="8" format="23">
      <pivotArea type="data" outline="0" fieldPosition="0">
        <references count="2">
          <reference field="4294967294" count="1" selected="0">
            <x v="0"/>
          </reference>
          <reference field="5" count="1" selected="0">
            <x v="3"/>
          </reference>
        </references>
      </pivotArea>
    </chartFormat>
    <chartFormat chart="8" format="24">
      <pivotArea type="data" outline="0" fieldPosition="0">
        <references count="2">
          <reference field="4294967294" count="1" selected="0">
            <x v="0"/>
          </reference>
          <reference field="5" count="1" selected="0">
            <x v="4"/>
          </reference>
        </references>
      </pivotArea>
    </chartFormat>
    <chartFormat chart="8" format="25">
      <pivotArea type="data" outline="0" fieldPosition="0">
        <references count="2">
          <reference field="4294967294" count="1" selected="0">
            <x v="0"/>
          </reference>
          <reference field="5" count="1" selected="0">
            <x v="5"/>
          </reference>
        </references>
      </pivotArea>
    </chartFormat>
    <chartFormat chart="8" format="26">
      <pivotArea type="data" outline="0" fieldPosition="0">
        <references count="2">
          <reference field="4294967294" count="1" selected="0">
            <x v="0"/>
          </reference>
          <reference field="5" count="1" selected="0">
            <x v="6"/>
          </reference>
        </references>
      </pivotArea>
    </chartFormat>
    <chartFormat chart="8" format="27">
      <pivotArea type="data" outline="0" fieldPosition="0">
        <references count="2">
          <reference field="4294967294" count="1" selected="0">
            <x v="0"/>
          </reference>
          <reference field="5" count="1" selected="0">
            <x v="7"/>
          </reference>
        </references>
      </pivotArea>
    </chartFormat>
    <chartFormat chart="8" format="28">
      <pivotArea type="data" outline="0" fieldPosition="0">
        <references count="2">
          <reference field="4294967294" count="1" selected="0">
            <x v="0"/>
          </reference>
          <reference field="5" count="1" selected="0">
            <x v="8"/>
          </reference>
        </references>
      </pivotArea>
    </chartFormat>
    <chartFormat chart="8" format="29">
      <pivotArea type="data" outline="0" fieldPosition="0">
        <references count="2">
          <reference field="4294967294" count="1" selected="0">
            <x v="0"/>
          </reference>
          <reference field="5" count="1" selected="0">
            <x v="9"/>
          </reference>
        </references>
      </pivotArea>
    </chartFormat>
    <chartFormat chart="8" format="30">
      <pivotArea type="data" outline="0" fieldPosition="0">
        <references count="2">
          <reference field="4294967294" count="1" selected="0">
            <x v="0"/>
          </reference>
          <reference field="5" count="1" selected="0">
            <x v="10"/>
          </reference>
        </references>
      </pivotArea>
    </chartFormat>
    <chartFormat chart="8" format="31">
      <pivotArea type="data" outline="0" fieldPosition="0">
        <references count="2">
          <reference field="4294967294" count="1" selected="0">
            <x v="0"/>
          </reference>
          <reference field="5" count="1" selected="0">
            <x v="11"/>
          </reference>
        </references>
      </pivotArea>
    </chartFormat>
    <chartFormat chart="8" format="32">
      <pivotArea type="data" outline="0" fieldPosition="0">
        <references count="2">
          <reference field="4294967294" count="1" selected="0">
            <x v="0"/>
          </reference>
          <reference field="5" count="1" selected="0">
            <x v="12"/>
          </reference>
        </references>
      </pivotArea>
    </chartFormat>
    <chartFormat chart="8" format="33">
      <pivotArea type="data" outline="0" fieldPosition="0">
        <references count="2">
          <reference field="4294967294" count="1" selected="0">
            <x v="0"/>
          </reference>
          <reference field="5" count="1" selected="0">
            <x v="13"/>
          </reference>
        </references>
      </pivotArea>
    </chartFormat>
    <chartFormat chart="8" format="34">
      <pivotArea type="data" outline="0" fieldPosition="0">
        <references count="2">
          <reference field="4294967294" count="1" selected="0">
            <x v="0"/>
          </reference>
          <reference field="5" count="1" selected="0">
            <x v="14"/>
          </reference>
        </references>
      </pivotArea>
    </chartFormat>
    <chartFormat chart="8" format="35">
      <pivotArea type="data" outline="0" fieldPosition="0">
        <references count="2">
          <reference field="4294967294" count="1" selected="0">
            <x v="0"/>
          </reference>
          <reference field="5" count="1" selected="0">
            <x v="15"/>
          </reference>
        </references>
      </pivotArea>
    </chartFormat>
    <chartFormat chart="8" format="36">
      <pivotArea type="data" outline="0" fieldPosition="0">
        <references count="2">
          <reference field="4294967294" count="1" selected="0">
            <x v="0"/>
          </reference>
          <reference field="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57E17C-7D76-471F-A0EF-FDF2DFDF85D0}"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rowPageCount="1" colPageCount="1"/>
  <pivotFields count="21">
    <pivotField showAll="0"/>
    <pivotField axis="axisRow" showAll="0" measureFilter="1">
      <items count="251">
        <item x="62"/>
        <item x="141"/>
        <item x="189"/>
        <item x="64"/>
        <item x="180"/>
        <item x="23"/>
        <item x="58"/>
        <item x="167"/>
        <item x="143"/>
        <item x="183"/>
        <item x="152"/>
        <item x="14"/>
        <item x="181"/>
        <item x="68"/>
        <item x="8"/>
        <item x="241"/>
        <item x="0"/>
        <item x="11"/>
        <item x="9"/>
        <item x="112"/>
        <item x="5"/>
        <item x="3"/>
        <item x="4"/>
        <item x="151"/>
        <item x="169"/>
        <item x="35"/>
        <item x="34"/>
        <item x="172"/>
        <item x="90"/>
        <item x="221"/>
        <item x="168"/>
        <item x="158"/>
        <item x="103"/>
        <item x="154"/>
        <item x="224"/>
        <item x="86"/>
        <item x="49"/>
        <item x="131"/>
        <item x="84"/>
        <item x="83"/>
        <item x="231"/>
        <item x="147"/>
        <item x="148"/>
        <item x="146"/>
        <item x="95"/>
        <item x="50"/>
        <item x="205"/>
        <item x="132"/>
        <item x="22"/>
        <item x="124"/>
        <item x="100"/>
        <item x="238"/>
        <item x="243"/>
        <item x="195"/>
        <item x="101"/>
        <item x="102"/>
        <item x="82"/>
        <item x="21"/>
        <item x="159"/>
        <item x="179"/>
        <item x="135"/>
        <item x="204"/>
        <item x="161"/>
        <item x="91"/>
        <item x="93"/>
        <item x="73"/>
        <item x="202"/>
        <item x="206"/>
        <item x="43"/>
        <item x="41"/>
        <item x="117"/>
        <item x="54"/>
        <item x="75"/>
        <item x="209"/>
        <item x="74"/>
        <item x="87"/>
        <item x="57"/>
        <item x="129"/>
        <item x="92"/>
        <item x="213"/>
        <item x="106"/>
        <item x="105"/>
        <item x="236"/>
        <item x="249"/>
        <item x="162"/>
        <item x="186"/>
        <item x="115"/>
        <item x="228"/>
        <item x="227"/>
        <item x="96"/>
        <item x="173"/>
        <item x="1"/>
        <item x="38"/>
        <item x="134"/>
        <item x="188"/>
        <item x="123"/>
        <item x="139"/>
        <item x="140"/>
        <item x="63"/>
        <item x="13"/>
        <item x="114"/>
        <item x="229"/>
        <item x="98"/>
        <item x="108"/>
        <item x="97"/>
        <item x="170"/>
        <item x="130"/>
        <item x="245"/>
        <item x="165"/>
        <item x="164"/>
        <item x="107"/>
        <item x="248"/>
        <item x="67"/>
        <item x="66"/>
        <item x="65"/>
        <item x="239"/>
        <item x="218"/>
        <item x="128"/>
        <item x="125"/>
        <item x="80"/>
        <item x="81"/>
        <item x="55"/>
        <item x="225"/>
        <item x="178"/>
        <item x="182"/>
        <item x="104"/>
        <item x="153"/>
        <item x="51"/>
        <item x="10"/>
        <item x="150"/>
        <item x="149"/>
        <item x="240"/>
        <item x="199"/>
        <item x="145"/>
        <item x="121"/>
        <item x="88"/>
        <item x="197"/>
        <item x="176"/>
        <item x="33"/>
        <item x="30"/>
        <item x="28"/>
        <item x="31"/>
        <item x="29"/>
        <item x="32"/>
        <item x="37"/>
        <item x="163"/>
        <item x="223"/>
        <item x="42"/>
        <item x="137"/>
        <item x="138"/>
        <item x="94"/>
        <item x="45"/>
        <item x="46"/>
        <item x="52"/>
        <item x="230"/>
        <item x="171"/>
        <item x="17"/>
        <item x="16"/>
        <item x="15"/>
        <item x="24"/>
        <item x="220"/>
        <item x="203"/>
        <item x="126"/>
        <item x="185"/>
        <item x="59"/>
        <item x="60"/>
        <item x="61"/>
        <item x="76"/>
        <item x="136"/>
        <item x="232"/>
        <item x="56"/>
        <item x="53"/>
        <item x="246"/>
        <item x="194"/>
        <item x="155"/>
        <item x="210"/>
        <item x="25"/>
        <item x="242"/>
        <item x="77"/>
        <item x="19"/>
        <item x="18"/>
        <item x="222"/>
        <item x="111"/>
        <item x="110"/>
        <item x="26"/>
        <item x="27"/>
        <item x="211"/>
        <item x="122"/>
        <item x="116"/>
        <item x="118"/>
        <item x="85"/>
        <item x="160"/>
        <item x="89"/>
        <item x="212"/>
        <item x="226"/>
        <item x="187"/>
        <item x="79"/>
        <item x="198"/>
        <item x="78"/>
        <item x="217"/>
        <item x="234"/>
        <item x="237"/>
        <item x="214"/>
        <item x="142"/>
        <item x="208"/>
        <item x="20"/>
        <item x="166"/>
        <item x="6"/>
        <item x="233"/>
        <item x="120"/>
        <item x="119"/>
        <item x="207"/>
        <item x="184"/>
        <item x="244"/>
        <item x="191"/>
        <item x="190"/>
        <item x="219"/>
        <item x="113"/>
        <item x="127"/>
        <item x="215"/>
        <item x="71"/>
        <item x="72"/>
        <item x="174"/>
        <item x="175"/>
        <item x="157"/>
        <item x="156"/>
        <item x="247"/>
        <item x="235"/>
        <item x="196"/>
        <item x="200"/>
        <item x="216"/>
        <item x="133"/>
        <item x="48"/>
        <item x="47"/>
        <item x="2"/>
        <item x="70"/>
        <item x="44"/>
        <item x="99"/>
        <item x="36"/>
        <item x="7"/>
        <item x="12"/>
        <item x="69"/>
        <item x="109"/>
        <item x="39"/>
        <item x="201"/>
        <item x="193"/>
        <item x="177"/>
        <item x="192"/>
        <item x="144"/>
        <item x="40"/>
        <item t="default"/>
      </items>
    </pivotField>
    <pivotField showAll="0"/>
    <pivotField showAll="0"/>
    <pivotField showAll="0"/>
    <pivotField axis="axisPage" showAll="0" maxSubtotal="1">
      <items count="18">
        <item x="3"/>
        <item x="15"/>
        <item x="14"/>
        <item x="6"/>
        <item x="8"/>
        <item x="9"/>
        <item x="1"/>
        <item x="12"/>
        <item x="0"/>
        <item x="7"/>
        <item x="13"/>
        <item x="4"/>
        <item x="5"/>
        <item x="10"/>
        <item x="11"/>
        <item x="16"/>
        <item x="2"/>
        <item t="max"/>
      </items>
    </pivotField>
    <pivotField showAll="0"/>
    <pivotField showAll="0"/>
    <pivotField showAll="0"/>
    <pivotField showAll="0"/>
    <pivotField showAll="0"/>
    <pivotField showAll="0"/>
    <pivotField showAll="0"/>
    <pivotField dataField="1" showAll="0">
      <items count="87">
        <item x="82"/>
        <item x="7"/>
        <item x="66"/>
        <item x="8"/>
        <item x="79"/>
        <item x="74"/>
        <item x="78"/>
        <item x="32"/>
        <item x="77"/>
        <item x="10"/>
        <item x="13"/>
        <item x="15"/>
        <item x="37"/>
        <item x="30"/>
        <item x="26"/>
        <item x="23"/>
        <item x="80"/>
        <item x="35"/>
        <item x="17"/>
        <item x="39"/>
        <item x="63"/>
        <item x="29"/>
        <item x="21"/>
        <item x="36"/>
        <item x="3"/>
        <item x="46"/>
        <item x="5"/>
        <item x="53"/>
        <item x="0"/>
        <item x="19"/>
        <item x="27"/>
        <item x="54"/>
        <item x="59"/>
        <item x="60"/>
        <item x="49"/>
        <item x="84"/>
        <item x="61"/>
        <item x="62"/>
        <item x="11"/>
        <item x="42"/>
        <item x="69"/>
        <item x="81"/>
        <item x="24"/>
        <item x="56"/>
        <item x="44"/>
        <item x="48"/>
        <item x="9"/>
        <item x="47"/>
        <item x="1"/>
        <item x="52"/>
        <item x="14"/>
        <item x="75"/>
        <item x="71"/>
        <item x="38"/>
        <item x="83"/>
        <item x="31"/>
        <item x="40"/>
        <item x="16"/>
        <item x="18"/>
        <item x="22"/>
        <item x="76"/>
        <item x="33"/>
        <item x="65"/>
        <item x="55"/>
        <item x="57"/>
        <item x="58"/>
        <item x="12"/>
        <item x="85"/>
        <item x="28"/>
        <item x="20"/>
        <item x="34"/>
        <item x="51"/>
        <item x="41"/>
        <item x="25"/>
        <item x="45"/>
        <item x="50"/>
        <item x="64"/>
        <item x="2"/>
        <item x="6"/>
        <item x="4"/>
        <item x="68"/>
        <item x="67"/>
        <item x="43"/>
        <item x="70"/>
        <item x="72"/>
        <item x="73"/>
        <item t="default"/>
      </items>
    </pivotField>
    <pivotField numFmtId="1" showAll="0"/>
    <pivotField numFmtId="164" showAll="0"/>
    <pivotField showAll="0"/>
    <pivotField showAll="0"/>
    <pivotField numFmtId="164" showAll="0"/>
    <pivotField showAll="0"/>
    <pivotField showAll="0"/>
  </pivotFields>
  <rowFields count="1">
    <field x="1"/>
  </rowFields>
  <rowItems count="13">
    <i>
      <x v="8"/>
    </i>
    <i>
      <x v="42"/>
    </i>
    <i>
      <x v="52"/>
    </i>
    <i>
      <x v="83"/>
    </i>
    <i>
      <x v="111"/>
    </i>
    <i>
      <x v="129"/>
    </i>
    <i>
      <x v="130"/>
    </i>
    <i>
      <x v="133"/>
    </i>
    <i>
      <x v="177"/>
    </i>
    <i>
      <x v="213"/>
    </i>
    <i>
      <x v="226"/>
    </i>
    <i>
      <x v="248"/>
    </i>
    <i t="grand">
      <x/>
    </i>
  </rowItems>
  <colItems count="1">
    <i/>
  </colItems>
  <pageFields count="1">
    <pageField fld="5" hier="-1"/>
  </pageFields>
  <dataFields count="1">
    <dataField name="Sum of Total Stats" fld="13" baseField="0" baseItem="0"/>
  </dataFields>
  <chartFormats count="4">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83107E-EB0D-499D-A45D-0E9A24F32A48}"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1:I66" firstHeaderRow="0" firstDataRow="1" firstDataCol="1"/>
  <pivotFields count="21">
    <pivotField showAll="0"/>
    <pivotField dataField="1" showAll="0">
      <items count="251">
        <item x="62"/>
        <item x="141"/>
        <item x="189"/>
        <item x="64"/>
        <item x="180"/>
        <item x="23"/>
        <item x="58"/>
        <item x="167"/>
        <item x="143"/>
        <item x="183"/>
        <item x="152"/>
        <item x="14"/>
        <item x="181"/>
        <item x="68"/>
        <item x="8"/>
        <item x="241"/>
        <item x="0"/>
        <item x="11"/>
        <item x="9"/>
        <item x="112"/>
        <item x="5"/>
        <item x="3"/>
        <item x="4"/>
        <item x="151"/>
        <item x="169"/>
        <item x="35"/>
        <item x="34"/>
        <item x="172"/>
        <item x="90"/>
        <item x="221"/>
        <item x="168"/>
        <item x="158"/>
        <item x="103"/>
        <item x="154"/>
        <item x="224"/>
        <item x="86"/>
        <item x="49"/>
        <item x="131"/>
        <item x="84"/>
        <item x="83"/>
        <item x="231"/>
        <item x="147"/>
        <item x="148"/>
        <item x="146"/>
        <item x="95"/>
        <item x="50"/>
        <item x="205"/>
        <item x="132"/>
        <item x="22"/>
        <item x="124"/>
        <item x="100"/>
        <item x="238"/>
        <item x="243"/>
        <item x="195"/>
        <item x="101"/>
        <item x="102"/>
        <item x="82"/>
        <item x="21"/>
        <item x="159"/>
        <item x="179"/>
        <item x="135"/>
        <item x="204"/>
        <item x="161"/>
        <item x="91"/>
        <item x="93"/>
        <item x="73"/>
        <item x="202"/>
        <item x="206"/>
        <item x="43"/>
        <item x="41"/>
        <item x="117"/>
        <item x="54"/>
        <item x="75"/>
        <item x="209"/>
        <item x="74"/>
        <item x="87"/>
        <item x="57"/>
        <item x="129"/>
        <item x="92"/>
        <item x="213"/>
        <item x="106"/>
        <item x="105"/>
        <item x="236"/>
        <item x="249"/>
        <item x="162"/>
        <item x="186"/>
        <item x="115"/>
        <item x="228"/>
        <item x="227"/>
        <item x="96"/>
        <item x="173"/>
        <item x="1"/>
        <item x="38"/>
        <item x="134"/>
        <item x="188"/>
        <item x="123"/>
        <item x="139"/>
        <item x="140"/>
        <item x="63"/>
        <item x="13"/>
        <item x="114"/>
        <item x="229"/>
        <item x="98"/>
        <item x="108"/>
        <item x="97"/>
        <item x="170"/>
        <item x="130"/>
        <item x="245"/>
        <item x="165"/>
        <item x="164"/>
        <item x="107"/>
        <item x="248"/>
        <item x="67"/>
        <item x="66"/>
        <item x="65"/>
        <item x="239"/>
        <item x="218"/>
        <item x="128"/>
        <item x="125"/>
        <item x="80"/>
        <item x="81"/>
        <item x="55"/>
        <item x="225"/>
        <item x="178"/>
        <item x="182"/>
        <item x="104"/>
        <item x="153"/>
        <item x="51"/>
        <item x="10"/>
        <item x="150"/>
        <item x="149"/>
        <item x="240"/>
        <item x="199"/>
        <item x="145"/>
        <item x="121"/>
        <item x="88"/>
        <item x="197"/>
        <item x="176"/>
        <item x="33"/>
        <item x="30"/>
        <item x="28"/>
        <item x="31"/>
        <item x="29"/>
        <item x="32"/>
        <item x="37"/>
        <item x="163"/>
        <item x="223"/>
        <item x="42"/>
        <item x="137"/>
        <item x="138"/>
        <item x="94"/>
        <item x="45"/>
        <item x="46"/>
        <item x="52"/>
        <item x="230"/>
        <item x="171"/>
        <item x="17"/>
        <item x="16"/>
        <item x="15"/>
        <item x="24"/>
        <item x="220"/>
        <item x="203"/>
        <item x="126"/>
        <item x="185"/>
        <item x="59"/>
        <item x="60"/>
        <item x="61"/>
        <item x="76"/>
        <item x="136"/>
        <item x="232"/>
        <item x="56"/>
        <item x="53"/>
        <item x="246"/>
        <item x="194"/>
        <item x="155"/>
        <item x="210"/>
        <item x="25"/>
        <item x="242"/>
        <item x="77"/>
        <item x="19"/>
        <item x="18"/>
        <item x="222"/>
        <item x="111"/>
        <item x="110"/>
        <item x="26"/>
        <item x="27"/>
        <item x="211"/>
        <item x="122"/>
        <item x="116"/>
        <item x="118"/>
        <item x="85"/>
        <item x="160"/>
        <item x="89"/>
        <item x="212"/>
        <item x="226"/>
        <item x="187"/>
        <item x="79"/>
        <item x="198"/>
        <item x="78"/>
        <item x="217"/>
        <item x="234"/>
        <item x="237"/>
        <item x="214"/>
        <item x="142"/>
        <item x="208"/>
        <item x="20"/>
        <item x="166"/>
        <item x="6"/>
        <item x="233"/>
        <item x="120"/>
        <item x="119"/>
        <item x="207"/>
        <item x="184"/>
        <item x="244"/>
        <item x="191"/>
        <item x="190"/>
        <item x="219"/>
        <item x="113"/>
        <item x="127"/>
        <item x="215"/>
        <item x="71"/>
        <item x="72"/>
        <item x="174"/>
        <item x="175"/>
        <item x="157"/>
        <item x="156"/>
        <item x="247"/>
        <item x="235"/>
        <item x="196"/>
        <item x="200"/>
        <item x="216"/>
        <item x="133"/>
        <item x="48"/>
        <item x="47"/>
        <item x="2"/>
        <item x="70"/>
        <item x="44"/>
        <item x="99"/>
        <item x="36"/>
        <item x="7"/>
        <item x="12"/>
        <item x="69"/>
        <item x="109"/>
        <item x="39"/>
        <item x="201"/>
        <item x="193"/>
        <item x="177"/>
        <item x="192"/>
        <item x="144"/>
        <item x="40"/>
        <item t="default"/>
      </items>
    </pivotField>
    <pivotField showAll="0"/>
    <pivotField showAll="0"/>
    <pivotField showAll="0"/>
    <pivotField showAll="0" maxSubtotal="1">
      <items count="18">
        <item x="3"/>
        <item x="15"/>
        <item x="14"/>
        <item x="6"/>
        <item x="8"/>
        <item x="9"/>
        <item x="1"/>
        <item x="12"/>
        <item x="0"/>
        <item x="7"/>
        <item x="13"/>
        <item x="4"/>
        <item x="5"/>
        <item x="10"/>
        <item x="11"/>
        <item x="16"/>
        <item x="2"/>
        <item t="max"/>
      </items>
    </pivotField>
    <pivotField showAll="0"/>
    <pivotField dataField="1" showAll="0"/>
    <pivotField dataField="1" showAll="0"/>
    <pivotField dataField="1" showAll="0"/>
    <pivotField dataField="1" showAll="0"/>
    <pivotField dataField="1" showAll="0"/>
    <pivotField dataField="1" showAll="0"/>
    <pivotField dataField="1" showAll="0">
      <items count="87">
        <item x="82"/>
        <item x="7"/>
        <item x="66"/>
        <item x="8"/>
        <item x="79"/>
        <item x="74"/>
        <item x="78"/>
        <item x="32"/>
        <item x="77"/>
        <item x="10"/>
        <item x="13"/>
        <item x="15"/>
        <item x="37"/>
        <item x="30"/>
        <item x="26"/>
        <item x="23"/>
        <item x="80"/>
        <item x="35"/>
        <item x="17"/>
        <item x="39"/>
        <item x="63"/>
        <item x="29"/>
        <item x="21"/>
        <item x="36"/>
        <item x="3"/>
        <item x="46"/>
        <item x="5"/>
        <item x="53"/>
        <item x="0"/>
        <item x="19"/>
        <item x="27"/>
        <item x="54"/>
        <item x="59"/>
        <item x="60"/>
        <item x="49"/>
        <item x="84"/>
        <item x="61"/>
        <item x="62"/>
        <item x="11"/>
        <item x="42"/>
        <item x="69"/>
        <item x="81"/>
        <item x="24"/>
        <item x="56"/>
        <item x="44"/>
        <item x="48"/>
        <item x="9"/>
        <item x="47"/>
        <item x="1"/>
        <item x="52"/>
        <item x="14"/>
        <item x="75"/>
        <item x="71"/>
        <item x="38"/>
        <item x="83"/>
        <item x="31"/>
        <item x="40"/>
        <item x="16"/>
        <item x="18"/>
        <item x="22"/>
        <item x="76"/>
        <item x="33"/>
        <item x="65"/>
        <item x="55"/>
        <item x="57"/>
        <item x="58"/>
        <item x="12"/>
        <item x="85"/>
        <item x="28"/>
        <item x="20"/>
        <item x="34"/>
        <item x="51"/>
        <item x="41"/>
        <item x="25"/>
        <item x="45"/>
        <item x="50"/>
        <item x="64"/>
        <item x="2"/>
        <item x="6"/>
        <item x="4"/>
        <item x="68"/>
        <item x="67"/>
        <item x="43"/>
        <item x="70"/>
        <item x="72"/>
        <item x="73"/>
        <item t="default"/>
      </items>
    </pivotField>
    <pivotField numFmtId="1" showAll="0"/>
    <pivotField numFmtId="164" showAll="0"/>
    <pivotField showAll="0"/>
    <pivotField axis="axisRow" showAll="0">
      <items count="5">
        <item x="2"/>
        <item x="3"/>
        <item x="0"/>
        <item x="1"/>
        <item t="default"/>
      </items>
    </pivotField>
    <pivotField numFmtId="164" showAll="0"/>
    <pivotField showAll="0"/>
    <pivotField showAll="0">
      <items count="3">
        <item x="0"/>
        <item x="1"/>
        <item t="default"/>
      </items>
    </pivotField>
  </pivotFields>
  <rowFields count="1">
    <field x="17"/>
  </rowFields>
  <rowItems count="5">
    <i>
      <x/>
    </i>
    <i>
      <x v="1"/>
    </i>
    <i>
      <x v="2"/>
    </i>
    <i>
      <x v="3"/>
    </i>
    <i t="grand">
      <x/>
    </i>
  </rowItems>
  <colFields count="1">
    <field x="-2"/>
  </colFields>
  <colItems count="8">
    <i>
      <x/>
    </i>
    <i i="1">
      <x v="1"/>
    </i>
    <i i="2">
      <x v="2"/>
    </i>
    <i i="3">
      <x v="3"/>
    </i>
    <i i="4">
      <x v="4"/>
    </i>
    <i i="5">
      <x v="5"/>
    </i>
    <i i="6">
      <x v="6"/>
    </i>
    <i i="7">
      <x v="7"/>
    </i>
  </colItems>
  <dataFields count="8">
    <dataField name="Count of name" fld="1" subtotal="count" baseField="0" baseItem="0"/>
    <dataField name="Average of hp" fld="7" subtotal="average" baseField="0" baseItem="0"/>
    <dataField name="Average of attack" fld="8" subtotal="average" baseField="0" baseItem="0"/>
    <dataField name="Average of defense" fld="9" subtotal="average" baseField="0" baseItem="0"/>
    <dataField name="Average of special_attack" fld="10" subtotal="average" baseField="0" baseItem="0"/>
    <dataField name="Average of special_defense" fld="11" subtotal="average" baseField="0" baseItem="0"/>
    <dataField name="Average of speed" fld="12" subtotal="average" baseField="0" baseItem="0"/>
    <dataField name="Average of Total Stats" fld="13" subtotal="average" baseField="0" baseItem="0"/>
  </dataFields>
  <formats count="1">
    <format dxfId="7">
      <pivotArea outline="0" collapsedLevelsAreSubtotals="1" fieldPosition="0"/>
    </format>
  </formats>
  <chartFormats count="17">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 chart="6" format="5" series="1">
      <pivotArea type="data" outline="0" fieldPosition="0">
        <references count="1">
          <reference field="4294967294" count="1" selected="0">
            <x v="5"/>
          </reference>
        </references>
      </pivotArea>
    </chartFormat>
    <chartFormat chart="6" format="6" series="1">
      <pivotArea type="data" outline="0" fieldPosition="0">
        <references count="1">
          <reference field="4294967294" count="1" selected="0">
            <x v="6"/>
          </reference>
        </references>
      </pivotArea>
    </chartFormat>
    <chartFormat chart="6" format="7" series="1">
      <pivotArea type="data" outline="0" fieldPosition="0">
        <references count="1">
          <reference field="4294967294" count="1" selected="0">
            <x v="7"/>
          </reference>
        </references>
      </pivotArea>
    </chartFormat>
    <chartFormat chart="8"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1"/>
          </reference>
        </references>
      </pivotArea>
    </chartFormat>
    <chartFormat chart="8" format="18" series="1">
      <pivotArea type="data" outline="0" fieldPosition="0">
        <references count="1">
          <reference field="4294967294" count="1" selected="0">
            <x v="2"/>
          </reference>
        </references>
      </pivotArea>
    </chartFormat>
    <chartFormat chart="8" format="19" series="1">
      <pivotArea type="data" outline="0" fieldPosition="0">
        <references count="1">
          <reference field="4294967294" count="1" selected="0">
            <x v="3"/>
          </reference>
        </references>
      </pivotArea>
    </chartFormat>
    <chartFormat chart="8" format="20" series="1">
      <pivotArea type="data" outline="0" fieldPosition="0">
        <references count="1">
          <reference field="4294967294" count="1" selected="0">
            <x v="4"/>
          </reference>
        </references>
      </pivotArea>
    </chartFormat>
    <chartFormat chart="8" format="21" series="1">
      <pivotArea type="data" outline="0" fieldPosition="0">
        <references count="1">
          <reference field="4294967294" count="1" selected="0">
            <x v="5"/>
          </reference>
        </references>
      </pivotArea>
    </chartFormat>
    <chartFormat chart="8" format="22" series="1">
      <pivotArea type="data" outline="0" fieldPosition="0">
        <references count="1">
          <reference field="4294967294" count="1" selected="0">
            <x v="6"/>
          </reference>
        </references>
      </pivotArea>
    </chartFormat>
    <chartFormat chart="8" format="23"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3994AF-2FCC-4413-9F69-5AB6EFD70239}"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9:R58" firstHeaderRow="1" firstDataRow="2" firstDataCol="1"/>
  <pivotFields count="21">
    <pivotField showAll="0"/>
    <pivotField dataField="1" showAll="0">
      <items count="251">
        <item x="62"/>
        <item x="141"/>
        <item x="189"/>
        <item x="64"/>
        <item x="180"/>
        <item x="23"/>
        <item x="58"/>
        <item x="167"/>
        <item x="143"/>
        <item x="183"/>
        <item x="152"/>
        <item x="14"/>
        <item x="181"/>
        <item x="68"/>
        <item x="8"/>
        <item x="241"/>
        <item x="0"/>
        <item x="11"/>
        <item x="9"/>
        <item x="112"/>
        <item x="5"/>
        <item x="3"/>
        <item x="4"/>
        <item x="151"/>
        <item x="169"/>
        <item x="35"/>
        <item x="34"/>
        <item x="172"/>
        <item x="90"/>
        <item x="221"/>
        <item x="168"/>
        <item x="158"/>
        <item x="103"/>
        <item x="154"/>
        <item x="224"/>
        <item x="86"/>
        <item x="49"/>
        <item x="131"/>
        <item x="84"/>
        <item x="83"/>
        <item x="231"/>
        <item x="147"/>
        <item x="148"/>
        <item x="146"/>
        <item x="95"/>
        <item x="50"/>
        <item x="205"/>
        <item x="132"/>
        <item x="22"/>
        <item x="124"/>
        <item x="100"/>
        <item x="238"/>
        <item x="243"/>
        <item x="195"/>
        <item x="101"/>
        <item x="102"/>
        <item x="82"/>
        <item x="21"/>
        <item x="159"/>
        <item x="179"/>
        <item x="135"/>
        <item x="204"/>
        <item x="161"/>
        <item x="91"/>
        <item x="93"/>
        <item x="73"/>
        <item x="202"/>
        <item x="206"/>
        <item x="43"/>
        <item x="41"/>
        <item x="117"/>
        <item x="54"/>
        <item x="75"/>
        <item x="209"/>
        <item x="74"/>
        <item x="87"/>
        <item x="57"/>
        <item x="129"/>
        <item x="92"/>
        <item x="213"/>
        <item x="106"/>
        <item x="105"/>
        <item x="236"/>
        <item x="249"/>
        <item x="162"/>
        <item x="186"/>
        <item x="115"/>
        <item x="228"/>
        <item x="227"/>
        <item x="96"/>
        <item x="173"/>
        <item x="1"/>
        <item x="38"/>
        <item x="134"/>
        <item x="188"/>
        <item x="123"/>
        <item x="139"/>
        <item x="140"/>
        <item x="63"/>
        <item x="13"/>
        <item x="114"/>
        <item x="229"/>
        <item x="98"/>
        <item x="108"/>
        <item x="97"/>
        <item x="170"/>
        <item x="130"/>
        <item x="245"/>
        <item x="165"/>
        <item x="164"/>
        <item x="107"/>
        <item x="248"/>
        <item x="67"/>
        <item x="66"/>
        <item x="65"/>
        <item x="239"/>
        <item x="218"/>
        <item x="128"/>
        <item x="125"/>
        <item x="80"/>
        <item x="81"/>
        <item x="55"/>
        <item x="225"/>
        <item x="178"/>
        <item x="182"/>
        <item x="104"/>
        <item x="153"/>
        <item x="51"/>
        <item x="10"/>
        <item x="150"/>
        <item x="149"/>
        <item x="240"/>
        <item x="199"/>
        <item x="145"/>
        <item x="121"/>
        <item x="88"/>
        <item x="197"/>
        <item x="176"/>
        <item x="33"/>
        <item x="30"/>
        <item x="28"/>
        <item x="31"/>
        <item x="29"/>
        <item x="32"/>
        <item x="37"/>
        <item x="163"/>
        <item x="223"/>
        <item x="42"/>
        <item x="137"/>
        <item x="138"/>
        <item x="94"/>
        <item x="45"/>
        <item x="46"/>
        <item x="52"/>
        <item x="230"/>
        <item x="171"/>
        <item x="17"/>
        <item x="16"/>
        <item x="15"/>
        <item x="24"/>
        <item x="220"/>
        <item x="203"/>
        <item x="126"/>
        <item x="185"/>
        <item x="59"/>
        <item x="60"/>
        <item x="61"/>
        <item x="76"/>
        <item x="136"/>
        <item x="232"/>
        <item x="56"/>
        <item x="53"/>
        <item x="246"/>
        <item x="194"/>
        <item x="155"/>
        <item x="210"/>
        <item x="25"/>
        <item x="242"/>
        <item x="77"/>
        <item x="19"/>
        <item x="18"/>
        <item x="222"/>
        <item x="111"/>
        <item x="110"/>
        <item x="26"/>
        <item x="27"/>
        <item x="211"/>
        <item x="122"/>
        <item x="116"/>
        <item x="118"/>
        <item x="85"/>
        <item x="160"/>
        <item x="89"/>
        <item x="212"/>
        <item x="226"/>
        <item x="187"/>
        <item x="79"/>
        <item x="198"/>
        <item x="78"/>
        <item x="217"/>
        <item x="234"/>
        <item x="237"/>
        <item x="214"/>
        <item x="142"/>
        <item x="208"/>
        <item x="20"/>
        <item x="166"/>
        <item x="6"/>
        <item x="233"/>
        <item x="120"/>
        <item x="119"/>
        <item x="207"/>
        <item x="184"/>
        <item x="244"/>
        <item x="191"/>
        <item x="190"/>
        <item x="219"/>
        <item x="113"/>
        <item x="127"/>
        <item x="215"/>
        <item x="71"/>
        <item x="72"/>
        <item x="174"/>
        <item x="175"/>
        <item x="157"/>
        <item x="156"/>
        <item x="247"/>
        <item x="235"/>
        <item x="196"/>
        <item x="200"/>
        <item x="216"/>
        <item x="133"/>
        <item x="48"/>
        <item x="47"/>
        <item x="2"/>
        <item x="70"/>
        <item x="44"/>
        <item x="99"/>
        <item x="36"/>
        <item x="7"/>
        <item x="12"/>
        <item x="69"/>
        <item x="109"/>
        <item x="39"/>
        <item x="201"/>
        <item x="193"/>
        <item x="177"/>
        <item x="192"/>
        <item x="144"/>
        <item x="40"/>
        <item t="default"/>
      </items>
    </pivotField>
    <pivotField showAll="0"/>
    <pivotField showAll="0"/>
    <pivotField showAll="0"/>
    <pivotField axis="axisRow" showAll="0" maxSubtotal="1">
      <items count="18">
        <item x="3"/>
        <item x="15"/>
        <item x="14"/>
        <item x="6"/>
        <item x="8"/>
        <item x="9"/>
        <item x="1"/>
        <item x="12"/>
        <item x="0"/>
        <item x="7"/>
        <item x="13"/>
        <item x="4"/>
        <item x="5"/>
        <item x="10"/>
        <item x="11"/>
        <item x="16"/>
        <item x="2"/>
        <item t="max"/>
      </items>
    </pivotField>
    <pivotField axis="axisCol" showAll="0">
      <items count="17">
        <item x="15"/>
        <item x="14"/>
        <item x="12"/>
        <item x="4"/>
        <item x="6"/>
        <item x="13"/>
        <item x="2"/>
        <item x="5"/>
        <item x="3"/>
        <item x="9"/>
        <item x="1"/>
        <item x="0"/>
        <item x="7"/>
        <item x="10"/>
        <item x="8"/>
        <item x="11"/>
        <item t="default"/>
      </items>
    </pivotField>
    <pivotField showAll="0"/>
    <pivotField showAll="0"/>
    <pivotField showAll="0"/>
    <pivotField showAll="0"/>
    <pivotField showAll="0"/>
    <pivotField showAll="0"/>
    <pivotField showAll="0">
      <items count="87">
        <item x="82"/>
        <item x="7"/>
        <item x="66"/>
        <item x="8"/>
        <item x="79"/>
        <item x="74"/>
        <item x="78"/>
        <item x="32"/>
        <item x="77"/>
        <item x="10"/>
        <item x="13"/>
        <item x="15"/>
        <item x="37"/>
        <item x="30"/>
        <item x="26"/>
        <item x="23"/>
        <item x="80"/>
        <item x="35"/>
        <item x="17"/>
        <item x="39"/>
        <item x="63"/>
        <item x="29"/>
        <item x="21"/>
        <item x="36"/>
        <item x="3"/>
        <item x="46"/>
        <item x="5"/>
        <item x="53"/>
        <item x="0"/>
        <item x="19"/>
        <item x="27"/>
        <item x="54"/>
        <item x="59"/>
        <item x="60"/>
        <item x="49"/>
        <item x="84"/>
        <item x="61"/>
        <item x="62"/>
        <item x="11"/>
        <item x="42"/>
        <item x="69"/>
        <item x="81"/>
        <item x="24"/>
        <item x="56"/>
        <item x="44"/>
        <item x="48"/>
        <item x="9"/>
        <item x="47"/>
        <item x="1"/>
        <item x="52"/>
        <item x="14"/>
        <item x="75"/>
        <item x="71"/>
        <item x="38"/>
        <item x="83"/>
        <item x="31"/>
        <item x="40"/>
        <item x="16"/>
        <item x="18"/>
        <item x="22"/>
        <item x="76"/>
        <item x="33"/>
        <item x="65"/>
        <item x="55"/>
        <item x="57"/>
        <item x="58"/>
        <item x="12"/>
        <item x="85"/>
        <item x="28"/>
        <item x="20"/>
        <item x="34"/>
        <item x="51"/>
        <item x="41"/>
        <item x="25"/>
        <item x="45"/>
        <item x="50"/>
        <item x="64"/>
        <item x="2"/>
        <item x="6"/>
        <item x="4"/>
        <item x="68"/>
        <item x="67"/>
        <item x="43"/>
        <item x="70"/>
        <item x="72"/>
        <item x="73"/>
        <item t="default"/>
      </items>
    </pivotField>
    <pivotField numFmtId="1" showAll="0"/>
    <pivotField numFmtId="164" showAll="0"/>
    <pivotField showAll="0"/>
    <pivotField showAll="0"/>
    <pivotField numFmtId="164" showAll="0"/>
    <pivotField showAll="0"/>
    <pivotField showAll="0"/>
  </pivotFields>
  <rowFields count="1">
    <field x="5"/>
  </rowFields>
  <rowItems count="18">
    <i>
      <x/>
    </i>
    <i>
      <x v="1"/>
    </i>
    <i>
      <x v="2"/>
    </i>
    <i>
      <x v="3"/>
    </i>
    <i>
      <x v="4"/>
    </i>
    <i>
      <x v="5"/>
    </i>
    <i>
      <x v="6"/>
    </i>
    <i>
      <x v="7"/>
    </i>
    <i>
      <x v="8"/>
    </i>
    <i>
      <x v="9"/>
    </i>
    <i>
      <x v="10"/>
    </i>
    <i>
      <x v="11"/>
    </i>
    <i>
      <x v="12"/>
    </i>
    <i>
      <x v="13"/>
    </i>
    <i>
      <x v="14"/>
    </i>
    <i>
      <x v="15"/>
    </i>
    <i>
      <x v="16"/>
    </i>
    <i t="grand">
      <x/>
    </i>
  </rowItems>
  <colFields count="1">
    <field x="6"/>
  </colFields>
  <colItems count="17">
    <i>
      <x/>
    </i>
    <i>
      <x v="1"/>
    </i>
    <i>
      <x v="2"/>
    </i>
    <i>
      <x v="3"/>
    </i>
    <i>
      <x v="4"/>
    </i>
    <i>
      <x v="5"/>
    </i>
    <i>
      <x v="6"/>
    </i>
    <i>
      <x v="7"/>
    </i>
    <i>
      <x v="8"/>
    </i>
    <i>
      <x v="9"/>
    </i>
    <i>
      <x v="10"/>
    </i>
    <i>
      <x v="11"/>
    </i>
    <i>
      <x v="12"/>
    </i>
    <i>
      <x v="13"/>
    </i>
    <i>
      <x v="14"/>
    </i>
    <i>
      <x v="15"/>
    </i>
    <i t="grand">
      <x/>
    </i>
  </colItems>
  <dataFields count="1">
    <dataField name="Count of name" fld="1" subtotal="count" baseField="0" baseItem="0"/>
  </dataFields>
  <chartFormats count="33">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2"/>
          </reference>
        </references>
      </pivotArea>
    </chartFormat>
    <chartFormat chart="6" format="3" series="1">
      <pivotArea type="data" outline="0" fieldPosition="0">
        <references count="2">
          <reference field="4294967294" count="1" selected="0">
            <x v="0"/>
          </reference>
          <reference field="6" count="1" selected="0">
            <x v="3"/>
          </reference>
        </references>
      </pivotArea>
    </chartFormat>
    <chartFormat chart="6" format="4" series="1">
      <pivotArea type="data" outline="0" fieldPosition="0">
        <references count="2">
          <reference field="4294967294" count="1" selected="0">
            <x v="0"/>
          </reference>
          <reference field="6" count="1" selected="0">
            <x v="4"/>
          </reference>
        </references>
      </pivotArea>
    </chartFormat>
    <chartFormat chart="6" format="5" series="1">
      <pivotArea type="data" outline="0" fieldPosition="0">
        <references count="2">
          <reference field="4294967294" count="1" selected="0">
            <x v="0"/>
          </reference>
          <reference field="6" count="1" selected="0">
            <x v="5"/>
          </reference>
        </references>
      </pivotArea>
    </chartFormat>
    <chartFormat chart="6" format="6" series="1">
      <pivotArea type="data" outline="0" fieldPosition="0">
        <references count="2">
          <reference field="4294967294" count="1" selected="0">
            <x v="0"/>
          </reference>
          <reference field="6" count="1" selected="0">
            <x v="6"/>
          </reference>
        </references>
      </pivotArea>
    </chartFormat>
    <chartFormat chart="6" format="7" series="1">
      <pivotArea type="data" outline="0" fieldPosition="0">
        <references count="2">
          <reference field="4294967294" count="1" selected="0">
            <x v="0"/>
          </reference>
          <reference field="6" count="1" selected="0">
            <x v="7"/>
          </reference>
        </references>
      </pivotArea>
    </chartFormat>
    <chartFormat chart="6" format="8" series="1">
      <pivotArea type="data" outline="0" fieldPosition="0">
        <references count="2">
          <reference field="4294967294" count="1" selected="0">
            <x v="0"/>
          </reference>
          <reference field="6" count="1" selected="0">
            <x v="8"/>
          </reference>
        </references>
      </pivotArea>
    </chartFormat>
    <chartFormat chart="6" format="9" series="1">
      <pivotArea type="data" outline="0" fieldPosition="0">
        <references count="2">
          <reference field="4294967294" count="1" selected="0">
            <x v="0"/>
          </reference>
          <reference field="6" count="1" selected="0">
            <x v="9"/>
          </reference>
        </references>
      </pivotArea>
    </chartFormat>
    <chartFormat chart="6" format="10" series="1">
      <pivotArea type="data" outline="0" fieldPosition="0">
        <references count="2">
          <reference field="4294967294" count="1" selected="0">
            <x v="0"/>
          </reference>
          <reference field="6" count="1" selected="0">
            <x v="10"/>
          </reference>
        </references>
      </pivotArea>
    </chartFormat>
    <chartFormat chart="6" format="11" series="1">
      <pivotArea type="data" outline="0" fieldPosition="0">
        <references count="2">
          <reference field="4294967294" count="1" selected="0">
            <x v="0"/>
          </reference>
          <reference field="6" count="1" selected="0">
            <x v="11"/>
          </reference>
        </references>
      </pivotArea>
    </chartFormat>
    <chartFormat chart="6" format="12" series="1">
      <pivotArea type="data" outline="0" fieldPosition="0">
        <references count="2">
          <reference field="4294967294" count="1" selected="0">
            <x v="0"/>
          </reference>
          <reference field="6" count="1" selected="0">
            <x v="12"/>
          </reference>
        </references>
      </pivotArea>
    </chartFormat>
    <chartFormat chart="6" format="13" series="1">
      <pivotArea type="data" outline="0" fieldPosition="0">
        <references count="2">
          <reference field="4294967294" count="1" selected="0">
            <x v="0"/>
          </reference>
          <reference field="6" count="1" selected="0">
            <x v="13"/>
          </reference>
        </references>
      </pivotArea>
    </chartFormat>
    <chartFormat chart="6" format="14" series="1">
      <pivotArea type="data" outline="0" fieldPosition="0">
        <references count="2">
          <reference field="4294967294" count="1" selected="0">
            <x v="0"/>
          </reference>
          <reference field="6" count="1" selected="0">
            <x v="14"/>
          </reference>
        </references>
      </pivotArea>
    </chartFormat>
    <chartFormat chart="6" format="15" series="1">
      <pivotArea type="data" outline="0" fieldPosition="0">
        <references count="2">
          <reference field="4294967294" count="1" selected="0">
            <x v="0"/>
          </reference>
          <reference field="6" count="1" selected="0">
            <x v="15"/>
          </reference>
        </references>
      </pivotArea>
    </chartFormat>
    <chartFormat chart="8" format="32" series="1">
      <pivotArea type="data" outline="0" fieldPosition="0">
        <references count="2">
          <reference field="4294967294" count="1" selected="0">
            <x v="0"/>
          </reference>
          <reference field="6" count="1" selected="0">
            <x v="0"/>
          </reference>
        </references>
      </pivotArea>
    </chartFormat>
    <chartFormat chart="8" format="33" series="1">
      <pivotArea type="data" outline="0" fieldPosition="0">
        <references count="2">
          <reference field="4294967294" count="1" selected="0">
            <x v="0"/>
          </reference>
          <reference field="6" count="1" selected="0">
            <x v="1"/>
          </reference>
        </references>
      </pivotArea>
    </chartFormat>
    <chartFormat chart="8" format="34" series="1">
      <pivotArea type="data" outline="0" fieldPosition="0">
        <references count="2">
          <reference field="4294967294" count="1" selected="0">
            <x v="0"/>
          </reference>
          <reference field="6" count="1" selected="0">
            <x v="2"/>
          </reference>
        </references>
      </pivotArea>
    </chartFormat>
    <chartFormat chart="8" format="35" series="1">
      <pivotArea type="data" outline="0" fieldPosition="0">
        <references count="2">
          <reference field="4294967294" count="1" selected="0">
            <x v="0"/>
          </reference>
          <reference field="6" count="1" selected="0">
            <x v="3"/>
          </reference>
        </references>
      </pivotArea>
    </chartFormat>
    <chartFormat chart="8" format="36" series="1">
      <pivotArea type="data" outline="0" fieldPosition="0">
        <references count="2">
          <reference field="4294967294" count="1" selected="0">
            <x v="0"/>
          </reference>
          <reference field="6" count="1" selected="0">
            <x v="4"/>
          </reference>
        </references>
      </pivotArea>
    </chartFormat>
    <chartFormat chart="8" format="37" series="1">
      <pivotArea type="data" outline="0" fieldPosition="0">
        <references count="2">
          <reference field="4294967294" count="1" selected="0">
            <x v="0"/>
          </reference>
          <reference field="6" count="1" selected="0">
            <x v="5"/>
          </reference>
        </references>
      </pivotArea>
    </chartFormat>
    <chartFormat chart="8" format="38" series="1">
      <pivotArea type="data" outline="0" fieldPosition="0">
        <references count="2">
          <reference field="4294967294" count="1" selected="0">
            <x v="0"/>
          </reference>
          <reference field="6" count="1" selected="0">
            <x v="6"/>
          </reference>
        </references>
      </pivotArea>
    </chartFormat>
    <chartFormat chart="8" format="39" series="1">
      <pivotArea type="data" outline="0" fieldPosition="0">
        <references count="2">
          <reference field="4294967294" count="1" selected="0">
            <x v="0"/>
          </reference>
          <reference field="6" count="1" selected="0">
            <x v="7"/>
          </reference>
        </references>
      </pivotArea>
    </chartFormat>
    <chartFormat chart="8" format="40" series="1">
      <pivotArea type="data" outline="0" fieldPosition="0">
        <references count="2">
          <reference field="4294967294" count="1" selected="0">
            <x v="0"/>
          </reference>
          <reference field="6" count="1" selected="0">
            <x v="8"/>
          </reference>
        </references>
      </pivotArea>
    </chartFormat>
    <chartFormat chart="8" format="41" series="1">
      <pivotArea type="data" outline="0" fieldPosition="0">
        <references count="2">
          <reference field="4294967294" count="1" selected="0">
            <x v="0"/>
          </reference>
          <reference field="6" count="1" selected="0">
            <x v="9"/>
          </reference>
        </references>
      </pivotArea>
    </chartFormat>
    <chartFormat chart="8" format="42" series="1">
      <pivotArea type="data" outline="0" fieldPosition="0">
        <references count="2">
          <reference field="4294967294" count="1" selected="0">
            <x v="0"/>
          </reference>
          <reference field="6" count="1" selected="0">
            <x v="10"/>
          </reference>
        </references>
      </pivotArea>
    </chartFormat>
    <chartFormat chart="8" format="43" series="1">
      <pivotArea type="data" outline="0" fieldPosition="0">
        <references count="2">
          <reference field="4294967294" count="1" selected="0">
            <x v="0"/>
          </reference>
          <reference field="6" count="1" selected="0">
            <x v="11"/>
          </reference>
        </references>
      </pivotArea>
    </chartFormat>
    <chartFormat chart="8" format="44" series="1">
      <pivotArea type="data" outline="0" fieldPosition="0">
        <references count="2">
          <reference field="4294967294" count="1" selected="0">
            <x v="0"/>
          </reference>
          <reference field="6" count="1" selected="0">
            <x v="12"/>
          </reference>
        </references>
      </pivotArea>
    </chartFormat>
    <chartFormat chart="8" format="45" series="1">
      <pivotArea type="data" outline="0" fieldPosition="0">
        <references count="2">
          <reference field="4294967294" count="1" selected="0">
            <x v="0"/>
          </reference>
          <reference field="6" count="1" selected="0">
            <x v="13"/>
          </reference>
        </references>
      </pivotArea>
    </chartFormat>
    <chartFormat chart="8" format="46" series="1">
      <pivotArea type="data" outline="0" fieldPosition="0">
        <references count="2">
          <reference field="4294967294" count="1" selected="0">
            <x v="0"/>
          </reference>
          <reference field="6" count="1" selected="0">
            <x v="14"/>
          </reference>
        </references>
      </pivotArea>
    </chartFormat>
    <chartFormat chart="8" format="47" series="1">
      <pivotArea type="data" outline="0" fieldPosition="0">
        <references count="2">
          <reference field="4294967294" count="1" selected="0">
            <x v="0"/>
          </reference>
          <reference field="6"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20ACD6-1025-4591-962D-37340F7DCFA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29:U48" firstHeaderRow="1" firstDataRow="2" firstDataCol="1"/>
  <pivotFields count="17">
    <pivotField showAll="0"/>
    <pivotField dataField="1" showAll="0">
      <items count="251">
        <item x="62"/>
        <item x="141"/>
        <item x="189"/>
        <item x="64"/>
        <item x="180"/>
        <item x="23"/>
        <item x="58"/>
        <item x="167"/>
        <item x="143"/>
        <item x="183"/>
        <item x="152"/>
        <item x="14"/>
        <item x="181"/>
        <item x="68"/>
        <item x="8"/>
        <item x="241"/>
        <item x="0"/>
        <item x="11"/>
        <item x="9"/>
        <item x="112"/>
        <item x="5"/>
        <item x="3"/>
        <item x="4"/>
        <item x="151"/>
        <item x="169"/>
        <item x="35"/>
        <item x="34"/>
        <item x="172"/>
        <item x="90"/>
        <item x="221"/>
        <item x="168"/>
        <item x="158"/>
        <item x="103"/>
        <item x="154"/>
        <item x="224"/>
        <item x="86"/>
        <item x="49"/>
        <item x="131"/>
        <item x="84"/>
        <item x="83"/>
        <item x="231"/>
        <item x="147"/>
        <item x="148"/>
        <item x="146"/>
        <item x="95"/>
        <item x="50"/>
        <item x="205"/>
        <item x="132"/>
        <item x="22"/>
        <item x="124"/>
        <item x="100"/>
        <item x="238"/>
        <item x="243"/>
        <item x="195"/>
        <item x="101"/>
        <item x="102"/>
        <item x="82"/>
        <item x="21"/>
        <item x="159"/>
        <item x="179"/>
        <item x="135"/>
        <item x="204"/>
        <item x="161"/>
        <item x="91"/>
        <item x="93"/>
        <item x="73"/>
        <item x="202"/>
        <item x="206"/>
        <item x="43"/>
        <item x="41"/>
        <item x="117"/>
        <item x="54"/>
        <item x="75"/>
        <item x="209"/>
        <item x="74"/>
        <item x="87"/>
        <item x="57"/>
        <item x="129"/>
        <item x="92"/>
        <item x="213"/>
        <item x="106"/>
        <item x="105"/>
        <item x="236"/>
        <item x="249"/>
        <item x="162"/>
        <item x="186"/>
        <item x="115"/>
        <item x="228"/>
        <item x="227"/>
        <item x="96"/>
        <item x="173"/>
        <item x="1"/>
        <item x="38"/>
        <item x="134"/>
        <item x="188"/>
        <item x="123"/>
        <item x="139"/>
        <item x="140"/>
        <item x="63"/>
        <item x="13"/>
        <item x="114"/>
        <item x="229"/>
        <item x="98"/>
        <item x="108"/>
        <item x="97"/>
        <item x="170"/>
        <item x="130"/>
        <item x="245"/>
        <item x="165"/>
        <item x="164"/>
        <item x="107"/>
        <item x="248"/>
        <item x="67"/>
        <item x="66"/>
        <item x="65"/>
        <item x="239"/>
        <item x="218"/>
        <item x="128"/>
        <item x="125"/>
        <item x="80"/>
        <item x="81"/>
        <item x="55"/>
        <item x="225"/>
        <item x="178"/>
        <item x="182"/>
        <item x="104"/>
        <item x="153"/>
        <item x="51"/>
        <item x="10"/>
        <item x="150"/>
        <item x="149"/>
        <item x="240"/>
        <item x="199"/>
        <item x="145"/>
        <item x="121"/>
        <item x="88"/>
        <item x="197"/>
        <item x="176"/>
        <item x="33"/>
        <item x="30"/>
        <item x="28"/>
        <item x="31"/>
        <item x="29"/>
        <item x="32"/>
        <item x="37"/>
        <item x="163"/>
        <item x="223"/>
        <item x="42"/>
        <item x="137"/>
        <item x="138"/>
        <item x="94"/>
        <item x="45"/>
        <item x="46"/>
        <item x="52"/>
        <item x="230"/>
        <item x="171"/>
        <item x="17"/>
        <item x="16"/>
        <item x="15"/>
        <item x="24"/>
        <item x="220"/>
        <item x="203"/>
        <item x="126"/>
        <item x="185"/>
        <item x="59"/>
        <item x="60"/>
        <item x="61"/>
        <item x="76"/>
        <item x="136"/>
        <item x="232"/>
        <item x="56"/>
        <item x="53"/>
        <item x="246"/>
        <item x="194"/>
        <item x="155"/>
        <item x="210"/>
        <item x="25"/>
        <item x="242"/>
        <item x="77"/>
        <item x="19"/>
        <item x="18"/>
        <item x="222"/>
        <item x="111"/>
        <item x="110"/>
        <item x="26"/>
        <item x="27"/>
        <item x="211"/>
        <item x="122"/>
        <item x="116"/>
        <item x="118"/>
        <item x="85"/>
        <item x="160"/>
        <item x="89"/>
        <item x="212"/>
        <item x="226"/>
        <item x="187"/>
        <item x="79"/>
        <item x="198"/>
        <item x="78"/>
        <item x="217"/>
        <item x="234"/>
        <item x="237"/>
        <item x="214"/>
        <item x="142"/>
        <item x="208"/>
        <item x="20"/>
        <item x="166"/>
        <item x="6"/>
        <item x="233"/>
        <item x="120"/>
        <item x="119"/>
        <item x="207"/>
        <item x="184"/>
        <item x="244"/>
        <item x="191"/>
        <item x="190"/>
        <item x="219"/>
        <item x="113"/>
        <item x="127"/>
        <item x="215"/>
        <item x="71"/>
        <item x="72"/>
        <item x="174"/>
        <item x="175"/>
        <item x="157"/>
        <item x="156"/>
        <item x="247"/>
        <item x="235"/>
        <item x="196"/>
        <item x="200"/>
        <item x="216"/>
        <item x="133"/>
        <item x="48"/>
        <item x="47"/>
        <item x="2"/>
        <item x="70"/>
        <item x="44"/>
        <item x="99"/>
        <item x="36"/>
        <item x="7"/>
        <item x="12"/>
        <item x="69"/>
        <item x="109"/>
        <item x="39"/>
        <item x="201"/>
        <item x="193"/>
        <item x="177"/>
        <item x="192"/>
        <item x="144"/>
        <item x="40"/>
        <item t="default"/>
      </items>
    </pivotField>
    <pivotField showAll="0"/>
    <pivotField showAll="0"/>
    <pivotField showAll="0"/>
    <pivotField axis="axisRow" showAll="0" sortType="descending">
      <items count="18">
        <item x="3"/>
        <item x="15"/>
        <item x="14"/>
        <item x="6"/>
        <item x="8"/>
        <item x="9"/>
        <item x="1"/>
        <item x="12"/>
        <item x="0"/>
        <item x="7"/>
        <item x="13"/>
        <item x="4"/>
        <item x="5"/>
        <item x="10"/>
        <item x="11"/>
        <item x="16"/>
        <item x="2"/>
        <item t="default"/>
      </items>
      <autoSortScope>
        <pivotArea dataOnly="0" outline="0" fieldPosition="0">
          <references count="1">
            <reference field="4294967294" count="1" selected="0">
              <x v="0"/>
            </reference>
          </references>
        </pivotArea>
      </autoSortScope>
    </pivotField>
    <pivotField axis="axisCol" showAll="0">
      <items count="17">
        <item x="15"/>
        <item x="14"/>
        <item x="12"/>
        <item x="4"/>
        <item x="6"/>
        <item x="13"/>
        <item x="2"/>
        <item x="5"/>
        <item x="3"/>
        <item x="9"/>
        <item x="1"/>
        <item x="0"/>
        <item x="7"/>
        <item x="10"/>
        <item x="8"/>
        <item x="11"/>
        <item t="default"/>
      </items>
    </pivotField>
    <pivotField showAll="0"/>
    <pivotField showAll="0"/>
    <pivotField showAll="0"/>
    <pivotField showAll="0"/>
    <pivotField showAll="0"/>
    <pivotField showAll="0"/>
    <pivotField showAll="0"/>
    <pivotField numFmtId="1" showAll="0"/>
    <pivotField numFmtId="164" showAll="0"/>
    <pivotField showAll="0"/>
  </pivotFields>
  <rowFields count="1">
    <field x="5"/>
  </rowFields>
  <rowItems count="18">
    <i>
      <x v="16"/>
    </i>
    <i>
      <x v="11"/>
    </i>
    <i>
      <x/>
    </i>
    <i>
      <x v="8"/>
    </i>
    <i>
      <x v="6"/>
    </i>
    <i>
      <x v="12"/>
    </i>
    <i>
      <x v="3"/>
    </i>
    <i>
      <x v="13"/>
    </i>
    <i>
      <x v="14"/>
    </i>
    <i>
      <x v="9"/>
    </i>
    <i>
      <x v="5"/>
    </i>
    <i>
      <x v="4"/>
    </i>
    <i>
      <x v="10"/>
    </i>
    <i>
      <x v="1"/>
    </i>
    <i>
      <x v="7"/>
    </i>
    <i>
      <x v="2"/>
    </i>
    <i>
      <x v="15"/>
    </i>
    <i t="grand">
      <x/>
    </i>
  </rowItems>
  <colFields count="1">
    <field x="6"/>
  </colFields>
  <colItems count="17">
    <i>
      <x/>
    </i>
    <i>
      <x v="1"/>
    </i>
    <i>
      <x v="2"/>
    </i>
    <i>
      <x v="3"/>
    </i>
    <i>
      <x v="4"/>
    </i>
    <i>
      <x v="5"/>
    </i>
    <i>
      <x v="6"/>
    </i>
    <i>
      <x v="7"/>
    </i>
    <i>
      <x v="8"/>
    </i>
    <i>
      <x v="9"/>
    </i>
    <i>
      <x v="10"/>
    </i>
    <i>
      <x v="11"/>
    </i>
    <i>
      <x v="12"/>
    </i>
    <i>
      <x v="13"/>
    </i>
    <i>
      <x v="14"/>
    </i>
    <i>
      <x v="15"/>
    </i>
    <i t="grand">
      <x/>
    </i>
  </colItems>
  <dataFields count="1">
    <dataField name="Count of name" fld="1" subtotal="count" baseField="0" baseItem="0"/>
  </dataFields>
  <formats count="21">
    <format dxfId="107">
      <pivotArea outline="0" collapsedLevelsAreSubtotals="1" fieldPosition="0"/>
    </format>
    <format dxfId="106">
      <pivotArea type="all" dataOnly="0" outline="0" fieldPosition="0"/>
    </format>
    <format dxfId="105">
      <pivotArea outline="0" collapsedLevelsAreSubtotals="1" fieldPosition="0"/>
    </format>
    <format dxfId="104">
      <pivotArea type="origin" dataOnly="0" labelOnly="1" outline="0" fieldPosition="0"/>
    </format>
    <format dxfId="103">
      <pivotArea field="6" type="button" dataOnly="0" labelOnly="1" outline="0" axis="axisCol" fieldPosition="0"/>
    </format>
    <format dxfId="102">
      <pivotArea type="topRight" dataOnly="0" labelOnly="1" outline="0" fieldPosition="0"/>
    </format>
    <format dxfId="101">
      <pivotArea field="5" type="button" dataOnly="0" labelOnly="1" outline="0" axis="axisRow" fieldPosition="0"/>
    </format>
    <format dxfId="100">
      <pivotArea dataOnly="0" labelOnly="1" fieldPosition="0">
        <references count="1">
          <reference field="5" count="0"/>
        </references>
      </pivotArea>
    </format>
    <format dxfId="99">
      <pivotArea dataOnly="0" labelOnly="1" grandRow="1" outline="0" fieldPosition="0"/>
    </format>
    <format dxfId="98">
      <pivotArea dataOnly="0" labelOnly="1" fieldPosition="0">
        <references count="1">
          <reference field="6" count="0"/>
        </references>
      </pivotArea>
    </format>
    <format dxfId="97">
      <pivotArea dataOnly="0" labelOnly="1" grandCol="1" outline="0" fieldPosition="0"/>
    </format>
    <format dxfId="96">
      <pivotArea type="all" dataOnly="0" outline="0" fieldPosition="0"/>
    </format>
    <format dxfId="95">
      <pivotArea outline="0" collapsedLevelsAreSubtotals="1" fieldPosition="0"/>
    </format>
    <format dxfId="94">
      <pivotArea type="origin" dataOnly="0" labelOnly="1" outline="0" fieldPosition="0"/>
    </format>
    <format dxfId="93">
      <pivotArea field="6" type="button" dataOnly="0" labelOnly="1" outline="0" axis="axisCol" fieldPosition="0"/>
    </format>
    <format dxfId="92">
      <pivotArea type="topRight" dataOnly="0" labelOnly="1" outline="0" fieldPosition="0"/>
    </format>
    <format dxfId="91">
      <pivotArea field="5" type="button" dataOnly="0" labelOnly="1" outline="0" axis="axisRow" fieldPosition="0"/>
    </format>
    <format dxfId="90">
      <pivotArea dataOnly="0" labelOnly="1" fieldPosition="0">
        <references count="1">
          <reference field="5" count="0"/>
        </references>
      </pivotArea>
    </format>
    <format dxfId="89">
      <pivotArea dataOnly="0" labelOnly="1" grandRow="1" outline="0" fieldPosition="0"/>
    </format>
    <format dxfId="88">
      <pivotArea dataOnly="0" labelOnly="1" fieldPosition="0">
        <references count="1">
          <reference field="6" count="0"/>
        </references>
      </pivotArea>
    </format>
    <format dxfId="87">
      <pivotArea dataOnly="0" labelOnly="1" grandCol="1" outline="0" fieldPosition="0"/>
    </format>
  </formats>
  <chartFormats count="32">
    <chartFormat chart="3" format="32" series="1">
      <pivotArea type="data" outline="0" fieldPosition="0">
        <references count="2">
          <reference field="4294967294" count="1" selected="0">
            <x v="0"/>
          </reference>
          <reference field="6" count="1" selected="0">
            <x v="0"/>
          </reference>
        </references>
      </pivotArea>
    </chartFormat>
    <chartFormat chart="3" format="33" series="1">
      <pivotArea type="data" outline="0" fieldPosition="0">
        <references count="2">
          <reference field="4294967294" count="1" selected="0">
            <x v="0"/>
          </reference>
          <reference field="6" count="1" selected="0">
            <x v="1"/>
          </reference>
        </references>
      </pivotArea>
    </chartFormat>
    <chartFormat chart="3" format="34" series="1">
      <pivotArea type="data" outline="0" fieldPosition="0">
        <references count="2">
          <reference field="4294967294" count="1" selected="0">
            <x v="0"/>
          </reference>
          <reference field="6" count="1" selected="0">
            <x v="2"/>
          </reference>
        </references>
      </pivotArea>
    </chartFormat>
    <chartFormat chart="3" format="35" series="1">
      <pivotArea type="data" outline="0" fieldPosition="0">
        <references count="2">
          <reference field="4294967294" count="1" selected="0">
            <x v="0"/>
          </reference>
          <reference field="6" count="1" selected="0">
            <x v="3"/>
          </reference>
        </references>
      </pivotArea>
    </chartFormat>
    <chartFormat chart="3" format="36" series="1">
      <pivotArea type="data" outline="0" fieldPosition="0">
        <references count="2">
          <reference field="4294967294" count="1" selected="0">
            <x v="0"/>
          </reference>
          <reference field="6" count="1" selected="0">
            <x v="4"/>
          </reference>
        </references>
      </pivotArea>
    </chartFormat>
    <chartFormat chart="3" format="37" series="1">
      <pivotArea type="data" outline="0" fieldPosition="0">
        <references count="2">
          <reference field="4294967294" count="1" selected="0">
            <x v="0"/>
          </reference>
          <reference field="6" count="1" selected="0">
            <x v="5"/>
          </reference>
        </references>
      </pivotArea>
    </chartFormat>
    <chartFormat chart="3" format="38" series="1">
      <pivotArea type="data" outline="0" fieldPosition="0">
        <references count="2">
          <reference field="4294967294" count="1" selected="0">
            <x v="0"/>
          </reference>
          <reference field="6" count="1" selected="0">
            <x v="6"/>
          </reference>
        </references>
      </pivotArea>
    </chartFormat>
    <chartFormat chart="3" format="39" series="1">
      <pivotArea type="data" outline="0" fieldPosition="0">
        <references count="2">
          <reference field="4294967294" count="1" selected="0">
            <x v="0"/>
          </reference>
          <reference field="6" count="1" selected="0">
            <x v="7"/>
          </reference>
        </references>
      </pivotArea>
    </chartFormat>
    <chartFormat chart="3" format="40" series="1">
      <pivotArea type="data" outline="0" fieldPosition="0">
        <references count="2">
          <reference field="4294967294" count="1" selected="0">
            <x v="0"/>
          </reference>
          <reference field="6" count="1" selected="0">
            <x v="8"/>
          </reference>
        </references>
      </pivotArea>
    </chartFormat>
    <chartFormat chart="3" format="41" series="1">
      <pivotArea type="data" outline="0" fieldPosition="0">
        <references count="2">
          <reference field="4294967294" count="1" selected="0">
            <x v="0"/>
          </reference>
          <reference field="6" count="1" selected="0">
            <x v="9"/>
          </reference>
        </references>
      </pivotArea>
    </chartFormat>
    <chartFormat chart="3" format="42" series="1">
      <pivotArea type="data" outline="0" fieldPosition="0">
        <references count="2">
          <reference field="4294967294" count="1" selected="0">
            <x v="0"/>
          </reference>
          <reference field="6" count="1" selected="0">
            <x v="10"/>
          </reference>
        </references>
      </pivotArea>
    </chartFormat>
    <chartFormat chart="3" format="43" series="1">
      <pivotArea type="data" outline="0" fieldPosition="0">
        <references count="2">
          <reference field="4294967294" count="1" selected="0">
            <x v="0"/>
          </reference>
          <reference field="6" count="1" selected="0">
            <x v="11"/>
          </reference>
        </references>
      </pivotArea>
    </chartFormat>
    <chartFormat chart="3" format="44" series="1">
      <pivotArea type="data" outline="0" fieldPosition="0">
        <references count="2">
          <reference field="4294967294" count="1" selected="0">
            <x v="0"/>
          </reference>
          <reference field="6" count="1" selected="0">
            <x v="12"/>
          </reference>
        </references>
      </pivotArea>
    </chartFormat>
    <chartFormat chart="3" format="45" series="1">
      <pivotArea type="data" outline="0" fieldPosition="0">
        <references count="2">
          <reference field="4294967294" count="1" selected="0">
            <x v="0"/>
          </reference>
          <reference field="6" count="1" selected="0">
            <x v="13"/>
          </reference>
        </references>
      </pivotArea>
    </chartFormat>
    <chartFormat chart="3" format="46" series="1">
      <pivotArea type="data" outline="0" fieldPosition="0">
        <references count="2">
          <reference field="4294967294" count="1" selected="0">
            <x v="0"/>
          </reference>
          <reference field="6" count="1" selected="0">
            <x v="14"/>
          </reference>
        </references>
      </pivotArea>
    </chartFormat>
    <chartFormat chart="3" format="47" series="1">
      <pivotArea type="data" outline="0" fieldPosition="0">
        <references count="2">
          <reference field="4294967294" count="1" selected="0">
            <x v="0"/>
          </reference>
          <reference field="6" count="1" selected="0">
            <x v="15"/>
          </reference>
        </references>
      </pivotArea>
    </chartFormat>
    <chartFormat chart="5" format="64" series="1">
      <pivotArea type="data" outline="0" fieldPosition="0">
        <references count="2">
          <reference field="4294967294" count="1" selected="0">
            <x v="0"/>
          </reference>
          <reference field="6" count="1" selected="0">
            <x v="0"/>
          </reference>
        </references>
      </pivotArea>
    </chartFormat>
    <chartFormat chart="5" format="65" series="1">
      <pivotArea type="data" outline="0" fieldPosition="0">
        <references count="2">
          <reference field="4294967294" count="1" selected="0">
            <x v="0"/>
          </reference>
          <reference field="6" count="1" selected="0">
            <x v="1"/>
          </reference>
        </references>
      </pivotArea>
    </chartFormat>
    <chartFormat chart="5" format="66" series="1">
      <pivotArea type="data" outline="0" fieldPosition="0">
        <references count="2">
          <reference field="4294967294" count="1" selected="0">
            <x v="0"/>
          </reference>
          <reference field="6" count="1" selected="0">
            <x v="2"/>
          </reference>
        </references>
      </pivotArea>
    </chartFormat>
    <chartFormat chart="5" format="67" series="1">
      <pivotArea type="data" outline="0" fieldPosition="0">
        <references count="2">
          <reference field="4294967294" count="1" selected="0">
            <x v="0"/>
          </reference>
          <reference field="6" count="1" selected="0">
            <x v="3"/>
          </reference>
        </references>
      </pivotArea>
    </chartFormat>
    <chartFormat chart="5" format="68" series="1">
      <pivotArea type="data" outline="0" fieldPosition="0">
        <references count="2">
          <reference field="4294967294" count="1" selected="0">
            <x v="0"/>
          </reference>
          <reference field="6" count="1" selected="0">
            <x v="4"/>
          </reference>
        </references>
      </pivotArea>
    </chartFormat>
    <chartFormat chart="5" format="69" series="1">
      <pivotArea type="data" outline="0" fieldPosition="0">
        <references count="2">
          <reference field="4294967294" count="1" selected="0">
            <x v="0"/>
          </reference>
          <reference field="6" count="1" selected="0">
            <x v="5"/>
          </reference>
        </references>
      </pivotArea>
    </chartFormat>
    <chartFormat chart="5" format="70" series="1">
      <pivotArea type="data" outline="0" fieldPosition="0">
        <references count="2">
          <reference field="4294967294" count="1" selected="0">
            <x v="0"/>
          </reference>
          <reference field="6" count="1" selected="0">
            <x v="6"/>
          </reference>
        </references>
      </pivotArea>
    </chartFormat>
    <chartFormat chart="5" format="71" series="1">
      <pivotArea type="data" outline="0" fieldPosition="0">
        <references count="2">
          <reference field="4294967294" count="1" selected="0">
            <x v="0"/>
          </reference>
          <reference field="6" count="1" selected="0">
            <x v="7"/>
          </reference>
        </references>
      </pivotArea>
    </chartFormat>
    <chartFormat chart="5" format="72" series="1">
      <pivotArea type="data" outline="0" fieldPosition="0">
        <references count="2">
          <reference field="4294967294" count="1" selected="0">
            <x v="0"/>
          </reference>
          <reference field="6" count="1" selected="0">
            <x v="8"/>
          </reference>
        </references>
      </pivotArea>
    </chartFormat>
    <chartFormat chart="5" format="73" series="1">
      <pivotArea type="data" outline="0" fieldPosition="0">
        <references count="2">
          <reference field="4294967294" count="1" selected="0">
            <x v="0"/>
          </reference>
          <reference field="6" count="1" selected="0">
            <x v="9"/>
          </reference>
        </references>
      </pivotArea>
    </chartFormat>
    <chartFormat chart="5" format="74" series="1">
      <pivotArea type="data" outline="0" fieldPosition="0">
        <references count="2">
          <reference field="4294967294" count="1" selected="0">
            <x v="0"/>
          </reference>
          <reference field="6" count="1" selected="0">
            <x v="10"/>
          </reference>
        </references>
      </pivotArea>
    </chartFormat>
    <chartFormat chart="5" format="75" series="1">
      <pivotArea type="data" outline="0" fieldPosition="0">
        <references count="2">
          <reference field="4294967294" count="1" selected="0">
            <x v="0"/>
          </reference>
          <reference field="6" count="1" selected="0">
            <x v="11"/>
          </reference>
        </references>
      </pivotArea>
    </chartFormat>
    <chartFormat chart="5" format="76" series="1">
      <pivotArea type="data" outline="0" fieldPosition="0">
        <references count="2">
          <reference field="4294967294" count="1" selected="0">
            <x v="0"/>
          </reference>
          <reference field="6" count="1" selected="0">
            <x v="12"/>
          </reference>
        </references>
      </pivotArea>
    </chartFormat>
    <chartFormat chart="5" format="77" series="1">
      <pivotArea type="data" outline="0" fieldPosition="0">
        <references count="2">
          <reference field="4294967294" count="1" selected="0">
            <x v="0"/>
          </reference>
          <reference field="6" count="1" selected="0">
            <x v="13"/>
          </reference>
        </references>
      </pivotArea>
    </chartFormat>
    <chartFormat chart="5" format="78" series="1">
      <pivotArea type="data" outline="0" fieldPosition="0">
        <references count="2">
          <reference field="4294967294" count="1" selected="0">
            <x v="0"/>
          </reference>
          <reference field="6" count="1" selected="0">
            <x v="14"/>
          </reference>
        </references>
      </pivotArea>
    </chartFormat>
    <chartFormat chart="5" format="79" series="1">
      <pivotArea type="data" outline="0" fieldPosition="0">
        <references count="2">
          <reference field="4294967294" count="1" selected="0">
            <x v="0"/>
          </reference>
          <reference field="6"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63A1A6-D9A5-4142-B04A-800CE7E171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9:B47" firstHeaderRow="1" firstDataRow="1" firstDataCol="1"/>
  <pivotFields count="17">
    <pivotField showAll="0"/>
    <pivotField dataField="1" showAll="0">
      <items count="251">
        <item x="62"/>
        <item x="141"/>
        <item x="189"/>
        <item x="64"/>
        <item x="180"/>
        <item x="23"/>
        <item x="58"/>
        <item x="167"/>
        <item x="143"/>
        <item x="183"/>
        <item x="152"/>
        <item x="14"/>
        <item x="181"/>
        <item x="68"/>
        <item x="8"/>
        <item x="241"/>
        <item x="0"/>
        <item x="11"/>
        <item x="9"/>
        <item x="112"/>
        <item x="5"/>
        <item x="3"/>
        <item x="4"/>
        <item x="151"/>
        <item x="169"/>
        <item x="35"/>
        <item x="34"/>
        <item x="172"/>
        <item x="90"/>
        <item x="221"/>
        <item x="168"/>
        <item x="158"/>
        <item x="103"/>
        <item x="154"/>
        <item x="224"/>
        <item x="86"/>
        <item x="49"/>
        <item x="131"/>
        <item x="84"/>
        <item x="83"/>
        <item x="231"/>
        <item x="147"/>
        <item x="148"/>
        <item x="146"/>
        <item x="95"/>
        <item x="50"/>
        <item x="205"/>
        <item x="132"/>
        <item x="22"/>
        <item x="124"/>
        <item x="100"/>
        <item x="238"/>
        <item x="243"/>
        <item x="195"/>
        <item x="101"/>
        <item x="102"/>
        <item x="82"/>
        <item x="21"/>
        <item x="159"/>
        <item x="179"/>
        <item x="135"/>
        <item x="204"/>
        <item x="161"/>
        <item x="91"/>
        <item x="93"/>
        <item x="73"/>
        <item x="202"/>
        <item x="206"/>
        <item x="43"/>
        <item x="41"/>
        <item x="117"/>
        <item x="54"/>
        <item x="75"/>
        <item x="209"/>
        <item x="74"/>
        <item x="87"/>
        <item x="57"/>
        <item x="129"/>
        <item x="92"/>
        <item x="213"/>
        <item x="106"/>
        <item x="105"/>
        <item x="236"/>
        <item x="249"/>
        <item x="162"/>
        <item x="186"/>
        <item x="115"/>
        <item x="228"/>
        <item x="227"/>
        <item x="96"/>
        <item x="173"/>
        <item x="1"/>
        <item x="38"/>
        <item x="134"/>
        <item x="188"/>
        <item x="123"/>
        <item x="139"/>
        <item x="140"/>
        <item x="63"/>
        <item x="13"/>
        <item x="114"/>
        <item x="229"/>
        <item x="98"/>
        <item x="108"/>
        <item x="97"/>
        <item x="170"/>
        <item x="130"/>
        <item x="245"/>
        <item x="165"/>
        <item x="164"/>
        <item x="107"/>
        <item x="248"/>
        <item x="67"/>
        <item x="66"/>
        <item x="65"/>
        <item x="239"/>
        <item x="218"/>
        <item x="128"/>
        <item x="125"/>
        <item x="80"/>
        <item x="81"/>
        <item x="55"/>
        <item x="225"/>
        <item x="178"/>
        <item x="182"/>
        <item x="104"/>
        <item x="153"/>
        <item x="51"/>
        <item x="10"/>
        <item x="150"/>
        <item x="149"/>
        <item x="240"/>
        <item x="199"/>
        <item x="145"/>
        <item x="121"/>
        <item x="88"/>
        <item x="197"/>
        <item x="176"/>
        <item x="33"/>
        <item x="30"/>
        <item x="28"/>
        <item x="31"/>
        <item x="29"/>
        <item x="32"/>
        <item x="37"/>
        <item x="163"/>
        <item x="223"/>
        <item x="42"/>
        <item x="137"/>
        <item x="138"/>
        <item x="94"/>
        <item x="45"/>
        <item x="46"/>
        <item x="52"/>
        <item x="230"/>
        <item x="171"/>
        <item x="17"/>
        <item x="16"/>
        <item x="15"/>
        <item x="24"/>
        <item x="220"/>
        <item x="203"/>
        <item x="126"/>
        <item x="185"/>
        <item x="59"/>
        <item x="60"/>
        <item x="61"/>
        <item x="76"/>
        <item x="136"/>
        <item x="232"/>
        <item x="56"/>
        <item x="53"/>
        <item x="246"/>
        <item x="194"/>
        <item x="155"/>
        <item x="210"/>
        <item x="25"/>
        <item x="242"/>
        <item x="77"/>
        <item x="19"/>
        <item x="18"/>
        <item x="222"/>
        <item x="111"/>
        <item x="110"/>
        <item x="26"/>
        <item x="27"/>
        <item x="211"/>
        <item x="122"/>
        <item x="116"/>
        <item x="118"/>
        <item x="85"/>
        <item x="160"/>
        <item x="89"/>
        <item x="212"/>
        <item x="226"/>
        <item x="187"/>
        <item x="79"/>
        <item x="198"/>
        <item x="78"/>
        <item x="217"/>
        <item x="234"/>
        <item x="237"/>
        <item x="214"/>
        <item x="142"/>
        <item x="208"/>
        <item x="20"/>
        <item x="166"/>
        <item x="6"/>
        <item x="233"/>
        <item x="120"/>
        <item x="119"/>
        <item x="207"/>
        <item x="184"/>
        <item x="244"/>
        <item x="191"/>
        <item x="190"/>
        <item x="219"/>
        <item x="113"/>
        <item x="127"/>
        <item x="215"/>
        <item x="71"/>
        <item x="72"/>
        <item x="174"/>
        <item x="175"/>
        <item x="157"/>
        <item x="156"/>
        <item x="247"/>
        <item x="235"/>
        <item x="196"/>
        <item x="200"/>
        <item x="216"/>
        <item x="133"/>
        <item x="48"/>
        <item x="47"/>
        <item x="2"/>
        <item x="70"/>
        <item x="44"/>
        <item x="99"/>
        <item x="36"/>
        <item x="7"/>
        <item x="12"/>
        <item x="69"/>
        <item x="109"/>
        <item x="39"/>
        <item x="201"/>
        <item x="193"/>
        <item x="177"/>
        <item x="192"/>
        <item x="144"/>
        <item x="40"/>
        <item t="default"/>
      </items>
    </pivotField>
    <pivotField showAll="0"/>
    <pivotField showAll="0"/>
    <pivotField showAll="0"/>
    <pivotField axis="axisRow" showAll="0" sortType="descending">
      <items count="18">
        <item x="3"/>
        <item x="15"/>
        <item x="14"/>
        <item x="6"/>
        <item x="8"/>
        <item x="9"/>
        <item x="1"/>
        <item x="12"/>
        <item x="0"/>
        <item x="7"/>
        <item x="13"/>
        <item x="4"/>
        <item x="5"/>
        <item x="10"/>
        <item x="11"/>
        <item x="1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 showAll="0"/>
    <pivotField numFmtId="164" showAll="0"/>
    <pivotField showAll="0"/>
  </pivotFields>
  <rowFields count="1">
    <field x="5"/>
  </rowFields>
  <rowItems count="18">
    <i>
      <x v="16"/>
    </i>
    <i>
      <x v="11"/>
    </i>
    <i>
      <x/>
    </i>
    <i>
      <x v="8"/>
    </i>
    <i>
      <x v="6"/>
    </i>
    <i>
      <x v="12"/>
    </i>
    <i>
      <x v="3"/>
    </i>
    <i>
      <x v="13"/>
    </i>
    <i>
      <x v="14"/>
    </i>
    <i>
      <x v="9"/>
    </i>
    <i>
      <x v="5"/>
    </i>
    <i>
      <x v="4"/>
    </i>
    <i>
      <x v="10"/>
    </i>
    <i>
      <x v="1"/>
    </i>
    <i>
      <x v="7"/>
    </i>
    <i>
      <x v="2"/>
    </i>
    <i>
      <x v="15"/>
    </i>
    <i t="grand">
      <x/>
    </i>
  </rowItems>
  <colItems count="1">
    <i/>
  </colItems>
  <dataFields count="1">
    <dataField name="Count of name" fld="1" subtotal="count" baseField="0" baseItem="0"/>
  </dataFields>
  <formats count="15">
    <format dxfId="122">
      <pivotArea outline="0" collapsedLevelsAreSubtotals="1" fieldPosition="0"/>
    </format>
    <format dxfId="121">
      <pivotArea type="all" dataOnly="0" outline="0" fieldPosition="0"/>
    </format>
    <format dxfId="120">
      <pivotArea outline="0" collapsedLevelsAreSubtotals="1" fieldPosition="0"/>
    </format>
    <format dxfId="119">
      <pivotArea field="5" type="button" dataOnly="0" labelOnly="1" outline="0" axis="axisRow" fieldPosition="0"/>
    </format>
    <format dxfId="118">
      <pivotArea dataOnly="0" labelOnly="1" fieldPosition="0">
        <references count="1">
          <reference field="5" count="0"/>
        </references>
      </pivotArea>
    </format>
    <format dxfId="117">
      <pivotArea dataOnly="0" labelOnly="1" grandRow="1" outline="0" fieldPosition="0"/>
    </format>
    <format dxfId="116">
      <pivotArea dataOnly="0" labelOnly="1" outline="0" axis="axisValues" fieldPosition="0"/>
    </format>
    <format dxfId="115">
      <pivotArea dataOnly="0" grandRow="1" fieldPosition="0"/>
    </format>
    <format dxfId="114">
      <pivotArea type="all" dataOnly="0" outline="0" fieldPosition="0"/>
    </format>
    <format dxfId="113">
      <pivotArea outline="0" collapsedLevelsAreSubtotals="1" fieldPosition="0"/>
    </format>
    <format dxfId="112">
      <pivotArea field="5" type="button" dataOnly="0" labelOnly="1" outline="0" axis="axisRow" fieldPosition="0"/>
    </format>
    <format dxfId="111">
      <pivotArea dataOnly="0" labelOnly="1" fieldPosition="0">
        <references count="1">
          <reference field="5" count="0"/>
        </references>
      </pivotArea>
    </format>
    <format dxfId="110">
      <pivotArea dataOnly="0" labelOnly="1" grandRow="1" outline="0" fieldPosition="0"/>
    </format>
    <format dxfId="109">
      <pivotArea dataOnly="0" labelOnly="1" outline="0" axis="axisValues" fieldPosition="0"/>
    </format>
    <format dxfId="108">
      <pivotArea dataOnly="0" labelOnly="1" outline="0" axis="axisValues" fieldPosition="0"/>
    </format>
  </formats>
  <chartFormats count="19">
    <chartFormat chart="1" format="1"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5" count="1" selected="0">
            <x v="16"/>
          </reference>
        </references>
      </pivotArea>
    </chartFormat>
    <chartFormat chart="6" format="21">
      <pivotArea type="data" outline="0" fieldPosition="0">
        <references count="2">
          <reference field="4294967294" count="1" selected="0">
            <x v="0"/>
          </reference>
          <reference field="5" count="1" selected="0">
            <x v="11"/>
          </reference>
        </references>
      </pivotArea>
    </chartFormat>
    <chartFormat chart="6" format="22">
      <pivotArea type="data" outline="0" fieldPosition="0">
        <references count="2">
          <reference field="4294967294" count="1" selected="0">
            <x v="0"/>
          </reference>
          <reference field="5" count="1" selected="0">
            <x v="0"/>
          </reference>
        </references>
      </pivotArea>
    </chartFormat>
    <chartFormat chart="6" format="23">
      <pivotArea type="data" outline="0" fieldPosition="0">
        <references count="2">
          <reference field="4294967294" count="1" selected="0">
            <x v="0"/>
          </reference>
          <reference field="5" count="1" selected="0">
            <x v="8"/>
          </reference>
        </references>
      </pivotArea>
    </chartFormat>
    <chartFormat chart="6" format="24">
      <pivotArea type="data" outline="0" fieldPosition="0">
        <references count="2">
          <reference field="4294967294" count="1" selected="0">
            <x v="0"/>
          </reference>
          <reference field="5" count="1" selected="0">
            <x v="6"/>
          </reference>
        </references>
      </pivotArea>
    </chartFormat>
    <chartFormat chart="6" format="25">
      <pivotArea type="data" outline="0" fieldPosition="0">
        <references count="2">
          <reference field="4294967294" count="1" selected="0">
            <x v="0"/>
          </reference>
          <reference field="5" count="1" selected="0">
            <x v="12"/>
          </reference>
        </references>
      </pivotArea>
    </chartFormat>
    <chartFormat chart="6" format="26">
      <pivotArea type="data" outline="0" fieldPosition="0">
        <references count="2">
          <reference field="4294967294" count="1" selected="0">
            <x v="0"/>
          </reference>
          <reference field="5" count="1" selected="0">
            <x v="3"/>
          </reference>
        </references>
      </pivotArea>
    </chartFormat>
    <chartFormat chart="6" format="27">
      <pivotArea type="data" outline="0" fieldPosition="0">
        <references count="2">
          <reference field="4294967294" count="1" selected="0">
            <x v="0"/>
          </reference>
          <reference field="5" count="1" selected="0">
            <x v="13"/>
          </reference>
        </references>
      </pivotArea>
    </chartFormat>
    <chartFormat chart="6" format="28">
      <pivotArea type="data" outline="0" fieldPosition="0">
        <references count="2">
          <reference field="4294967294" count="1" selected="0">
            <x v="0"/>
          </reference>
          <reference field="5" count="1" selected="0">
            <x v="14"/>
          </reference>
        </references>
      </pivotArea>
    </chartFormat>
    <chartFormat chart="6" format="29">
      <pivotArea type="data" outline="0" fieldPosition="0">
        <references count="2">
          <reference field="4294967294" count="1" selected="0">
            <x v="0"/>
          </reference>
          <reference field="5" count="1" selected="0">
            <x v="9"/>
          </reference>
        </references>
      </pivotArea>
    </chartFormat>
    <chartFormat chart="6" format="30">
      <pivotArea type="data" outline="0" fieldPosition="0">
        <references count="2">
          <reference field="4294967294" count="1" selected="0">
            <x v="0"/>
          </reference>
          <reference field="5" count="1" selected="0">
            <x v="5"/>
          </reference>
        </references>
      </pivotArea>
    </chartFormat>
    <chartFormat chart="6" format="31">
      <pivotArea type="data" outline="0" fieldPosition="0">
        <references count="2">
          <reference field="4294967294" count="1" selected="0">
            <x v="0"/>
          </reference>
          <reference field="5" count="1" selected="0">
            <x v="4"/>
          </reference>
        </references>
      </pivotArea>
    </chartFormat>
    <chartFormat chart="6" format="32">
      <pivotArea type="data" outline="0" fieldPosition="0">
        <references count="2">
          <reference field="4294967294" count="1" selected="0">
            <x v="0"/>
          </reference>
          <reference field="5" count="1" selected="0">
            <x v="10"/>
          </reference>
        </references>
      </pivotArea>
    </chartFormat>
    <chartFormat chart="6" format="33">
      <pivotArea type="data" outline="0" fieldPosition="0">
        <references count="2">
          <reference field="4294967294" count="1" selected="0">
            <x v="0"/>
          </reference>
          <reference field="5" count="1" selected="0">
            <x v="1"/>
          </reference>
        </references>
      </pivotArea>
    </chartFormat>
    <chartFormat chart="6" format="34">
      <pivotArea type="data" outline="0" fieldPosition="0">
        <references count="2">
          <reference field="4294967294" count="1" selected="0">
            <x v="0"/>
          </reference>
          <reference field="5" count="1" selected="0">
            <x v="7"/>
          </reference>
        </references>
      </pivotArea>
    </chartFormat>
    <chartFormat chart="6" format="35">
      <pivotArea type="data" outline="0" fieldPosition="0">
        <references count="2">
          <reference field="4294967294" count="1" selected="0">
            <x v="0"/>
          </reference>
          <reference field="5" count="1" selected="0">
            <x v="2"/>
          </reference>
        </references>
      </pivotArea>
    </chartFormat>
    <chartFormat chart="6" format="36">
      <pivotArea type="data" outline="0" fieldPosition="0">
        <references count="2">
          <reference field="4294967294" count="1" selected="0">
            <x v="0"/>
          </reference>
          <reference field="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8C37D5-7E01-4D8C-A79A-C0D10CC15559}"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4:B67" firstHeaderRow="1" firstDataRow="1" firstDataCol="1" rowPageCount="1" colPageCount="1"/>
  <pivotFields count="21">
    <pivotField showAll="0"/>
    <pivotField axis="axisRow" showAll="0" measureFilter="1">
      <items count="251">
        <item x="62"/>
        <item x="141"/>
        <item x="189"/>
        <item x="64"/>
        <item x="180"/>
        <item x="23"/>
        <item x="58"/>
        <item x="167"/>
        <item x="143"/>
        <item x="183"/>
        <item x="152"/>
        <item x="14"/>
        <item x="181"/>
        <item x="68"/>
        <item x="8"/>
        <item x="241"/>
        <item x="0"/>
        <item x="11"/>
        <item x="9"/>
        <item x="112"/>
        <item x="5"/>
        <item x="3"/>
        <item x="4"/>
        <item x="151"/>
        <item x="169"/>
        <item x="35"/>
        <item x="34"/>
        <item x="172"/>
        <item x="90"/>
        <item x="221"/>
        <item x="168"/>
        <item x="158"/>
        <item x="103"/>
        <item x="154"/>
        <item x="224"/>
        <item x="86"/>
        <item x="49"/>
        <item x="131"/>
        <item x="84"/>
        <item x="83"/>
        <item x="231"/>
        <item x="147"/>
        <item x="148"/>
        <item x="146"/>
        <item x="95"/>
        <item x="50"/>
        <item x="205"/>
        <item x="132"/>
        <item x="22"/>
        <item x="124"/>
        <item x="100"/>
        <item x="238"/>
        <item x="243"/>
        <item x="195"/>
        <item x="101"/>
        <item x="102"/>
        <item x="82"/>
        <item x="21"/>
        <item x="159"/>
        <item x="179"/>
        <item x="135"/>
        <item x="204"/>
        <item x="161"/>
        <item x="91"/>
        <item x="93"/>
        <item x="73"/>
        <item x="202"/>
        <item x="206"/>
        <item x="43"/>
        <item x="41"/>
        <item x="117"/>
        <item x="54"/>
        <item x="75"/>
        <item x="209"/>
        <item x="74"/>
        <item x="87"/>
        <item x="57"/>
        <item x="129"/>
        <item x="92"/>
        <item x="213"/>
        <item x="106"/>
        <item x="105"/>
        <item x="236"/>
        <item x="249"/>
        <item x="162"/>
        <item x="186"/>
        <item x="115"/>
        <item x="228"/>
        <item x="227"/>
        <item x="96"/>
        <item x="173"/>
        <item x="1"/>
        <item x="38"/>
        <item x="134"/>
        <item x="188"/>
        <item x="123"/>
        <item x="139"/>
        <item x="140"/>
        <item x="63"/>
        <item x="13"/>
        <item x="114"/>
        <item x="229"/>
        <item x="98"/>
        <item x="108"/>
        <item x="97"/>
        <item x="170"/>
        <item x="130"/>
        <item x="245"/>
        <item x="165"/>
        <item x="164"/>
        <item x="107"/>
        <item x="248"/>
        <item x="67"/>
        <item x="66"/>
        <item x="65"/>
        <item x="239"/>
        <item x="218"/>
        <item x="128"/>
        <item x="125"/>
        <item x="80"/>
        <item x="81"/>
        <item x="55"/>
        <item x="225"/>
        <item x="178"/>
        <item x="182"/>
        <item x="104"/>
        <item x="153"/>
        <item x="51"/>
        <item x="10"/>
        <item x="150"/>
        <item x="149"/>
        <item x="240"/>
        <item x="199"/>
        <item x="145"/>
        <item x="121"/>
        <item x="88"/>
        <item x="197"/>
        <item x="176"/>
        <item x="33"/>
        <item x="30"/>
        <item x="28"/>
        <item x="31"/>
        <item x="29"/>
        <item x="32"/>
        <item x="37"/>
        <item x="163"/>
        <item x="223"/>
        <item x="42"/>
        <item x="137"/>
        <item x="138"/>
        <item x="94"/>
        <item x="45"/>
        <item x="46"/>
        <item x="52"/>
        <item x="230"/>
        <item x="171"/>
        <item x="17"/>
        <item x="16"/>
        <item x="15"/>
        <item x="24"/>
        <item x="220"/>
        <item x="203"/>
        <item x="126"/>
        <item x="185"/>
        <item x="59"/>
        <item x="60"/>
        <item x="61"/>
        <item x="76"/>
        <item x="136"/>
        <item x="232"/>
        <item x="56"/>
        <item x="53"/>
        <item x="246"/>
        <item x="194"/>
        <item x="155"/>
        <item x="210"/>
        <item x="25"/>
        <item x="242"/>
        <item x="77"/>
        <item x="19"/>
        <item x="18"/>
        <item x="222"/>
        <item x="111"/>
        <item x="110"/>
        <item x="26"/>
        <item x="27"/>
        <item x="211"/>
        <item x="122"/>
        <item x="116"/>
        <item x="118"/>
        <item x="85"/>
        <item x="160"/>
        <item x="89"/>
        <item x="212"/>
        <item x="226"/>
        <item x="187"/>
        <item x="79"/>
        <item x="198"/>
        <item x="78"/>
        <item x="217"/>
        <item x="234"/>
        <item x="237"/>
        <item x="214"/>
        <item x="142"/>
        <item x="208"/>
        <item x="20"/>
        <item x="166"/>
        <item x="6"/>
        <item x="233"/>
        <item x="120"/>
        <item x="119"/>
        <item x="207"/>
        <item x="184"/>
        <item x="244"/>
        <item x="191"/>
        <item x="190"/>
        <item x="219"/>
        <item x="113"/>
        <item x="127"/>
        <item x="215"/>
        <item x="71"/>
        <item x="72"/>
        <item x="174"/>
        <item x="175"/>
        <item x="157"/>
        <item x="156"/>
        <item x="247"/>
        <item x="235"/>
        <item x="196"/>
        <item x="200"/>
        <item x="216"/>
        <item x="133"/>
        <item x="48"/>
        <item x="47"/>
        <item x="2"/>
        <item x="70"/>
        <item x="44"/>
        <item x="99"/>
        <item x="36"/>
        <item x="7"/>
        <item x="12"/>
        <item x="69"/>
        <item x="109"/>
        <item x="39"/>
        <item x="201"/>
        <item x="193"/>
        <item x="177"/>
        <item x="192"/>
        <item x="144"/>
        <item x="40"/>
        <item t="default"/>
      </items>
    </pivotField>
    <pivotField showAll="0"/>
    <pivotField showAll="0"/>
    <pivotField showAll="0"/>
    <pivotField axis="axisPage" showAll="0" maxSubtotal="1">
      <items count="18">
        <item x="3"/>
        <item x="15"/>
        <item x="14"/>
        <item x="6"/>
        <item x="8"/>
        <item x="9"/>
        <item x="1"/>
        <item x="12"/>
        <item x="0"/>
        <item x="7"/>
        <item x="13"/>
        <item x="4"/>
        <item x="5"/>
        <item x="10"/>
        <item x="11"/>
        <item x="16"/>
        <item x="2"/>
        <item t="max"/>
      </items>
    </pivotField>
    <pivotField showAll="0"/>
    <pivotField showAll="0"/>
    <pivotField showAll="0"/>
    <pivotField showAll="0"/>
    <pivotField showAll="0"/>
    <pivotField showAll="0"/>
    <pivotField showAll="0"/>
    <pivotField dataField="1" showAll="0">
      <items count="87">
        <item x="82"/>
        <item x="7"/>
        <item x="66"/>
        <item x="8"/>
        <item x="79"/>
        <item x="74"/>
        <item x="78"/>
        <item x="32"/>
        <item x="77"/>
        <item x="10"/>
        <item x="13"/>
        <item x="15"/>
        <item x="37"/>
        <item x="30"/>
        <item x="26"/>
        <item x="23"/>
        <item x="80"/>
        <item x="35"/>
        <item x="17"/>
        <item x="39"/>
        <item x="63"/>
        <item x="29"/>
        <item x="21"/>
        <item x="36"/>
        <item x="3"/>
        <item x="46"/>
        <item x="5"/>
        <item x="53"/>
        <item x="0"/>
        <item x="19"/>
        <item x="27"/>
        <item x="54"/>
        <item x="59"/>
        <item x="60"/>
        <item x="49"/>
        <item x="84"/>
        <item x="61"/>
        <item x="62"/>
        <item x="11"/>
        <item x="42"/>
        <item x="69"/>
        <item x="81"/>
        <item x="24"/>
        <item x="56"/>
        <item x="44"/>
        <item x="48"/>
        <item x="9"/>
        <item x="47"/>
        <item x="1"/>
        <item x="52"/>
        <item x="14"/>
        <item x="75"/>
        <item x="71"/>
        <item x="38"/>
        <item x="83"/>
        <item x="31"/>
        <item x="40"/>
        <item x="16"/>
        <item x="18"/>
        <item x="22"/>
        <item x="76"/>
        <item x="33"/>
        <item x="65"/>
        <item x="55"/>
        <item x="57"/>
        <item x="58"/>
        <item x="12"/>
        <item x="85"/>
        <item x="28"/>
        <item x="20"/>
        <item x="34"/>
        <item x="51"/>
        <item x="41"/>
        <item x="25"/>
        <item x="45"/>
        <item x="50"/>
        <item x="64"/>
        <item x="2"/>
        <item x="6"/>
        <item x="4"/>
        <item x="68"/>
        <item x="67"/>
        <item x="43"/>
        <item x="70"/>
        <item x="72"/>
        <item x="73"/>
        <item t="default"/>
      </items>
    </pivotField>
    <pivotField numFmtId="1" showAll="0"/>
    <pivotField numFmtId="164" showAll="0"/>
    <pivotField showAll="0"/>
    <pivotField showAll="0"/>
    <pivotField numFmtId="164" showAll="0"/>
    <pivotField showAll="0"/>
    <pivotField showAll="0"/>
  </pivotFields>
  <rowFields count="1">
    <field x="1"/>
  </rowFields>
  <rowItems count="13">
    <i>
      <x v="8"/>
    </i>
    <i>
      <x v="42"/>
    </i>
    <i>
      <x v="52"/>
    </i>
    <i>
      <x v="83"/>
    </i>
    <i>
      <x v="111"/>
    </i>
    <i>
      <x v="129"/>
    </i>
    <i>
      <x v="130"/>
    </i>
    <i>
      <x v="133"/>
    </i>
    <i>
      <x v="177"/>
    </i>
    <i>
      <x v="213"/>
    </i>
    <i>
      <x v="226"/>
    </i>
    <i>
      <x v="248"/>
    </i>
    <i t="grand">
      <x/>
    </i>
  </rowItems>
  <colItems count="1">
    <i/>
  </colItems>
  <pageFields count="1">
    <pageField fld="5" hier="-1"/>
  </pageFields>
  <dataFields count="1">
    <dataField name="Sum of Total Stats" fld="13"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31C16E-413F-4E10-A2A9-55946BF5D8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H24" firstHeaderRow="0" firstDataRow="1" firstDataCol="1"/>
  <pivotFields count="17">
    <pivotField showAll="0"/>
    <pivotField showAll="0"/>
    <pivotField showAll="0"/>
    <pivotField showAll="0"/>
    <pivotField showAll="0"/>
    <pivotField axis="axisRow" showAll="0">
      <items count="18">
        <item x="3"/>
        <item x="15"/>
        <item x="14"/>
        <item x="6"/>
        <item x="8"/>
        <item x="9"/>
        <item x="1"/>
        <item x="12"/>
        <item x="0"/>
        <item x="7"/>
        <item x="13"/>
        <item x="4"/>
        <item x="5"/>
        <item x="10"/>
        <item x="11"/>
        <item x="16"/>
        <item x="2"/>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numFmtId="1" showAll="0"/>
    <pivotField numFmtId="164" showAll="0"/>
    <pivotField showAll="0"/>
  </pivotFields>
  <rowFields count="1">
    <field x="5"/>
  </rowFields>
  <rowItems count="18">
    <i>
      <x/>
    </i>
    <i>
      <x v="1"/>
    </i>
    <i>
      <x v="2"/>
    </i>
    <i>
      <x v="3"/>
    </i>
    <i>
      <x v="4"/>
    </i>
    <i>
      <x v="5"/>
    </i>
    <i>
      <x v="6"/>
    </i>
    <i>
      <x v="7"/>
    </i>
    <i>
      <x v="8"/>
    </i>
    <i>
      <x v="9"/>
    </i>
    <i>
      <x v="10"/>
    </i>
    <i>
      <x v="11"/>
    </i>
    <i>
      <x v="12"/>
    </i>
    <i>
      <x v="13"/>
    </i>
    <i>
      <x v="14"/>
    </i>
    <i>
      <x v="15"/>
    </i>
    <i>
      <x v="16"/>
    </i>
    <i t="grand">
      <x/>
    </i>
  </rowItems>
  <colFields count="1">
    <field x="-2"/>
  </colFields>
  <colItems count="7">
    <i>
      <x/>
    </i>
    <i i="1">
      <x v="1"/>
    </i>
    <i i="2">
      <x v="2"/>
    </i>
    <i i="3">
      <x v="3"/>
    </i>
    <i i="4">
      <x v="4"/>
    </i>
    <i i="5">
      <x v="5"/>
    </i>
    <i i="6">
      <x v="6"/>
    </i>
  </colItems>
  <dataFields count="7">
    <dataField name="Average of hp" fld="7" subtotal="average" baseField="0" baseItem="0"/>
    <dataField name="Average of attack" fld="8" subtotal="average" baseField="0" baseItem="0"/>
    <dataField name="Average of defense" fld="9" subtotal="average" baseField="0" baseItem="0"/>
    <dataField name="Average of special_attack" fld="10" subtotal="average" baseField="0" baseItem="0"/>
    <dataField name="Average of special_defense" fld="11" subtotal="average" baseField="0" baseItem="0"/>
    <dataField name="Average of speed" fld="12" subtotal="average" baseField="0" baseItem="0"/>
    <dataField name="Average of Total Stats" fld="13" subtotal="average" baseField="0" baseItem="0"/>
  </dataFields>
  <formats count="18">
    <format dxfId="140">
      <pivotArea outline="0" collapsedLevelsAreSubtotals="1" fieldPosition="0"/>
    </format>
    <format dxfId="139">
      <pivotArea type="all" dataOnly="0" outline="0" fieldPosition="0"/>
    </format>
    <format dxfId="138">
      <pivotArea dataOnly="0" labelOnly="1" outline="0" fieldPosition="0">
        <references count="1">
          <reference field="4294967294" count="7">
            <x v="0"/>
            <x v="1"/>
            <x v="2"/>
            <x v="3"/>
            <x v="4"/>
            <x v="5"/>
            <x v="6"/>
          </reference>
        </references>
      </pivotArea>
    </format>
    <format dxfId="137">
      <pivotArea dataOnly="0" labelOnly="1" outline="0" fieldPosition="0">
        <references count="1">
          <reference field="4294967294" count="1">
            <x v="6"/>
          </reference>
        </references>
      </pivotArea>
    </format>
    <format dxfId="136">
      <pivotArea dataOnly="0" labelOnly="1" outline="0" fieldPosition="0">
        <references count="1">
          <reference field="4294967294" count="1">
            <x v="6"/>
          </reference>
        </references>
      </pivotArea>
    </format>
    <format dxfId="135">
      <pivotArea dataOnly="0" labelOnly="1" outline="0" fieldPosition="0">
        <references count="1">
          <reference field="4294967294" count="7">
            <x v="0"/>
            <x v="1"/>
            <x v="2"/>
            <x v="3"/>
            <x v="4"/>
            <x v="5"/>
            <x v="6"/>
          </reference>
        </references>
      </pivotArea>
    </format>
    <format dxfId="134">
      <pivotArea type="all" dataOnly="0" outline="0" fieldPosition="0"/>
    </format>
    <format dxfId="133">
      <pivotArea outline="0" collapsedLevelsAreSubtotals="1" fieldPosition="0"/>
    </format>
    <format dxfId="132">
      <pivotArea field="5" type="button" dataOnly="0" labelOnly="1" outline="0" axis="axisRow" fieldPosition="0"/>
    </format>
    <format dxfId="131">
      <pivotArea dataOnly="0" labelOnly="1" fieldPosition="0">
        <references count="1">
          <reference field="5" count="0"/>
        </references>
      </pivotArea>
    </format>
    <format dxfId="130">
      <pivotArea dataOnly="0" labelOnly="1" grandRow="1" outline="0" fieldPosition="0"/>
    </format>
    <format dxfId="129">
      <pivotArea dataOnly="0" labelOnly="1" outline="0" fieldPosition="0">
        <references count="1">
          <reference field="4294967294" count="7">
            <x v="0"/>
            <x v="1"/>
            <x v="2"/>
            <x v="3"/>
            <x v="4"/>
            <x v="5"/>
            <x v="6"/>
          </reference>
        </references>
      </pivotArea>
    </format>
    <format dxfId="128">
      <pivotArea type="all" dataOnly="0" outline="0" fieldPosition="0"/>
    </format>
    <format dxfId="127">
      <pivotArea outline="0" collapsedLevelsAreSubtotals="1" fieldPosition="0"/>
    </format>
    <format dxfId="126">
      <pivotArea field="5" type="button" dataOnly="0" labelOnly="1" outline="0" axis="axisRow" fieldPosition="0"/>
    </format>
    <format dxfId="125">
      <pivotArea dataOnly="0" labelOnly="1" fieldPosition="0">
        <references count="1">
          <reference field="5" count="0"/>
        </references>
      </pivotArea>
    </format>
    <format dxfId="124">
      <pivotArea dataOnly="0" labelOnly="1" grandRow="1" outline="0" fieldPosition="0"/>
    </format>
    <format dxfId="123">
      <pivotArea dataOnly="0" labelOnly="1" outline="0" fieldPosition="0">
        <references count="1">
          <reference field="4294967294" count="7">
            <x v="0"/>
            <x v="1"/>
            <x v="2"/>
            <x v="3"/>
            <x v="4"/>
            <x v="5"/>
            <x v="6"/>
          </reference>
        </references>
      </pivotArea>
    </format>
  </formats>
  <chartFormats count="14">
    <chartFormat chart="2" format="14"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1"/>
          </reference>
        </references>
      </pivotArea>
    </chartFormat>
    <chartFormat chart="2" format="16" series="1">
      <pivotArea type="data" outline="0" fieldPosition="0">
        <references count="1">
          <reference field="4294967294" count="1" selected="0">
            <x v="2"/>
          </reference>
        </references>
      </pivotArea>
    </chartFormat>
    <chartFormat chart="2" format="17" series="1">
      <pivotArea type="data" outline="0" fieldPosition="0">
        <references count="1">
          <reference field="4294967294" count="1" selected="0">
            <x v="3"/>
          </reference>
        </references>
      </pivotArea>
    </chartFormat>
    <chartFormat chart="2" format="18" series="1">
      <pivotArea type="data" outline="0" fieldPosition="0">
        <references count="1">
          <reference field="4294967294" count="1" selected="0">
            <x v="4"/>
          </reference>
        </references>
      </pivotArea>
    </chartFormat>
    <chartFormat chart="2" format="19" series="1">
      <pivotArea type="data" outline="0" fieldPosition="0">
        <references count="1">
          <reference field="4294967294" count="1" selected="0">
            <x v="5"/>
          </reference>
        </references>
      </pivotArea>
    </chartFormat>
    <chartFormat chart="2" format="20" series="1">
      <pivotArea type="data" outline="0" fieldPosition="0">
        <references count="1">
          <reference field="4294967294" count="1" selected="0">
            <x v="6"/>
          </reference>
        </references>
      </pivotArea>
    </chartFormat>
    <chartFormat chart="5" format="28" series="1">
      <pivotArea type="data" outline="0" fieldPosition="0">
        <references count="1">
          <reference field="4294967294" count="1" selected="0">
            <x v="0"/>
          </reference>
        </references>
      </pivotArea>
    </chartFormat>
    <chartFormat chart="5" format="29" series="1">
      <pivotArea type="data" outline="0" fieldPosition="0">
        <references count="1">
          <reference field="4294967294" count="1" selected="0">
            <x v="1"/>
          </reference>
        </references>
      </pivotArea>
    </chartFormat>
    <chartFormat chart="5" format="30" series="1">
      <pivotArea type="data" outline="0" fieldPosition="0">
        <references count="1">
          <reference field="4294967294" count="1" selected="0">
            <x v="2"/>
          </reference>
        </references>
      </pivotArea>
    </chartFormat>
    <chartFormat chart="5" format="31" series="1">
      <pivotArea type="data" outline="0" fieldPosition="0">
        <references count="1">
          <reference field="4294967294" count="1" selected="0">
            <x v="3"/>
          </reference>
        </references>
      </pivotArea>
    </chartFormat>
    <chartFormat chart="5" format="32" series="1">
      <pivotArea type="data" outline="0" fieldPosition="0">
        <references count="1">
          <reference field="4294967294" count="1" selected="0">
            <x v="4"/>
          </reference>
        </references>
      </pivotArea>
    </chartFormat>
    <chartFormat chart="5" format="33" series="1">
      <pivotArea type="data" outline="0" fieldPosition="0">
        <references count="1">
          <reference field="4294967294" count="1" selected="0">
            <x v="5"/>
          </reference>
        </references>
      </pivotArea>
    </chartFormat>
    <chartFormat chart="5" format="34"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A061E4-1556-4ED3-820A-2821D287F8C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6:R11" firstHeaderRow="0" firstDataRow="1" firstDataCol="1"/>
  <pivotFields count="17">
    <pivotField dataField="1" showAll="0"/>
    <pivotField showAll="0"/>
    <pivotField showAll="0"/>
    <pivotField showAll="0"/>
    <pivotField showAll="0">
      <items count="18">
        <item h="1" x="3"/>
        <item h="1" x="15"/>
        <item h="1" x="14"/>
        <item x="6"/>
        <item h="1" x="8"/>
        <item h="1" x="9"/>
        <item h="1" x="1"/>
        <item h="1" x="12"/>
        <item h="1" x="0"/>
        <item h="1" x="7"/>
        <item h="1" x="13"/>
        <item h="1" x="4"/>
        <item h="1" x="5"/>
        <item h="1" x="10"/>
        <item h="1" x="11"/>
        <item h="1" x="16"/>
        <item h="1" x="2"/>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numFmtId="1" showAll="0"/>
    <pivotField numFmtId="164" showAll="0"/>
    <pivotField showAll="0"/>
    <pivotField axis="axisRow" showAll="0" sortType="ascending">
      <items count="5">
        <item x="2"/>
        <item x="3"/>
        <item x="0"/>
        <item x="1"/>
        <item t="default"/>
      </items>
    </pivotField>
  </pivotFields>
  <rowFields count="1">
    <field x="16"/>
  </rowFields>
  <rowItems count="5">
    <i>
      <x/>
    </i>
    <i>
      <x v="1"/>
    </i>
    <i>
      <x v="2"/>
    </i>
    <i>
      <x v="3"/>
    </i>
    <i t="grand">
      <x/>
    </i>
  </rowItems>
  <colFields count="1">
    <field x="-2"/>
  </colFields>
  <colItems count="8">
    <i>
      <x/>
    </i>
    <i i="1">
      <x v="1"/>
    </i>
    <i i="2">
      <x v="2"/>
    </i>
    <i i="3">
      <x v="3"/>
    </i>
    <i i="4">
      <x v="4"/>
    </i>
    <i i="5">
      <x v="5"/>
    </i>
    <i i="6">
      <x v="6"/>
    </i>
    <i i="7">
      <x v="7"/>
    </i>
  </colItems>
  <dataFields count="8">
    <dataField name="Count of name" fld="0" subtotal="count" baseField="0" baseItem="0"/>
    <dataField name="Average of hp" fld="6" subtotal="average" baseField="0" baseItem="0" numFmtId="164"/>
    <dataField name="Average of attack" fld="7" subtotal="average" baseField="0" baseItem="0" numFmtId="1"/>
    <dataField name="Average of defense" fld="8" subtotal="average" baseField="0" baseItem="0" numFmtId="1"/>
    <dataField name="Average of special_attack" fld="9" subtotal="average" baseField="0" baseItem="0" numFmtId="1"/>
    <dataField name="Average of special_defense" fld="10" subtotal="average" baseField="0" baseItem="0" numFmtId="1"/>
    <dataField name="Average of speed" fld="11" subtotal="average" baseField="0" baseItem="0" numFmtId="1"/>
    <dataField name="Average of Total Stats" fld="12" subtotal="average" baseField="0" baseItem="0" numFmtId="1"/>
  </dataFields>
  <formats count="15">
    <format dxfId="155">
      <pivotArea outline="0" collapsedLevelsAreSubtotals="1" fieldPosition="0">
        <references count="1">
          <reference field="4294967294" count="7" selected="0">
            <x v="1"/>
            <x v="2"/>
            <x v="3"/>
            <x v="4"/>
            <x v="5"/>
            <x v="6"/>
            <x v="7"/>
          </reference>
        </references>
      </pivotArea>
    </format>
    <format dxfId="154">
      <pivotArea collapsedLevelsAreSubtotals="1" fieldPosition="0">
        <references count="2">
          <reference field="4294967294" count="7" selected="0">
            <x v="1"/>
            <x v="2"/>
            <x v="3"/>
            <x v="4"/>
            <x v="5"/>
            <x v="6"/>
            <x v="7"/>
          </reference>
          <reference field="16" count="0"/>
        </references>
      </pivotArea>
    </format>
    <format dxfId="153">
      <pivotArea field="16" grandRow="1" outline="0" collapsedLevelsAreSubtotals="1" axis="axisRow" fieldPosition="0">
        <references count="1">
          <reference field="4294967294" count="7" selected="0">
            <x v="1"/>
            <x v="2"/>
            <x v="3"/>
            <x v="4"/>
            <x v="5"/>
            <x v="6"/>
            <x v="7"/>
          </reference>
        </references>
      </pivotArea>
    </format>
    <format dxfId="152">
      <pivotArea type="all" dataOnly="0" outline="0" fieldPosition="0"/>
    </format>
    <format dxfId="151">
      <pivotArea outline="0" collapsedLevelsAreSubtotals="1" fieldPosition="0"/>
    </format>
    <format dxfId="150">
      <pivotArea field="16" type="button" dataOnly="0" labelOnly="1" outline="0" axis="axisRow" fieldPosition="0"/>
    </format>
    <format dxfId="149">
      <pivotArea dataOnly="0" labelOnly="1" fieldPosition="0">
        <references count="1">
          <reference field="16" count="0"/>
        </references>
      </pivotArea>
    </format>
    <format dxfId="148">
      <pivotArea dataOnly="0" labelOnly="1" grandRow="1" outline="0" fieldPosition="0"/>
    </format>
    <format dxfId="147">
      <pivotArea dataOnly="0" labelOnly="1" outline="0" fieldPosition="0">
        <references count="1">
          <reference field="4294967294" count="8">
            <x v="0"/>
            <x v="1"/>
            <x v="2"/>
            <x v="3"/>
            <x v="4"/>
            <x v="5"/>
            <x v="6"/>
            <x v="7"/>
          </reference>
        </references>
      </pivotArea>
    </format>
    <format dxfId="146">
      <pivotArea type="all" dataOnly="0" outline="0" fieldPosition="0"/>
    </format>
    <format dxfId="145">
      <pivotArea outline="0" collapsedLevelsAreSubtotals="1" fieldPosition="0"/>
    </format>
    <format dxfId="144">
      <pivotArea field="16" type="button" dataOnly="0" labelOnly="1" outline="0" axis="axisRow" fieldPosition="0"/>
    </format>
    <format dxfId="143">
      <pivotArea dataOnly="0" labelOnly="1" fieldPosition="0">
        <references count="1">
          <reference field="16" count="0"/>
        </references>
      </pivotArea>
    </format>
    <format dxfId="142">
      <pivotArea dataOnly="0" labelOnly="1" grandRow="1" outline="0" fieldPosition="0"/>
    </format>
    <format dxfId="141">
      <pivotArea dataOnly="0" labelOnly="1" outline="0" fieldPosition="0">
        <references count="1">
          <reference field="4294967294" count="8">
            <x v="0"/>
            <x v="1"/>
            <x v="2"/>
            <x v="3"/>
            <x v="4"/>
            <x v="5"/>
            <x v="6"/>
            <x v="7"/>
          </reference>
        </references>
      </pivotArea>
    </format>
  </format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3" format="16"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1"/>
          </reference>
        </references>
      </pivotArea>
    </chartFormat>
    <chartFormat chart="3" format="18" series="1">
      <pivotArea type="data" outline="0" fieldPosition="0">
        <references count="1">
          <reference field="4294967294" count="1" selected="0">
            <x v="2"/>
          </reference>
        </references>
      </pivotArea>
    </chartFormat>
    <chartFormat chart="3" format="19" series="1">
      <pivotArea type="data" outline="0" fieldPosition="0">
        <references count="1">
          <reference field="4294967294" count="1" selected="0">
            <x v="3"/>
          </reference>
        </references>
      </pivotArea>
    </chartFormat>
    <chartFormat chart="3" format="20" series="1">
      <pivotArea type="data" outline="0" fieldPosition="0">
        <references count="1">
          <reference field="4294967294" count="1" selected="0">
            <x v="4"/>
          </reference>
        </references>
      </pivotArea>
    </chartFormat>
    <chartFormat chart="3" format="21" series="1">
      <pivotArea type="data" outline="0" fieldPosition="0">
        <references count="1">
          <reference field="4294967294" count="1" selected="0">
            <x v="5"/>
          </reference>
        </references>
      </pivotArea>
    </chartFormat>
    <chartFormat chart="3" format="22" series="1">
      <pivotArea type="data" outline="0" fieldPosition="0">
        <references count="1">
          <reference field="4294967294" count="1" selected="0">
            <x v="6"/>
          </reference>
        </references>
      </pivotArea>
    </chartFormat>
    <chartFormat chart="3" format="23" series="1">
      <pivotArea type="data" outline="0" fieldPosition="0">
        <references count="1">
          <reference field="4294967294" count="1" selected="0">
            <x v="7"/>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 chart="4" format="12" series="1">
      <pivotArea type="data" outline="0" fieldPosition="0">
        <references count="1">
          <reference field="4294967294" count="1" selected="0">
            <x v="4"/>
          </reference>
        </references>
      </pivotArea>
    </chartFormat>
    <chartFormat chart="4" format="13" series="1">
      <pivotArea type="data" outline="0" fieldPosition="0">
        <references count="1">
          <reference field="4294967294" count="1" selected="0">
            <x v="5"/>
          </reference>
        </references>
      </pivotArea>
    </chartFormat>
    <chartFormat chart="4" format="14" series="1">
      <pivotArea type="data" outline="0" fieldPosition="0">
        <references count="1">
          <reference field="4294967294" count="1" selected="0">
            <x v="6"/>
          </reference>
        </references>
      </pivotArea>
    </chartFormat>
    <chartFormat chart="4" format="15" series="1">
      <pivotArea type="data" outline="0" fieldPosition="0">
        <references count="1">
          <reference field="4294967294" count="1" selected="0">
            <x v="7"/>
          </reference>
        </references>
      </pivotArea>
    </chartFormat>
    <chartFormat chart="8" format="32" series="1">
      <pivotArea type="data" outline="0" fieldPosition="0">
        <references count="1">
          <reference field="4294967294" count="1" selected="0">
            <x v="0"/>
          </reference>
        </references>
      </pivotArea>
    </chartFormat>
    <chartFormat chart="8" format="33" series="1">
      <pivotArea type="data" outline="0" fieldPosition="0">
        <references count="1">
          <reference field="4294967294" count="1" selected="0">
            <x v="1"/>
          </reference>
        </references>
      </pivotArea>
    </chartFormat>
    <chartFormat chart="8" format="34" series="1">
      <pivotArea type="data" outline="0" fieldPosition="0">
        <references count="1">
          <reference field="4294967294" count="1" selected="0">
            <x v="2"/>
          </reference>
        </references>
      </pivotArea>
    </chartFormat>
    <chartFormat chart="8" format="35" series="1">
      <pivotArea type="data" outline="0" fieldPosition="0">
        <references count="1">
          <reference field="4294967294" count="1" selected="0">
            <x v="3"/>
          </reference>
        </references>
      </pivotArea>
    </chartFormat>
    <chartFormat chart="8" format="36" series="1">
      <pivotArea type="data" outline="0" fieldPosition="0">
        <references count="1">
          <reference field="4294967294" count="1" selected="0">
            <x v="4"/>
          </reference>
        </references>
      </pivotArea>
    </chartFormat>
    <chartFormat chart="8" format="37" series="1">
      <pivotArea type="data" outline="0" fieldPosition="0">
        <references count="1">
          <reference field="4294967294" count="1" selected="0">
            <x v="5"/>
          </reference>
        </references>
      </pivotArea>
    </chartFormat>
    <chartFormat chart="8" format="38" series="1">
      <pivotArea type="data" outline="0" fieldPosition="0">
        <references count="1">
          <reference field="4294967294" count="1" selected="0">
            <x v="6"/>
          </reference>
        </references>
      </pivotArea>
    </chartFormat>
    <chartFormat chart="8" format="39"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8AF8AE-7447-4EB6-A807-26A0DEAF294D}"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46" firstHeaderRow="1" firstDataRow="1" firstDataCol="1"/>
  <pivotFields count="20">
    <pivotField showAll="0"/>
    <pivotField showAll="0"/>
    <pivotField showAll="0"/>
    <pivotField showAll="0"/>
    <pivotField showAll="0"/>
    <pivotField axis="axisRow" showAll="0">
      <items count="18">
        <item x="14"/>
        <item x="9"/>
        <item x="11"/>
        <item x="13"/>
        <item x="8"/>
        <item x="12"/>
        <item x="3"/>
        <item x="16"/>
        <item x="10"/>
        <item x="4"/>
        <item x="6"/>
        <item x="0"/>
        <item x="5"/>
        <item x="1"/>
        <item x="7"/>
        <item x="15"/>
        <item x="2"/>
        <item t="default"/>
      </items>
    </pivotField>
    <pivotField showAll="0"/>
    <pivotField showAll="0"/>
    <pivotField showAll="0"/>
    <pivotField showAll="0"/>
    <pivotField showAll="0"/>
    <pivotField showAll="0"/>
    <pivotField dataField="1" showAll="0"/>
    <pivotField showAll="0"/>
    <pivotField numFmtId="1" showAll="0"/>
    <pivotField numFmtId="164" showAll="0"/>
    <pivotField showAll="0"/>
    <pivotField showAll="0"/>
    <pivotField numFmtId="164" showAll="0"/>
    <pivotField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Average of speed" fld="12" subtotal="average" baseField="0" baseItem="0"/>
  </dataFields>
  <formats count="7">
    <format dxfId="65">
      <pivotArea collapsedLevelsAreSubtotals="1" fieldPosition="0">
        <references count="1">
          <reference field="5" count="0"/>
        </references>
      </pivotArea>
    </format>
    <format dxfId="64">
      <pivotArea type="all" dataOnly="0" outline="0" fieldPosition="0"/>
    </format>
    <format dxfId="63">
      <pivotArea outline="0" collapsedLevelsAreSubtotals="1" fieldPosition="0"/>
    </format>
    <format dxfId="62">
      <pivotArea field="5" type="button" dataOnly="0" labelOnly="1" outline="0" axis="axisRow" fieldPosition="0"/>
    </format>
    <format dxfId="61">
      <pivotArea dataOnly="0" labelOnly="1" fieldPosition="0">
        <references count="1">
          <reference field="5" count="0"/>
        </references>
      </pivotArea>
    </format>
    <format dxfId="60">
      <pivotArea dataOnly="0" labelOnly="1" grandRow="1" outline="0"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D93445-8D4E-4674-8830-64B2B56236F8}"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I24" firstHeaderRow="0" firstDataRow="1" firstDataCol="1"/>
  <pivotFields count="20">
    <pivotField showAll="0"/>
    <pivotField showAll="0"/>
    <pivotField showAll="0"/>
    <pivotField showAll="0"/>
    <pivotField showAll="0"/>
    <pivotField axis="axisRow" showAll="0">
      <items count="18">
        <item x="14"/>
        <item x="9"/>
        <item x="11"/>
        <item x="13"/>
        <item x="8"/>
        <item x="12"/>
        <item x="3"/>
        <item x="16"/>
        <item x="10"/>
        <item x="4"/>
        <item x="6"/>
        <item x="0"/>
        <item x="5"/>
        <item x="1"/>
        <item x="7"/>
        <item x="15"/>
        <item x="2"/>
        <item t="default"/>
      </items>
    </pivotField>
    <pivotField showAll="0"/>
    <pivotField showAll="0"/>
    <pivotField showAll="0"/>
    <pivotField dataField="1" showAll="0"/>
    <pivotField showAll="0"/>
    <pivotField dataField="1" showAll="0"/>
    <pivotField showAll="0"/>
    <pivotField showAll="0"/>
    <pivotField numFmtId="1" showAll="0"/>
    <pivotField numFmtId="164" showAll="0"/>
    <pivotField showAll="0"/>
    <pivotField showAll="0"/>
    <pivotField numFmtId="164" showAll="0"/>
    <pivotField dataField="1" showAll="0"/>
  </pivotFields>
  <rowFields count="1">
    <field x="5"/>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Average of defense" fld="9" subtotal="average" baseField="0" baseItem="0"/>
    <dataField name="Average of special_defense" fld="11" subtotal="average" baseField="0" baseItem="0"/>
    <dataField name="Average of Total Defensive Power" fld="19" subtotal="average" baseField="0" baseItem="0"/>
  </dataFields>
  <formats count="7">
    <format dxfId="72">
      <pivotArea collapsedLevelsAreSubtotals="1" fieldPosition="0">
        <references count="1">
          <reference field="5" count="0"/>
        </references>
      </pivotArea>
    </format>
    <format dxfId="71">
      <pivotArea type="all" dataOnly="0" outline="0" fieldPosition="0"/>
    </format>
    <format dxfId="70">
      <pivotArea outline="0" collapsedLevelsAreSubtotals="1" fieldPosition="0"/>
    </format>
    <format dxfId="69">
      <pivotArea field="5" type="button" dataOnly="0" labelOnly="1" outline="0" axis="axisRow" fieldPosition="0"/>
    </format>
    <format dxfId="68">
      <pivotArea dataOnly="0" labelOnly="1" fieldPosition="0">
        <references count="1">
          <reference field="5" count="0"/>
        </references>
      </pivotArea>
    </format>
    <format dxfId="67">
      <pivotArea dataOnly="0" labelOnly="1" grandRow="1" outline="0" fieldPosition="0"/>
    </format>
    <format dxfId="6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6D8D384-E38F-45DB-937B-83E2B88D931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24" firstHeaderRow="0" firstDataRow="1" firstDataCol="1"/>
  <pivotFields count="20">
    <pivotField showAll="0"/>
    <pivotField showAll="0"/>
    <pivotField showAll="0"/>
    <pivotField showAll="0"/>
    <pivotField showAll="0"/>
    <pivotField axis="axisRow" showAll="0">
      <items count="18">
        <item x="14"/>
        <item x="9"/>
        <item x="11"/>
        <item x="13"/>
        <item x="8"/>
        <item x="12"/>
        <item x="3"/>
        <item x="16"/>
        <item x="10"/>
        <item x="4"/>
        <item x="6"/>
        <item x="0"/>
        <item x="5"/>
        <item x="1"/>
        <item x="7"/>
        <item x="15"/>
        <item x="2"/>
        <item t="default"/>
      </items>
    </pivotField>
    <pivotField showAll="0"/>
    <pivotField showAll="0"/>
    <pivotField dataField="1" showAll="0"/>
    <pivotField showAll="0"/>
    <pivotField dataField="1" showAll="0"/>
    <pivotField showAll="0"/>
    <pivotField showAll="0"/>
    <pivotField showAll="0"/>
    <pivotField numFmtId="1" showAll="0"/>
    <pivotField numFmtId="164" showAll="0"/>
    <pivotField showAll="0"/>
    <pivotField showAll="0"/>
    <pivotField dataField="1" numFmtId="164" showAll="0"/>
    <pivotField showAll="0"/>
  </pivotFields>
  <rowFields count="1">
    <field x="5"/>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Average of attack" fld="8" subtotal="average" baseField="0" baseItem="0"/>
    <dataField name="Average of special_attack" fld="10" subtotal="average" baseField="0" baseItem="0"/>
    <dataField name="Average of Total Offensive Power" fld="18" subtotal="average" baseField="0" baseItem="0" numFmtId="164"/>
  </dataFields>
  <formats count="7">
    <format dxfId="79">
      <pivotArea collapsedLevelsAreSubtotals="1" fieldPosition="0">
        <references count="1">
          <reference field="5" count="0"/>
        </references>
      </pivotArea>
    </format>
    <format dxfId="78">
      <pivotArea type="all" dataOnly="0" outline="0" fieldPosition="0"/>
    </format>
    <format dxfId="77">
      <pivotArea outline="0" collapsedLevelsAreSubtotals="1" fieldPosition="0"/>
    </format>
    <format dxfId="76">
      <pivotArea field="5" type="button" dataOnly="0" labelOnly="1" outline="0" axis="axisRow" fieldPosition="0"/>
    </format>
    <format dxfId="75">
      <pivotArea dataOnly="0" labelOnly="1" fieldPosition="0">
        <references count="1">
          <reference field="5" count="0"/>
        </references>
      </pivotArea>
    </format>
    <format dxfId="74">
      <pivotArea dataOnly="0" labelOnly="1" grandRow="1" outline="0" fieldPosition="0"/>
    </format>
    <format dxfId="7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F5D485-38BB-46F7-A626-26A8F382CDA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8:G46" firstHeaderRow="1" firstDataRow="1" firstDataCol="1"/>
  <pivotFields count="20">
    <pivotField showAll="0"/>
    <pivotField showAll="0"/>
    <pivotField showAll="0"/>
    <pivotField showAll="0"/>
    <pivotField showAll="0"/>
    <pivotField axis="axisRow" showAll="0">
      <items count="18">
        <item x="14"/>
        <item x="9"/>
        <item x="11"/>
        <item x="13"/>
        <item x="8"/>
        <item x="12"/>
        <item x="3"/>
        <item x="16"/>
        <item x="10"/>
        <item x="4"/>
        <item x="6"/>
        <item x="0"/>
        <item x="5"/>
        <item x="1"/>
        <item x="7"/>
        <item x="15"/>
        <item x="2"/>
        <item t="default"/>
      </items>
    </pivotField>
    <pivotField showAll="0"/>
    <pivotField showAll="0"/>
    <pivotField showAll="0"/>
    <pivotField showAll="0"/>
    <pivotField showAll="0"/>
    <pivotField showAll="0"/>
    <pivotField showAll="0"/>
    <pivotField showAll="0"/>
    <pivotField numFmtId="1" showAll="0"/>
    <pivotField dataField="1" numFmtId="164" showAll="0"/>
    <pivotField showAll="0"/>
    <pivotField showAll="0"/>
    <pivotField numFmtId="164" showAll="0"/>
    <pivotField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Average of BMI Metric (Weight/Height Ratio)" fld="15" subtotal="average" baseField="0" baseItem="0" numFmtId="164"/>
  </dataFields>
  <formats count="7">
    <format dxfId="86">
      <pivotArea collapsedLevelsAreSubtotals="1" fieldPosition="0">
        <references count="1">
          <reference field="5" count="0"/>
        </references>
      </pivotArea>
    </format>
    <format dxfId="85">
      <pivotArea type="all" dataOnly="0" outline="0" fieldPosition="0"/>
    </format>
    <format dxfId="84">
      <pivotArea outline="0" collapsedLevelsAreSubtotals="1" fieldPosition="0"/>
    </format>
    <format dxfId="83">
      <pivotArea field="5" type="button" dataOnly="0" labelOnly="1" outline="0" axis="axisRow" fieldPosition="0"/>
    </format>
    <format dxfId="82">
      <pivotArea dataOnly="0" labelOnly="1" fieldPosition="0">
        <references count="1">
          <reference field="5" count="0"/>
        </references>
      </pivotArea>
    </format>
    <format dxfId="81">
      <pivotArea dataOnly="0" labelOnly="1" grandRow="1" outline="0" fieldPosition="0"/>
    </format>
    <format dxfId="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D36060E-8090-470D-BB4B-7FDEE26CF6E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E35" firstHeaderRow="1" firstDataRow="1" firstDataCol="1"/>
  <pivotFields count="18">
    <pivotField showAll="0"/>
    <pivotField axis="axisRow" showAll="0" measureFilter="1" sortType="descending">
      <items count="251">
        <item x="244"/>
        <item x="67"/>
        <item x="161"/>
        <item x="169"/>
        <item x="44"/>
        <item x="144"/>
        <item x="45"/>
        <item x="93"/>
        <item x="46"/>
        <item x="17"/>
        <item x="139"/>
        <item x="105"/>
        <item x="82"/>
        <item x="176"/>
        <item x="70"/>
        <item x="0"/>
        <item x="193"/>
        <item x="135"/>
        <item x="190"/>
        <item x="1"/>
        <item x="71"/>
        <item x="221"/>
        <item x="152"/>
        <item x="194"/>
        <item x="73"/>
        <item x="24"/>
        <item x="90"/>
        <item x="172"/>
        <item x="186"/>
        <item x="108"/>
        <item x="55"/>
        <item x="107"/>
        <item x="180"/>
        <item x="222"/>
        <item x="197"/>
        <item x="37"/>
        <item x="249"/>
        <item x="187"/>
        <item x="145"/>
        <item x="231"/>
        <item x="40"/>
        <item x="128"/>
        <item x="31"/>
        <item x="203"/>
        <item x="133"/>
        <item x="235"/>
        <item x="16"/>
        <item x="158"/>
        <item x="229"/>
        <item x="119"/>
        <item x="147"/>
        <item x="199"/>
        <item x="9"/>
        <item x="125"/>
        <item x="132"/>
        <item x="29"/>
        <item x="170"/>
        <item x="113"/>
        <item x="54"/>
        <item x="92"/>
        <item x="124"/>
        <item x="78"/>
        <item x="50"/>
        <item x="240"/>
        <item x="149"/>
        <item x="213"/>
        <item x="97"/>
        <item x="109"/>
        <item x="136"/>
        <item x="76"/>
        <item x="196"/>
        <item x="64"/>
        <item x="63"/>
        <item x="36"/>
        <item x="162"/>
        <item x="58"/>
        <item x="160"/>
        <item x="30"/>
        <item x="201"/>
        <item x="65"/>
        <item x="183"/>
        <item x="182"/>
        <item x="184"/>
        <item x="12"/>
        <item x="129"/>
        <item x="227"/>
        <item x="238"/>
        <item x="83"/>
        <item x="198"/>
        <item x="51"/>
        <item x="32"/>
        <item x="137"/>
        <item x="8"/>
        <item x="123"/>
        <item x="77"/>
        <item x="115"/>
        <item x="243"/>
        <item x="148"/>
        <item x="219"/>
        <item x="191"/>
        <item x="14"/>
        <item x="85"/>
        <item x="168"/>
        <item x="218"/>
        <item x="241"/>
        <item x="7"/>
        <item x="6"/>
        <item x="177"/>
        <item x="163"/>
        <item x="210"/>
        <item x="35"/>
        <item x="11"/>
        <item x="42"/>
        <item x="60"/>
        <item x="89"/>
        <item x="200"/>
        <item x="142"/>
        <item x="246"/>
        <item x="120"/>
        <item x="245"/>
        <item x="185"/>
        <item x="214"/>
        <item x="52"/>
        <item x="157"/>
        <item x="88"/>
        <item x="141"/>
        <item x="69"/>
        <item x="211"/>
        <item x="171"/>
        <item x="21"/>
        <item x="10"/>
        <item x="27"/>
        <item x="143"/>
        <item x="48"/>
        <item x="220"/>
        <item x="15"/>
        <item x="140"/>
        <item x="215"/>
        <item x="57"/>
        <item x="41"/>
        <item x="156"/>
        <item x="189"/>
        <item x="91"/>
        <item x="127"/>
        <item x="87"/>
        <item x="19"/>
        <item x="79"/>
        <item x="195"/>
        <item x="233"/>
        <item x="98"/>
        <item x="234"/>
        <item x="228"/>
        <item x="138"/>
        <item x="111"/>
        <item x="34"/>
        <item x="247"/>
        <item x="56"/>
        <item x="126"/>
        <item x="208"/>
        <item x="232"/>
        <item x="18"/>
        <item x="174"/>
        <item x="122"/>
        <item x="38"/>
        <item x="212"/>
        <item x="102"/>
        <item x="43"/>
        <item x="181"/>
        <item x="106"/>
        <item x="53"/>
        <item x="114"/>
        <item x="179"/>
        <item x="95"/>
        <item x="23"/>
        <item x="153"/>
        <item x="112"/>
        <item x="146"/>
        <item x="49"/>
        <item x="121"/>
        <item x="165"/>
        <item x="237"/>
        <item x="230"/>
        <item x="13"/>
        <item x="59"/>
        <item x="175"/>
        <item x="75"/>
        <item x="100"/>
        <item x="99"/>
        <item x="167"/>
        <item x="61"/>
        <item x="101"/>
        <item x="225"/>
        <item x="239"/>
        <item x="248"/>
        <item x="116"/>
        <item x="159"/>
        <item x="25"/>
        <item x="26"/>
        <item x="33"/>
        <item x="207"/>
        <item x="155"/>
        <item x="192"/>
        <item x="166"/>
        <item x="3"/>
        <item x="130"/>
        <item x="209"/>
        <item x="206"/>
        <item x="202"/>
        <item x="86"/>
        <item x="150"/>
        <item x="242"/>
        <item x="84"/>
        <item x="94"/>
        <item x="20"/>
        <item x="74"/>
        <item x="236"/>
        <item x="173"/>
        <item x="110"/>
        <item x="81"/>
        <item x="134"/>
        <item x="217"/>
        <item x="66"/>
        <item x="226"/>
        <item x="164"/>
        <item x="178"/>
        <item x="72"/>
        <item x="22"/>
        <item x="224"/>
        <item x="28"/>
        <item x="188"/>
        <item x="39"/>
        <item x="5"/>
        <item x="96"/>
        <item x="131"/>
        <item x="68"/>
        <item x="62"/>
        <item x="80"/>
        <item x="216"/>
        <item x="223"/>
        <item x="151"/>
        <item x="204"/>
        <item x="103"/>
        <item x="118"/>
        <item x="4"/>
        <item x="2"/>
        <item x="154"/>
        <item x="117"/>
        <item x="104"/>
        <item x="47"/>
        <item x="20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numFmtId="1" showAll="0"/>
    <pivotField numFmtId="164" showAll="0"/>
    <pivotField showAll="0"/>
    <pivotField showAll="0"/>
  </pivotFields>
  <rowFields count="1">
    <field x="1"/>
  </rowFields>
  <rowItems count="13">
    <i>
      <x v="226"/>
    </i>
    <i>
      <x v="42"/>
    </i>
    <i>
      <x v="182"/>
    </i>
    <i>
      <x v="60"/>
    </i>
    <i>
      <x v="186"/>
    </i>
    <i>
      <x v="230"/>
    </i>
    <i>
      <x v="83"/>
    </i>
    <i>
      <x v="112"/>
    </i>
    <i>
      <x v="102"/>
    </i>
    <i>
      <x v="77"/>
    </i>
    <i>
      <x v="79"/>
    </i>
    <i>
      <x v="162"/>
    </i>
    <i t="grand">
      <x/>
    </i>
  </rowItems>
  <colItems count="1">
    <i/>
  </colItems>
  <dataFields count="1">
    <dataField name="Sum of attack" fld="8" baseField="0" baseItem="0"/>
  </dataFields>
  <formats count="6">
    <format dxfId="22">
      <pivotArea type="all" dataOnly="0" outline="0" fieldPosition="0"/>
    </format>
    <format dxfId="21">
      <pivotArea outline="0" collapsedLevelsAreSubtotals="1" fieldPosition="0"/>
    </format>
    <format dxfId="20">
      <pivotArea field="1" type="button" dataOnly="0" labelOnly="1" outline="0" axis="axisRow" fieldPosition="0"/>
    </format>
    <format dxfId="19">
      <pivotArea dataOnly="0" labelOnly="1" fieldPosition="0">
        <references count="1">
          <reference field="1" count="12">
            <x v="42"/>
            <x v="60"/>
            <x v="77"/>
            <x v="79"/>
            <x v="83"/>
            <x v="102"/>
            <x v="112"/>
            <x v="162"/>
            <x v="182"/>
            <x v="186"/>
            <x v="226"/>
            <x v="230"/>
          </reference>
        </references>
      </pivotArea>
    </format>
    <format dxfId="18">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B5AA2FF-A42E-4D5D-B89C-959ABE06027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33" firstHeaderRow="1" firstDataRow="1" firstDataCol="1"/>
  <pivotFields count="18">
    <pivotField showAll="0"/>
    <pivotField axis="axisRow" showAll="0" measureFilter="1" sortType="descending">
      <items count="251">
        <item x="244"/>
        <item x="67"/>
        <item x="161"/>
        <item x="169"/>
        <item x="44"/>
        <item x="144"/>
        <item x="45"/>
        <item x="93"/>
        <item x="46"/>
        <item x="17"/>
        <item x="139"/>
        <item x="105"/>
        <item x="82"/>
        <item x="176"/>
        <item x="70"/>
        <item x="0"/>
        <item x="193"/>
        <item x="135"/>
        <item x="190"/>
        <item x="1"/>
        <item x="71"/>
        <item x="221"/>
        <item x="152"/>
        <item x="194"/>
        <item x="73"/>
        <item x="24"/>
        <item x="90"/>
        <item x="172"/>
        <item x="186"/>
        <item x="108"/>
        <item x="55"/>
        <item x="107"/>
        <item x="180"/>
        <item x="222"/>
        <item x="197"/>
        <item x="37"/>
        <item x="249"/>
        <item x="187"/>
        <item x="145"/>
        <item x="231"/>
        <item x="40"/>
        <item x="128"/>
        <item x="31"/>
        <item x="203"/>
        <item x="133"/>
        <item x="235"/>
        <item x="16"/>
        <item x="158"/>
        <item x="229"/>
        <item x="119"/>
        <item x="147"/>
        <item x="199"/>
        <item x="9"/>
        <item x="125"/>
        <item x="132"/>
        <item x="29"/>
        <item x="170"/>
        <item x="113"/>
        <item x="54"/>
        <item x="92"/>
        <item x="124"/>
        <item x="78"/>
        <item x="50"/>
        <item x="240"/>
        <item x="149"/>
        <item x="213"/>
        <item x="97"/>
        <item x="109"/>
        <item x="136"/>
        <item x="76"/>
        <item x="196"/>
        <item x="64"/>
        <item x="63"/>
        <item x="36"/>
        <item x="162"/>
        <item x="58"/>
        <item x="160"/>
        <item x="30"/>
        <item x="201"/>
        <item x="65"/>
        <item x="183"/>
        <item x="182"/>
        <item x="184"/>
        <item x="12"/>
        <item x="129"/>
        <item x="227"/>
        <item x="238"/>
        <item x="83"/>
        <item x="198"/>
        <item x="51"/>
        <item x="32"/>
        <item x="137"/>
        <item x="8"/>
        <item x="123"/>
        <item x="77"/>
        <item x="115"/>
        <item x="243"/>
        <item x="148"/>
        <item x="219"/>
        <item x="191"/>
        <item x="14"/>
        <item x="85"/>
        <item x="168"/>
        <item x="218"/>
        <item x="241"/>
        <item x="7"/>
        <item x="6"/>
        <item x="177"/>
        <item x="163"/>
        <item x="210"/>
        <item x="35"/>
        <item x="11"/>
        <item x="42"/>
        <item x="60"/>
        <item x="89"/>
        <item x="200"/>
        <item x="142"/>
        <item x="246"/>
        <item x="120"/>
        <item x="245"/>
        <item x="185"/>
        <item x="214"/>
        <item x="52"/>
        <item x="157"/>
        <item x="88"/>
        <item x="141"/>
        <item x="69"/>
        <item x="211"/>
        <item x="171"/>
        <item x="21"/>
        <item x="10"/>
        <item x="27"/>
        <item x="143"/>
        <item x="48"/>
        <item x="220"/>
        <item x="15"/>
        <item x="140"/>
        <item x="215"/>
        <item x="57"/>
        <item x="41"/>
        <item x="156"/>
        <item x="189"/>
        <item x="91"/>
        <item x="127"/>
        <item x="87"/>
        <item x="19"/>
        <item x="79"/>
        <item x="195"/>
        <item x="233"/>
        <item x="98"/>
        <item x="234"/>
        <item x="228"/>
        <item x="138"/>
        <item x="111"/>
        <item x="34"/>
        <item x="247"/>
        <item x="56"/>
        <item x="126"/>
        <item x="208"/>
        <item x="232"/>
        <item x="18"/>
        <item x="174"/>
        <item x="122"/>
        <item x="38"/>
        <item x="212"/>
        <item x="102"/>
        <item x="43"/>
        <item x="181"/>
        <item x="106"/>
        <item x="53"/>
        <item x="114"/>
        <item x="179"/>
        <item x="95"/>
        <item x="23"/>
        <item x="153"/>
        <item x="112"/>
        <item x="146"/>
        <item x="49"/>
        <item x="121"/>
        <item x="165"/>
        <item x="237"/>
        <item x="230"/>
        <item x="13"/>
        <item x="59"/>
        <item x="175"/>
        <item x="75"/>
        <item x="100"/>
        <item x="99"/>
        <item x="167"/>
        <item x="61"/>
        <item x="101"/>
        <item x="225"/>
        <item x="239"/>
        <item x="248"/>
        <item x="116"/>
        <item x="159"/>
        <item x="25"/>
        <item x="26"/>
        <item x="33"/>
        <item x="207"/>
        <item x="155"/>
        <item x="192"/>
        <item x="166"/>
        <item x="3"/>
        <item x="130"/>
        <item x="209"/>
        <item x="206"/>
        <item x="202"/>
        <item x="86"/>
        <item x="150"/>
        <item x="242"/>
        <item x="84"/>
        <item x="94"/>
        <item x="20"/>
        <item x="74"/>
        <item x="236"/>
        <item x="173"/>
        <item x="110"/>
        <item x="81"/>
        <item x="134"/>
        <item x="217"/>
        <item x="66"/>
        <item x="226"/>
        <item x="164"/>
        <item x="178"/>
        <item x="72"/>
        <item x="22"/>
        <item x="224"/>
        <item x="28"/>
        <item x="188"/>
        <item x="39"/>
        <item x="5"/>
        <item x="96"/>
        <item x="131"/>
        <item x="68"/>
        <item x="62"/>
        <item x="80"/>
        <item x="216"/>
        <item x="223"/>
        <item x="151"/>
        <item x="204"/>
        <item x="103"/>
        <item x="118"/>
        <item x="4"/>
        <item x="2"/>
        <item x="154"/>
        <item x="117"/>
        <item x="104"/>
        <item x="47"/>
        <item x="20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numFmtId="1" showAll="0"/>
    <pivotField numFmtId="164" showAll="0"/>
    <pivotField showAll="0"/>
    <pivotField showAll="0"/>
  </pivotFields>
  <rowFields count="1">
    <field x="1"/>
  </rowFields>
  <rowItems count="11">
    <i>
      <x v="15"/>
    </i>
    <i>
      <x v="19"/>
    </i>
    <i>
      <x v="244"/>
    </i>
    <i>
      <x v="203"/>
    </i>
    <i>
      <x v="243"/>
    </i>
    <i>
      <x v="231"/>
    </i>
    <i>
      <x v="106"/>
    </i>
    <i>
      <x v="105"/>
    </i>
    <i>
      <x v="92"/>
    </i>
    <i>
      <x v="52"/>
    </i>
    <i t="grand">
      <x/>
    </i>
  </rowItems>
  <colItems count="1">
    <i/>
  </colItems>
  <dataFields count="1">
    <dataField name="Sum of hp" fld="7" baseField="0" baseItem="0"/>
  </dataFields>
  <formats count="6">
    <format dxfId="28">
      <pivotArea type="all" dataOnly="0" outline="0" fieldPosition="0"/>
    </format>
    <format dxfId="27">
      <pivotArea outline="0" collapsedLevelsAreSubtotals="1" fieldPosition="0"/>
    </format>
    <format dxfId="26">
      <pivotArea field="1" type="button" dataOnly="0" labelOnly="1" outline="0" axis="axisRow" fieldPosition="0"/>
    </format>
    <format dxfId="25">
      <pivotArea dataOnly="0" labelOnly="1" fieldPosition="0">
        <references count="1">
          <reference field="1" count="10">
            <x v="15"/>
            <x v="19"/>
            <x v="52"/>
            <x v="92"/>
            <x v="105"/>
            <x v="106"/>
            <x v="203"/>
            <x v="231"/>
            <x v="243"/>
            <x v="244"/>
          </reference>
        </references>
      </pivotArea>
    </format>
    <format dxfId="24">
      <pivotArea dataOnly="0" labelOnly="1" grandRow="1" outline="0" fieldPosition="0"/>
    </format>
    <format dxfId="23">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C5678BF-AC76-453C-93B8-FD2F46C5CEA8}"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2:Q34" firstHeaderRow="1" firstDataRow="1" firstDataCol="1"/>
  <pivotFields count="18">
    <pivotField showAll="0"/>
    <pivotField axis="axisRow" showAll="0" measureFilter="1" sortType="descending">
      <items count="251">
        <item x="244"/>
        <item x="67"/>
        <item x="161"/>
        <item x="169"/>
        <item x="44"/>
        <item x="144"/>
        <item x="45"/>
        <item x="93"/>
        <item x="46"/>
        <item x="17"/>
        <item x="139"/>
        <item x="105"/>
        <item x="82"/>
        <item x="176"/>
        <item x="70"/>
        <item x="0"/>
        <item x="193"/>
        <item x="135"/>
        <item x="190"/>
        <item x="1"/>
        <item x="71"/>
        <item x="221"/>
        <item x="152"/>
        <item x="194"/>
        <item x="73"/>
        <item x="24"/>
        <item x="90"/>
        <item x="172"/>
        <item x="186"/>
        <item x="108"/>
        <item x="55"/>
        <item x="107"/>
        <item x="180"/>
        <item x="222"/>
        <item x="197"/>
        <item x="37"/>
        <item x="249"/>
        <item x="187"/>
        <item x="145"/>
        <item x="231"/>
        <item x="40"/>
        <item x="128"/>
        <item x="31"/>
        <item x="203"/>
        <item x="133"/>
        <item x="235"/>
        <item x="16"/>
        <item x="158"/>
        <item x="229"/>
        <item x="119"/>
        <item x="147"/>
        <item x="199"/>
        <item x="9"/>
        <item x="125"/>
        <item x="132"/>
        <item x="29"/>
        <item x="170"/>
        <item x="113"/>
        <item x="54"/>
        <item x="92"/>
        <item x="124"/>
        <item x="78"/>
        <item x="50"/>
        <item x="240"/>
        <item x="149"/>
        <item x="213"/>
        <item x="97"/>
        <item x="109"/>
        <item x="136"/>
        <item x="76"/>
        <item x="196"/>
        <item x="64"/>
        <item x="63"/>
        <item x="36"/>
        <item x="162"/>
        <item x="58"/>
        <item x="160"/>
        <item x="30"/>
        <item x="201"/>
        <item x="65"/>
        <item x="183"/>
        <item x="182"/>
        <item x="184"/>
        <item x="12"/>
        <item x="129"/>
        <item x="227"/>
        <item x="238"/>
        <item x="83"/>
        <item x="198"/>
        <item x="51"/>
        <item x="32"/>
        <item x="137"/>
        <item x="8"/>
        <item x="123"/>
        <item x="77"/>
        <item x="115"/>
        <item x="243"/>
        <item x="148"/>
        <item x="219"/>
        <item x="191"/>
        <item x="14"/>
        <item x="85"/>
        <item x="168"/>
        <item x="218"/>
        <item x="241"/>
        <item x="7"/>
        <item x="6"/>
        <item x="177"/>
        <item x="163"/>
        <item x="210"/>
        <item x="35"/>
        <item x="11"/>
        <item x="42"/>
        <item x="60"/>
        <item x="89"/>
        <item x="200"/>
        <item x="142"/>
        <item x="246"/>
        <item x="120"/>
        <item x="245"/>
        <item x="185"/>
        <item x="214"/>
        <item x="52"/>
        <item x="157"/>
        <item x="88"/>
        <item x="141"/>
        <item x="69"/>
        <item x="211"/>
        <item x="171"/>
        <item x="21"/>
        <item x="10"/>
        <item x="27"/>
        <item x="143"/>
        <item x="48"/>
        <item x="220"/>
        <item x="15"/>
        <item x="140"/>
        <item x="215"/>
        <item x="57"/>
        <item x="41"/>
        <item x="156"/>
        <item x="189"/>
        <item x="91"/>
        <item x="127"/>
        <item x="87"/>
        <item x="19"/>
        <item x="79"/>
        <item x="195"/>
        <item x="233"/>
        <item x="98"/>
        <item x="234"/>
        <item x="228"/>
        <item x="138"/>
        <item x="111"/>
        <item x="34"/>
        <item x="247"/>
        <item x="56"/>
        <item x="126"/>
        <item x="208"/>
        <item x="232"/>
        <item x="18"/>
        <item x="174"/>
        <item x="122"/>
        <item x="38"/>
        <item x="212"/>
        <item x="102"/>
        <item x="43"/>
        <item x="181"/>
        <item x="106"/>
        <item x="53"/>
        <item x="114"/>
        <item x="179"/>
        <item x="95"/>
        <item x="23"/>
        <item x="153"/>
        <item x="112"/>
        <item x="146"/>
        <item x="49"/>
        <item x="121"/>
        <item x="165"/>
        <item x="237"/>
        <item x="230"/>
        <item x="13"/>
        <item x="59"/>
        <item x="175"/>
        <item x="75"/>
        <item x="100"/>
        <item x="99"/>
        <item x="167"/>
        <item x="61"/>
        <item x="101"/>
        <item x="225"/>
        <item x="239"/>
        <item x="248"/>
        <item x="116"/>
        <item x="159"/>
        <item x="25"/>
        <item x="26"/>
        <item x="33"/>
        <item x="207"/>
        <item x="155"/>
        <item x="192"/>
        <item x="166"/>
        <item x="3"/>
        <item x="130"/>
        <item x="209"/>
        <item x="206"/>
        <item x="202"/>
        <item x="86"/>
        <item x="150"/>
        <item x="242"/>
        <item x="84"/>
        <item x="94"/>
        <item x="20"/>
        <item x="74"/>
        <item x="236"/>
        <item x="173"/>
        <item x="110"/>
        <item x="81"/>
        <item x="134"/>
        <item x="217"/>
        <item x="66"/>
        <item x="226"/>
        <item x="164"/>
        <item x="178"/>
        <item x="72"/>
        <item x="22"/>
        <item x="224"/>
        <item x="28"/>
        <item x="188"/>
        <item x="39"/>
        <item x="5"/>
        <item x="96"/>
        <item x="131"/>
        <item x="68"/>
        <item x="62"/>
        <item x="80"/>
        <item x="216"/>
        <item x="223"/>
        <item x="151"/>
        <item x="204"/>
        <item x="103"/>
        <item x="118"/>
        <item x="4"/>
        <item x="2"/>
        <item x="154"/>
        <item x="117"/>
        <item x="104"/>
        <item x="47"/>
        <item x="20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numFmtId="1" showAll="0"/>
    <pivotField numFmtId="164" showAll="0"/>
    <pivotField showAll="0"/>
    <pivotField showAll="0"/>
  </pivotFields>
  <rowFields count="1">
    <field x="1"/>
  </rowFields>
  <rowItems count="12">
    <i>
      <x v="50"/>
    </i>
    <i>
      <x v="1"/>
    </i>
    <i>
      <x v="130"/>
    </i>
    <i>
      <x v="30"/>
    </i>
    <i>
      <x v="93"/>
    </i>
    <i>
      <x v="3"/>
    </i>
    <i>
      <x v="45"/>
    </i>
    <i>
      <x v="209"/>
    </i>
    <i>
      <x v="202"/>
    </i>
    <i>
      <x v="177"/>
    </i>
    <i>
      <x v="153"/>
    </i>
    <i t="grand">
      <x/>
    </i>
  </rowItems>
  <colItems count="1">
    <i/>
  </colItems>
  <dataFields count="1">
    <dataField name="Sum of speed" fld="12" baseField="0" baseItem="0"/>
  </dataFields>
  <formats count="6">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11">
            <x v="1"/>
            <x v="3"/>
            <x v="30"/>
            <x v="45"/>
            <x v="50"/>
            <x v="93"/>
            <x v="130"/>
            <x v="153"/>
            <x v="177"/>
            <x v="202"/>
            <x v="209"/>
          </reference>
        </references>
      </pivotArea>
    </format>
    <format dxfId="30">
      <pivotArea dataOnly="0" labelOnly="1" grandRow="1" outline="0" fieldPosition="0"/>
    </format>
    <format dxfId="29">
      <pivotArea dataOnly="0" labelOnly="1" outline="0" axis="axisValues" fieldPosition="0"/>
    </format>
  </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14F7385-6AE1-43A9-90A9-985D0C3AC34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2:N34" firstHeaderRow="1" firstDataRow="1" firstDataCol="1"/>
  <pivotFields count="18">
    <pivotField showAll="0"/>
    <pivotField axis="axisRow" showAll="0" measureFilter="1" sortType="descending">
      <items count="251">
        <item x="244"/>
        <item x="67"/>
        <item x="161"/>
        <item x="169"/>
        <item x="44"/>
        <item x="144"/>
        <item x="45"/>
        <item x="93"/>
        <item x="46"/>
        <item x="17"/>
        <item x="139"/>
        <item x="105"/>
        <item x="82"/>
        <item x="176"/>
        <item x="70"/>
        <item x="0"/>
        <item x="193"/>
        <item x="135"/>
        <item x="190"/>
        <item x="1"/>
        <item x="71"/>
        <item x="221"/>
        <item x="152"/>
        <item x="194"/>
        <item x="73"/>
        <item x="24"/>
        <item x="90"/>
        <item x="172"/>
        <item x="186"/>
        <item x="108"/>
        <item x="55"/>
        <item x="107"/>
        <item x="180"/>
        <item x="222"/>
        <item x="197"/>
        <item x="37"/>
        <item x="249"/>
        <item x="187"/>
        <item x="145"/>
        <item x="231"/>
        <item x="40"/>
        <item x="128"/>
        <item x="31"/>
        <item x="203"/>
        <item x="133"/>
        <item x="235"/>
        <item x="16"/>
        <item x="158"/>
        <item x="229"/>
        <item x="119"/>
        <item x="147"/>
        <item x="199"/>
        <item x="9"/>
        <item x="125"/>
        <item x="132"/>
        <item x="29"/>
        <item x="170"/>
        <item x="113"/>
        <item x="54"/>
        <item x="92"/>
        <item x="124"/>
        <item x="78"/>
        <item x="50"/>
        <item x="240"/>
        <item x="149"/>
        <item x="213"/>
        <item x="97"/>
        <item x="109"/>
        <item x="136"/>
        <item x="76"/>
        <item x="196"/>
        <item x="64"/>
        <item x="63"/>
        <item x="36"/>
        <item x="162"/>
        <item x="58"/>
        <item x="160"/>
        <item x="30"/>
        <item x="201"/>
        <item x="65"/>
        <item x="183"/>
        <item x="182"/>
        <item x="184"/>
        <item x="12"/>
        <item x="129"/>
        <item x="227"/>
        <item x="238"/>
        <item x="83"/>
        <item x="198"/>
        <item x="51"/>
        <item x="32"/>
        <item x="137"/>
        <item x="8"/>
        <item x="123"/>
        <item x="77"/>
        <item x="115"/>
        <item x="243"/>
        <item x="148"/>
        <item x="219"/>
        <item x="191"/>
        <item x="14"/>
        <item x="85"/>
        <item x="168"/>
        <item x="218"/>
        <item x="241"/>
        <item x="7"/>
        <item x="6"/>
        <item x="177"/>
        <item x="163"/>
        <item x="210"/>
        <item x="35"/>
        <item x="11"/>
        <item x="42"/>
        <item x="60"/>
        <item x="89"/>
        <item x="200"/>
        <item x="142"/>
        <item x="246"/>
        <item x="120"/>
        <item x="245"/>
        <item x="185"/>
        <item x="214"/>
        <item x="52"/>
        <item x="157"/>
        <item x="88"/>
        <item x="141"/>
        <item x="69"/>
        <item x="211"/>
        <item x="171"/>
        <item x="21"/>
        <item x="10"/>
        <item x="27"/>
        <item x="143"/>
        <item x="48"/>
        <item x="220"/>
        <item x="15"/>
        <item x="140"/>
        <item x="215"/>
        <item x="57"/>
        <item x="41"/>
        <item x="156"/>
        <item x="189"/>
        <item x="91"/>
        <item x="127"/>
        <item x="87"/>
        <item x="19"/>
        <item x="79"/>
        <item x="195"/>
        <item x="233"/>
        <item x="98"/>
        <item x="234"/>
        <item x="228"/>
        <item x="138"/>
        <item x="111"/>
        <item x="34"/>
        <item x="247"/>
        <item x="56"/>
        <item x="126"/>
        <item x="208"/>
        <item x="232"/>
        <item x="18"/>
        <item x="174"/>
        <item x="122"/>
        <item x="38"/>
        <item x="212"/>
        <item x="102"/>
        <item x="43"/>
        <item x="181"/>
        <item x="106"/>
        <item x="53"/>
        <item x="114"/>
        <item x="179"/>
        <item x="95"/>
        <item x="23"/>
        <item x="153"/>
        <item x="112"/>
        <item x="146"/>
        <item x="49"/>
        <item x="121"/>
        <item x="165"/>
        <item x="237"/>
        <item x="230"/>
        <item x="13"/>
        <item x="59"/>
        <item x="175"/>
        <item x="75"/>
        <item x="100"/>
        <item x="99"/>
        <item x="167"/>
        <item x="61"/>
        <item x="101"/>
        <item x="225"/>
        <item x="239"/>
        <item x="248"/>
        <item x="116"/>
        <item x="159"/>
        <item x="25"/>
        <item x="26"/>
        <item x="33"/>
        <item x="207"/>
        <item x="155"/>
        <item x="192"/>
        <item x="166"/>
        <item x="3"/>
        <item x="130"/>
        <item x="209"/>
        <item x="206"/>
        <item x="202"/>
        <item x="86"/>
        <item x="150"/>
        <item x="242"/>
        <item x="84"/>
        <item x="94"/>
        <item x="20"/>
        <item x="74"/>
        <item x="236"/>
        <item x="173"/>
        <item x="110"/>
        <item x="81"/>
        <item x="134"/>
        <item x="217"/>
        <item x="66"/>
        <item x="226"/>
        <item x="164"/>
        <item x="178"/>
        <item x="72"/>
        <item x="22"/>
        <item x="224"/>
        <item x="28"/>
        <item x="188"/>
        <item x="39"/>
        <item x="5"/>
        <item x="96"/>
        <item x="131"/>
        <item x="68"/>
        <item x="62"/>
        <item x="80"/>
        <item x="216"/>
        <item x="223"/>
        <item x="151"/>
        <item x="204"/>
        <item x="103"/>
        <item x="118"/>
        <item x="4"/>
        <item x="2"/>
        <item x="154"/>
        <item x="117"/>
        <item x="104"/>
        <item x="47"/>
        <item x="20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 showAll="0"/>
    <pivotField numFmtId="164" showAll="0"/>
    <pivotField showAll="0"/>
    <pivotField showAll="0"/>
  </pivotFields>
  <rowFields count="1">
    <field x="1"/>
  </rowFields>
  <rowItems count="12">
    <i>
      <x v="193"/>
    </i>
    <i>
      <x v="111"/>
    </i>
    <i>
      <x v="83"/>
    </i>
    <i>
      <x v="122"/>
    </i>
    <i>
      <x v="15"/>
    </i>
    <i>
      <x v="228"/>
    </i>
    <i>
      <x v="8"/>
    </i>
    <i>
      <x v="221"/>
    </i>
    <i>
      <x v="134"/>
    </i>
    <i>
      <x v="213"/>
    </i>
    <i>
      <x v="89"/>
    </i>
    <i t="grand">
      <x/>
    </i>
  </rowItems>
  <colItems count="1">
    <i/>
  </colItems>
  <dataFields count="1">
    <dataField name="Sum of special_defense" fld="11" baseField="0" baseItem="0"/>
  </dataFields>
  <formats count="12">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11">
            <x v="8"/>
            <x v="15"/>
            <x v="83"/>
            <x v="89"/>
            <x v="111"/>
            <x v="122"/>
            <x v="134"/>
            <x v="193"/>
            <x v="213"/>
            <x v="221"/>
            <x v="228"/>
          </reference>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11">
            <x v="8"/>
            <x v="15"/>
            <x v="83"/>
            <x v="89"/>
            <x v="111"/>
            <x v="122"/>
            <x v="134"/>
            <x v="193"/>
            <x v="213"/>
            <x v="221"/>
            <x v="228"/>
          </reference>
        </references>
      </pivotArea>
    </format>
    <format dxfId="36">
      <pivotArea dataOnly="0" labelOnly="1" grandRow="1" outline="0" fieldPosition="0"/>
    </format>
    <format dxfId="35">
      <pivotArea dataOnly="0" labelOnly="1" outline="0" axis="axisValues" fieldPosition="0"/>
    </format>
  </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4810C78-F421-4376-8E28-4ADC517DC12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2:K37" firstHeaderRow="1" firstDataRow="1" firstDataCol="1"/>
  <pivotFields count="18">
    <pivotField showAll="0"/>
    <pivotField axis="axisRow" showAll="0" measureFilter="1" sortType="descending">
      <items count="251">
        <item x="244"/>
        <item x="67"/>
        <item x="161"/>
        <item x="169"/>
        <item x="44"/>
        <item x="144"/>
        <item x="45"/>
        <item x="93"/>
        <item x="46"/>
        <item x="17"/>
        <item x="139"/>
        <item x="105"/>
        <item x="82"/>
        <item x="176"/>
        <item x="70"/>
        <item x="0"/>
        <item x="193"/>
        <item x="135"/>
        <item x="190"/>
        <item x="1"/>
        <item x="71"/>
        <item x="221"/>
        <item x="152"/>
        <item x="194"/>
        <item x="73"/>
        <item x="24"/>
        <item x="90"/>
        <item x="172"/>
        <item x="186"/>
        <item x="108"/>
        <item x="55"/>
        <item x="107"/>
        <item x="180"/>
        <item x="222"/>
        <item x="197"/>
        <item x="37"/>
        <item x="249"/>
        <item x="187"/>
        <item x="145"/>
        <item x="231"/>
        <item x="40"/>
        <item x="128"/>
        <item x="31"/>
        <item x="203"/>
        <item x="133"/>
        <item x="235"/>
        <item x="16"/>
        <item x="158"/>
        <item x="229"/>
        <item x="119"/>
        <item x="147"/>
        <item x="199"/>
        <item x="9"/>
        <item x="125"/>
        <item x="132"/>
        <item x="29"/>
        <item x="170"/>
        <item x="113"/>
        <item x="54"/>
        <item x="92"/>
        <item x="124"/>
        <item x="78"/>
        <item x="50"/>
        <item x="240"/>
        <item x="149"/>
        <item x="213"/>
        <item x="97"/>
        <item x="109"/>
        <item x="136"/>
        <item x="76"/>
        <item x="196"/>
        <item x="64"/>
        <item x="63"/>
        <item x="36"/>
        <item x="162"/>
        <item x="58"/>
        <item x="160"/>
        <item x="30"/>
        <item x="201"/>
        <item x="65"/>
        <item x="183"/>
        <item x="182"/>
        <item x="184"/>
        <item x="12"/>
        <item x="129"/>
        <item x="227"/>
        <item x="238"/>
        <item x="83"/>
        <item x="198"/>
        <item x="51"/>
        <item x="32"/>
        <item x="137"/>
        <item x="8"/>
        <item x="123"/>
        <item x="77"/>
        <item x="115"/>
        <item x="243"/>
        <item x="148"/>
        <item x="219"/>
        <item x="191"/>
        <item x="14"/>
        <item x="85"/>
        <item x="168"/>
        <item x="218"/>
        <item x="241"/>
        <item x="7"/>
        <item x="6"/>
        <item x="177"/>
        <item x="163"/>
        <item x="210"/>
        <item x="35"/>
        <item x="11"/>
        <item x="42"/>
        <item x="60"/>
        <item x="89"/>
        <item x="200"/>
        <item x="142"/>
        <item x="246"/>
        <item x="120"/>
        <item x="245"/>
        <item x="185"/>
        <item x="214"/>
        <item x="52"/>
        <item x="157"/>
        <item x="88"/>
        <item x="141"/>
        <item x="69"/>
        <item x="211"/>
        <item x="171"/>
        <item x="21"/>
        <item x="10"/>
        <item x="27"/>
        <item x="143"/>
        <item x="48"/>
        <item x="220"/>
        <item x="15"/>
        <item x="140"/>
        <item x="215"/>
        <item x="57"/>
        <item x="41"/>
        <item x="156"/>
        <item x="189"/>
        <item x="91"/>
        <item x="127"/>
        <item x="87"/>
        <item x="19"/>
        <item x="79"/>
        <item x="195"/>
        <item x="233"/>
        <item x="98"/>
        <item x="234"/>
        <item x="228"/>
        <item x="138"/>
        <item x="111"/>
        <item x="34"/>
        <item x="247"/>
        <item x="56"/>
        <item x="126"/>
        <item x="208"/>
        <item x="232"/>
        <item x="18"/>
        <item x="174"/>
        <item x="122"/>
        <item x="38"/>
        <item x="212"/>
        <item x="102"/>
        <item x="43"/>
        <item x="181"/>
        <item x="106"/>
        <item x="53"/>
        <item x="114"/>
        <item x="179"/>
        <item x="95"/>
        <item x="23"/>
        <item x="153"/>
        <item x="112"/>
        <item x="146"/>
        <item x="49"/>
        <item x="121"/>
        <item x="165"/>
        <item x="237"/>
        <item x="230"/>
        <item x="13"/>
        <item x="59"/>
        <item x="175"/>
        <item x="75"/>
        <item x="100"/>
        <item x="99"/>
        <item x="167"/>
        <item x="61"/>
        <item x="101"/>
        <item x="225"/>
        <item x="239"/>
        <item x="248"/>
        <item x="116"/>
        <item x="159"/>
        <item x="25"/>
        <item x="26"/>
        <item x="33"/>
        <item x="207"/>
        <item x="155"/>
        <item x="192"/>
        <item x="166"/>
        <item x="3"/>
        <item x="130"/>
        <item x="209"/>
        <item x="206"/>
        <item x="202"/>
        <item x="86"/>
        <item x="150"/>
        <item x="242"/>
        <item x="84"/>
        <item x="94"/>
        <item x="20"/>
        <item x="74"/>
        <item x="236"/>
        <item x="173"/>
        <item x="110"/>
        <item x="81"/>
        <item x="134"/>
        <item x="217"/>
        <item x="66"/>
        <item x="226"/>
        <item x="164"/>
        <item x="178"/>
        <item x="72"/>
        <item x="22"/>
        <item x="224"/>
        <item x="28"/>
        <item x="188"/>
        <item x="39"/>
        <item x="5"/>
        <item x="96"/>
        <item x="131"/>
        <item x="68"/>
        <item x="62"/>
        <item x="80"/>
        <item x="216"/>
        <item x="223"/>
        <item x="151"/>
        <item x="204"/>
        <item x="103"/>
        <item x="118"/>
        <item x="4"/>
        <item x="2"/>
        <item x="154"/>
        <item x="117"/>
        <item x="104"/>
        <item x="47"/>
        <item x="20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 showAll="0"/>
    <pivotField numFmtId="164" showAll="0"/>
    <pivotField showAll="0"/>
    <pivotField showAll="0"/>
  </pivotFields>
  <rowFields count="1">
    <field x="1"/>
  </rowFields>
  <rowItems count="15">
    <i>
      <x v="130"/>
    </i>
    <i>
      <x v="3"/>
    </i>
    <i>
      <x v="53"/>
    </i>
    <i>
      <x v="64"/>
    </i>
    <i>
      <x v="133"/>
    </i>
    <i>
      <x v="55"/>
    </i>
    <i>
      <x v="248"/>
    </i>
    <i>
      <x v="120"/>
    </i>
    <i>
      <x v="98"/>
    </i>
    <i>
      <x v="177"/>
    </i>
    <i>
      <x v="149"/>
    </i>
    <i>
      <x v="4"/>
    </i>
    <i>
      <x v="78"/>
    </i>
    <i>
      <x v="95"/>
    </i>
    <i t="grand">
      <x/>
    </i>
  </rowItems>
  <colItems count="1">
    <i/>
  </colItems>
  <dataFields count="1">
    <dataField name="Sum of special_attack" fld="10" baseField="0" baseItem="0"/>
  </dataFields>
  <formats count="6">
    <format dxfId="52">
      <pivotArea type="all" dataOnly="0" outline="0" fieldPosition="0"/>
    </format>
    <format dxfId="51">
      <pivotArea outline="0" collapsedLevelsAreSubtotals="1" fieldPosition="0"/>
    </format>
    <format dxfId="50">
      <pivotArea field="1" type="button" dataOnly="0" labelOnly="1" outline="0" axis="axisRow" fieldPosition="0"/>
    </format>
    <format dxfId="49">
      <pivotArea dataOnly="0" labelOnly="1" fieldPosition="0">
        <references count="1">
          <reference field="1" count="14">
            <x v="3"/>
            <x v="4"/>
            <x v="53"/>
            <x v="55"/>
            <x v="64"/>
            <x v="78"/>
            <x v="95"/>
            <x v="98"/>
            <x v="120"/>
            <x v="130"/>
            <x v="133"/>
            <x v="149"/>
            <x v="177"/>
            <x v="248"/>
          </reference>
        </references>
      </pivotArea>
    </format>
    <format dxfId="48">
      <pivotArea dataOnly="0" labelOnly="1" grandRow="1" outline="0" fieldPosition="0"/>
    </format>
    <format dxfId="47">
      <pivotArea dataOnly="0" labelOnly="1" outline="0" axis="axisValues" fieldPosition="0"/>
    </format>
  </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F83B203-894A-451F-8F2D-6F223C3D83D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H36" firstHeaderRow="1" firstDataRow="1" firstDataCol="1"/>
  <pivotFields count="18">
    <pivotField showAll="0"/>
    <pivotField axis="axisRow" showAll="0" measureFilter="1" sortType="descending">
      <items count="251">
        <item x="244"/>
        <item x="67"/>
        <item x="161"/>
        <item x="169"/>
        <item x="44"/>
        <item x="144"/>
        <item x="45"/>
        <item x="93"/>
        <item x="46"/>
        <item x="17"/>
        <item x="139"/>
        <item x="105"/>
        <item x="82"/>
        <item x="176"/>
        <item x="70"/>
        <item x="0"/>
        <item x="193"/>
        <item x="135"/>
        <item x="190"/>
        <item x="1"/>
        <item x="71"/>
        <item x="221"/>
        <item x="152"/>
        <item x="194"/>
        <item x="73"/>
        <item x="24"/>
        <item x="90"/>
        <item x="172"/>
        <item x="186"/>
        <item x="108"/>
        <item x="55"/>
        <item x="107"/>
        <item x="180"/>
        <item x="222"/>
        <item x="197"/>
        <item x="37"/>
        <item x="249"/>
        <item x="187"/>
        <item x="145"/>
        <item x="231"/>
        <item x="40"/>
        <item x="128"/>
        <item x="31"/>
        <item x="203"/>
        <item x="133"/>
        <item x="235"/>
        <item x="16"/>
        <item x="158"/>
        <item x="229"/>
        <item x="119"/>
        <item x="147"/>
        <item x="199"/>
        <item x="9"/>
        <item x="125"/>
        <item x="132"/>
        <item x="29"/>
        <item x="170"/>
        <item x="113"/>
        <item x="54"/>
        <item x="92"/>
        <item x="124"/>
        <item x="78"/>
        <item x="50"/>
        <item x="240"/>
        <item x="149"/>
        <item x="213"/>
        <item x="97"/>
        <item x="109"/>
        <item x="136"/>
        <item x="76"/>
        <item x="196"/>
        <item x="64"/>
        <item x="63"/>
        <item x="36"/>
        <item x="162"/>
        <item x="58"/>
        <item x="160"/>
        <item x="30"/>
        <item x="201"/>
        <item x="65"/>
        <item x="183"/>
        <item x="182"/>
        <item x="184"/>
        <item x="12"/>
        <item x="129"/>
        <item x="227"/>
        <item x="238"/>
        <item x="83"/>
        <item x="198"/>
        <item x="51"/>
        <item x="32"/>
        <item x="137"/>
        <item x="8"/>
        <item x="123"/>
        <item x="77"/>
        <item x="115"/>
        <item x="243"/>
        <item x="148"/>
        <item x="219"/>
        <item x="191"/>
        <item x="14"/>
        <item x="85"/>
        <item x="168"/>
        <item x="218"/>
        <item x="241"/>
        <item x="7"/>
        <item x="6"/>
        <item x="177"/>
        <item x="163"/>
        <item x="210"/>
        <item x="35"/>
        <item x="11"/>
        <item x="42"/>
        <item x="60"/>
        <item x="89"/>
        <item x="200"/>
        <item x="142"/>
        <item x="246"/>
        <item x="120"/>
        <item x="245"/>
        <item x="185"/>
        <item x="214"/>
        <item x="52"/>
        <item x="157"/>
        <item x="88"/>
        <item x="141"/>
        <item x="69"/>
        <item x="211"/>
        <item x="171"/>
        <item x="21"/>
        <item x="10"/>
        <item x="27"/>
        <item x="143"/>
        <item x="48"/>
        <item x="220"/>
        <item x="15"/>
        <item x="140"/>
        <item x="215"/>
        <item x="57"/>
        <item x="41"/>
        <item x="156"/>
        <item x="189"/>
        <item x="91"/>
        <item x="127"/>
        <item x="87"/>
        <item x="19"/>
        <item x="79"/>
        <item x="195"/>
        <item x="233"/>
        <item x="98"/>
        <item x="234"/>
        <item x="228"/>
        <item x="138"/>
        <item x="111"/>
        <item x="34"/>
        <item x="247"/>
        <item x="56"/>
        <item x="126"/>
        <item x="208"/>
        <item x="232"/>
        <item x="18"/>
        <item x="174"/>
        <item x="122"/>
        <item x="38"/>
        <item x="212"/>
        <item x="102"/>
        <item x="43"/>
        <item x="181"/>
        <item x="106"/>
        <item x="53"/>
        <item x="114"/>
        <item x="179"/>
        <item x="95"/>
        <item x="23"/>
        <item x="153"/>
        <item x="112"/>
        <item x="146"/>
        <item x="49"/>
        <item x="121"/>
        <item x="165"/>
        <item x="237"/>
        <item x="230"/>
        <item x="13"/>
        <item x="59"/>
        <item x="175"/>
        <item x="75"/>
        <item x="100"/>
        <item x="99"/>
        <item x="167"/>
        <item x="61"/>
        <item x="101"/>
        <item x="225"/>
        <item x="239"/>
        <item x="248"/>
        <item x="116"/>
        <item x="159"/>
        <item x="25"/>
        <item x="26"/>
        <item x="33"/>
        <item x="207"/>
        <item x="155"/>
        <item x="192"/>
        <item x="166"/>
        <item x="3"/>
        <item x="130"/>
        <item x="209"/>
        <item x="206"/>
        <item x="202"/>
        <item x="86"/>
        <item x="150"/>
        <item x="242"/>
        <item x="84"/>
        <item x="94"/>
        <item x="20"/>
        <item x="74"/>
        <item x="236"/>
        <item x="173"/>
        <item x="110"/>
        <item x="81"/>
        <item x="134"/>
        <item x="217"/>
        <item x="66"/>
        <item x="226"/>
        <item x="164"/>
        <item x="178"/>
        <item x="72"/>
        <item x="22"/>
        <item x="224"/>
        <item x="28"/>
        <item x="188"/>
        <item x="39"/>
        <item x="5"/>
        <item x="96"/>
        <item x="131"/>
        <item x="68"/>
        <item x="62"/>
        <item x="80"/>
        <item x="216"/>
        <item x="223"/>
        <item x="151"/>
        <item x="204"/>
        <item x="103"/>
        <item x="118"/>
        <item x="4"/>
        <item x="2"/>
        <item x="154"/>
        <item x="117"/>
        <item x="104"/>
        <item x="47"/>
        <item x="20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numFmtId="1" showAll="0"/>
    <pivotField numFmtId="164" showAll="0"/>
    <pivotField showAll="0"/>
    <pivotField showAll="0"/>
  </pivotFields>
  <rowFields count="1">
    <field x="1"/>
  </rowFields>
  <rowItems count="14">
    <i>
      <x v="193"/>
    </i>
    <i>
      <x v="211"/>
    </i>
    <i>
      <x v="28"/>
    </i>
    <i>
      <x v="150"/>
    </i>
    <i>
      <x v="61"/>
    </i>
    <i>
      <x v="194"/>
    </i>
    <i>
      <x v="72"/>
    </i>
    <i>
      <x v="111"/>
    </i>
    <i>
      <x v="149"/>
    </i>
    <i>
      <x v="242"/>
    </i>
    <i>
      <x v="182"/>
    </i>
    <i>
      <x v="40"/>
    </i>
    <i>
      <x v="116"/>
    </i>
    <i t="grand">
      <x/>
    </i>
  </rowItems>
  <colItems count="1">
    <i/>
  </colItems>
  <dataFields count="1">
    <dataField name="Sum of defense" fld="9" baseField="0" baseItem="0"/>
  </dataFields>
  <formats count="6">
    <format dxfId="58">
      <pivotArea type="all" dataOnly="0" outline="0" fieldPosition="0"/>
    </format>
    <format dxfId="57">
      <pivotArea outline="0" collapsedLevelsAreSubtotals="1" fieldPosition="0"/>
    </format>
    <format dxfId="56">
      <pivotArea field="1" type="button" dataOnly="0" labelOnly="1" outline="0" axis="axisRow" fieldPosition="0"/>
    </format>
    <format dxfId="55">
      <pivotArea dataOnly="0" labelOnly="1" fieldPosition="0">
        <references count="1">
          <reference field="1" count="13">
            <x v="28"/>
            <x v="40"/>
            <x v="61"/>
            <x v="72"/>
            <x v="111"/>
            <x v="116"/>
            <x v="149"/>
            <x v="150"/>
            <x v="182"/>
            <x v="193"/>
            <x v="194"/>
            <x v="211"/>
            <x v="242"/>
          </reference>
        </references>
      </pivotArea>
    </format>
    <format dxfId="54">
      <pivotArea dataOnly="0" labelOnly="1" grandRow="1" outline="0" fieldPosition="0"/>
    </format>
    <format dxfId="53">
      <pivotArea dataOnly="0" labelOnly="1" outline="0" axis="axisValues" fieldPosition="0"/>
    </format>
  </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1" xr10:uid="{4D5CE676-5B49-4C3F-AC5F-BA9DF418C2E2}" sourceName="type_1">
  <pivotTables>
    <pivotTable tabId="12" name="PivotTable2"/>
    <pivotTable tabId="12" name="PivotTable1"/>
    <pivotTable tabId="12" name="PivotTable7"/>
    <pivotTable tabId="12" name="PivotTable3"/>
    <pivotTable tabId="12" name="PivotTable4"/>
    <pivotTable tabId="4" name="PivotTable8"/>
  </pivotTables>
  <data>
    <tabular pivotCacheId="970233453">
      <items count="17">
        <i x="3" s="1"/>
        <i x="15" s="1"/>
        <i x="14" s="1"/>
        <i x="6" s="1"/>
        <i x="8" s="1"/>
        <i x="9" s="1"/>
        <i x="1" s="1"/>
        <i x="12" s="1"/>
        <i x="0" s="1"/>
        <i x="7" s="1"/>
        <i x="13" s="1"/>
        <i x="4" s="1"/>
        <i x="5" s="1"/>
        <i x="10" s="1"/>
        <i x="11" s="1"/>
        <i x="1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Tiers" xr10:uid="{B1EA57B5-B053-4E4E-974F-4D73C253EBA8}" sourceName="Experience Tiers">
  <pivotTables>
    <pivotTable tabId="12" name="PivotTable4"/>
  </pivotTables>
  <data>
    <tabular pivotCacheId="97023345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kemon Types" xr10:uid="{99AC2575-8C3E-470F-9447-B6C326F1E38F}" cache="Slicer_type_1" caption="Pokemon Types" rowHeight="257175"/>
  <slicer name="Experience Tiers" xr10:uid="{8D8DBEC0-CD67-4644-8019-3999A881AF29}" cache="Slicer_Experience_Tiers" caption="Experience Tier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9102BB-C806-4E1E-899F-EAE21D385745}" name="Table1" displayName="Table1" ref="A1:U251" totalsRowShown="0" headerRowDxfId="16">
  <autoFilter ref="A1:U251" xr:uid="{DB023621-8E94-47C6-B44D-7008C9A57A2B}">
    <filterColumn colId="5">
      <filters>
        <filter val="dark"/>
      </filters>
    </filterColumn>
    <filterColumn colId="20">
      <filters>
        <filter val="Gen 1"/>
      </filters>
    </filterColumn>
  </autoFilter>
  <sortState xmlns:xlrd2="http://schemas.microsoft.com/office/spreadsheetml/2017/richdata2" ref="A2:T251">
    <sortCondition ref="A1:A251"/>
  </sortState>
  <tableColumns count="21">
    <tableColumn id="1" xr3:uid="{B6F6A0C3-0E96-4DF8-91A1-37FDBE605F31}" name="pokedex_id"/>
    <tableColumn id="2" xr3:uid="{FCD1D2AD-F1BF-42C7-A3FF-A32FDDA7F25F}" name="name"/>
    <tableColumn id="3" xr3:uid="{77771DB8-6F46-4EA0-85E7-952BC2A7B960}" name="height"/>
    <tableColumn id="4" xr3:uid="{EBF7BB31-FAEB-4A51-9EE7-B7D5D45B7794}" name="weight"/>
    <tableColumn id="5" xr3:uid="{F48F28A1-5CCE-456C-9C38-42D59D162204}" name="base_experience"/>
    <tableColumn id="6" xr3:uid="{73B002FE-ABFF-470E-A8E3-B64BACBD71B0}" name="type_1"/>
    <tableColumn id="7" xr3:uid="{7F2F7740-3AC7-4A79-94F9-4F02E44FDD95}" name="type_2"/>
    <tableColumn id="8" xr3:uid="{DB3B6571-C489-4C33-B479-D8D952C7E934}" name="hp"/>
    <tableColumn id="9" xr3:uid="{8447949A-5A8F-40FE-A9D2-4DFBB4CBE3C4}" name="attack"/>
    <tableColumn id="10" xr3:uid="{0AD22F9A-6828-4895-B8B2-8FD117FAEF34}" name="defense"/>
    <tableColumn id="11" xr3:uid="{C9FC00A1-3D0C-498A-A4DD-CAF1212FD1DB}" name="special_attack"/>
    <tableColumn id="12" xr3:uid="{94C90864-AC1E-45BE-876E-8C0F84B630FE}" name="special_defense"/>
    <tableColumn id="13" xr3:uid="{9AA9B33C-2BBC-4040-B997-F222A10BBB85}" name="speed"/>
    <tableColumn id="14" xr3:uid="{79E1FD50-9020-483C-8C3A-105FC5F24C3B}" name="Total Stats">
      <calculatedColumnFormula>SUM(H2:M2)</calculatedColumnFormula>
    </tableColumn>
    <tableColumn id="15" xr3:uid="{FA1EED2E-29FA-4D5A-8E24-DB0BB8DE39C9}" name="Average Stats" dataDxfId="15">
      <calculatedColumnFormula>AVERAGE(H2:M2)</calculatedColumnFormula>
    </tableColumn>
    <tableColumn id="16" xr3:uid="{0817B8DA-4FEF-4123-903B-C62B42BEAC13}" name="BMI Metric (Weight/Height Ratio)" dataDxfId="14">
      <calculatedColumnFormula>D2/C2</calculatedColumnFormula>
    </tableColumn>
    <tableColumn id="17" xr3:uid="{9095CB07-8395-4FA5-B087-61DAE68937C2}" name="Type Count">
      <calculatedColumnFormula>IF(G2="None", 1,2)</calculatedColumnFormula>
    </tableColumn>
    <tableColumn id="18" xr3:uid="{E68BED9E-A924-42A8-9758-AF6C3ED2A09F}" name="Experience Tiers">
      <calculatedColumnFormula>IF(E2&lt;100,"Low",IF(E2&lt;200,"Medium",IF(E2&lt;250,"HIGH",IF(E2&gt;250,"Legendary"))))</calculatedColumnFormula>
    </tableColumn>
    <tableColumn id="19" xr3:uid="{1BFB4999-C518-44A0-ADA7-284A0D4A5BA7}" name="Total Offensive Power" dataDxfId="13">
      <calculatedColumnFormula>I2+K2</calculatedColumnFormula>
    </tableColumn>
    <tableColumn id="20" xr3:uid="{7296CCFA-9B77-49FA-8F67-F3E3C3CFC710}" name="Total Defensive Power">
      <calculatedColumnFormula>J2+L2</calculatedColumnFormula>
    </tableColumn>
    <tableColumn id="21" xr3:uid="{2F5E861F-375D-49C2-B4A0-7224F72A61BD}" name="Generation">
      <calculatedColumnFormula>IF(A3 &lt;= 151, "Gen 1", IF(A3 &gt; 151, "Gen 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3F55B-844E-44DE-A36D-EB5031DC4CB4}">
  <dimension ref="A1:H16"/>
  <sheetViews>
    <sheetView workbookViewId="0">
      <selection activeCell="J10" sqref="J10"/>
    </sheetView>
  </sheetViews>
  <sheetFormatPr defaultRowHeight="15" x14ac:dyDescent="0.25"/>
  <cols>
    <col min="1" max="1" width="26" customWidth="1"/>
    <col min="4" max="4" width="20" customWidth="1"/>
    <col min="5" max="5" width="13" customWidth="1"/>
    <col min="6" max="6" width="13.5703125" customWidth="1"/>
  </cols>
  <sheetData>
    <row r="1" spans="1:8" ht="15" customHeight="1" x14ac:dyDescent="0.35">
      <c r="A1" s="104" t="s">
        <v>290</v>
      </c>
      <c r="B1" s="105"/>
      <c r="C1" s="105"/>
      <c r="D1" s="105"/>
      <c r="E1" s="105"/>
      <c r="F1" s="106"/>
      <c r="G1" s="51"/>
      <c r="H1" s="51"/>
    </row>
    <row r="2" spans="1:8" ht="15" customHeight="1" x14ac:dyDescent="0.35">
      <c r="A2" s="107"/>
      <c r="B2" s="108"/>
      <c r="C2" s="108"/>
      <c r="D2" s="108"/>
      <c r="E2" s="108"/>
      <c r="F2" s="109"/>
      <c r="G2" s="51"/>
      <c r="H2" s="51"/>
    </row>
    <row r="3" spans="1:8" ht="15.75" thickBot="1" x14ac:dyDescent="0.3">
      <c r="A3" s="5"/>
      <c r="F3" s="6"/>
    </row>
    <row r="4" spans="1:8" x14ac:dyDescent="0.25">
      <c r="A4" s="9" t="s">
        <v>286</v>
      </c>
      <c r="B4" s="10" t="s">
        <v>299</v>
      </c>
      <c r="D4" s="9" t="s">
        <v>300</v>
      </c>
      <c r="E4" s="15" t="s">
        <v>299</v>
      </c>
      <c r="F4" s="10" t="s">
        <v>301</v>
      </c>
    </row>
    <row r="5" spans="1:8" x14ac:dyDescent="0.25">
      <c r="A5" s="11" t="s">
        <v>287</v>
      </c>
      <c r="B5" s="6">
        <f>COUNTA('Clean Data'!A:A)-1</f>
        <v>250</v>
      </c>
      <c r="D5" s="5" t="s">
        <v>302</v>
      </c>
      <c r="E5">
        <f>MAX('Clean Data'!H:H)</f>
        <v>255</v>
      </c>
      <c r="F5" s="6" t="str">
        <f>INDEX('Clean Data'!B:B, MATCH(MAX('Clean Data'!H:H),'Clean Data'!H:H,0))</f>
        <v>Blissey</v>
      </c>
    </row>
    <row r="6" spans="1:8" x14ac:dyDescent="0.25">
      <c r="A6" s="11" t="s">
        <v>288</v>
      </c>
      <c r="B6" s="6">
        <f>AVERAGE('Clean Data'!C:C)</f>
        <v>11.843999999999999</v>
      </c>
      <c r="D6" s="5" t="s">
        <v>303</v>
      </c>
      <c r="E6">
        <f>MAX('Clean Data'!I:I)</f>
        <v>134</v>
      </c>
      <c r="F6" s="6" t="str">
        <f>INDEX('Clean Data'!B:B, MATCH(MAX('Clean Data'!I:I),'Clean Data'!I:I,0))</f>
        <v>Dragonite</v>
      </c>
    </row>
    <row r="7" spans="1:8" x14ac:dyDescent="0.25">
      <c r="A7" s="11" t="s">
        <v>289</v>
      </c>
      <c r="B7" s="6">
        <f>AVERAGE('Clean Data'!D:D)</f>
        <v>473.76799999999997</v>
      </c>
      <c r="D7" s="5" t="s">
        <v>304</v>
      </c>
      <c r="E7">
        <f>MAX('Clean Data'!J:J)</f>
        <v>230</v>
      </c>
      <c r="F7" s="6" t="str">
        <f>INDEX('Clean Data'!B:B, MATCH(MAX('Clean Data'!J:J),'Clean Data'!J:J,0))</f>
        <v>Shuckle</v>
      </c>
    </row>
    <row r="8" spans="1:8" x14ac:dyDescent="0.25">
      <c r="A8" s="11" t="s">
        <v>291</v>
      </c>
      <c r="B8" s="6">
        <f>AVERAGE('Clean Data'!E:E)</f>
        <v>136.244</v>
      </c>
      <c r="D8" s="5" t="s">
        <v>305</v>
      </c>
      <c r="E8">
        <f>MAX('Clean Data'!M:M)</f>
        <v>150</v>
      </c>
      <c r="F8" s="6" t="str">
        <f>INDEX('Clean Data'!B:B, MATCH(MAX('Clean Data'!M:M),'Clean Data'!M:M,0))</f>
        <v>Electrode</v>
      </c>
    </row>
    <row r="9" spans="1:8" x14ac:dyDescent="0.25">
      <c r="A9" s="11" t="s">
        <v>292</v>
      </c>
      <c r="B9" s="6">
        <f>AVERAGE('Clean Data'!H:H)</f>
        <v>66.775999999999996</v>
      </c>
      <c r="D9" s="5" t="s">
        <v>306</v>
      </c>
      <c r="E9">
        <f>MAX('Clean Data'!N:N)</f>
        <v>680</v>
      </c>
      <c r="F9" s="6" t="str">
        <f>INDEX('Clean Data'!B:B, MATCH(MAX('Clean Data'!N:N),'Clean Data'!N:N,0))</f>
        <v>Mewtwo</v>
      </c>
    </row>
    <row r="10" spans="1:8" x14ac:dyDescent="0.25">
      <c r="A10" s="11" t="s">
        <v>293</v>
      </c>
      <c r="B10" s="6">
        <f>AVERAGE('Clean Data'!I:I)</f>
        <v>70.944000000000003</v>
      </c>
      <c r="D10" s="5" t="s">
        <v>307</v>
      </c>
      <c r="E10">
        <f>MAX('Clean Data'!D:D)</f>
        <v>4600</v>
      </c>
      <c r="F10" s="6" t="str">
        <f>INDEX('Clean Data'!B:B, MATCH(MAX('Clean Data'!D:D),'Clean Data'!D:D,0))</f>
        <v>Snorlax</v>
      </c>
    </row>
    <row r="11" spans="1:8" x14ac:dyDescent="0.25">
      <c r="A11" s="11" t="s">
        <v>294</v>
      </c>
      <c r="B11" s="6">
        <f>AVERAGE('Clean Data'!J:J)</f>
        <v>68.683999999999997</v>
      </c>
      <c r="D11" s="5" t="s">
        <v>308</v>
      </c>
      <c r="E11">
        <f>MAX('Clean Data'!C:C)</f>
        <v>92</v>
      </c>
      <c r="F11" s="6" t="str">
        <f>INDEX('Clean Data'!B:B, MATCH(MAX('Clean Data'!C:C),'Clean Data'!C:C,0))</f>
        <v>Steelix</v>
      </c>
    </row>
    <row r="12" spans="1:8" x14ac:dyDescent="0.25">
      <c r="A12" s="11" t="s">
        <v>295</v>
      </c>
      <c r="B12" s="6">
        <f>AVERAGE('Clean Data'!K:K)</f>
        <v>65.951999999999998</v>
      </c>
      <c r="D12" s="5" t="s">
        <v>310</v>
      </c>
      <c r="E12">
        <f>MAX('Clean Data'!K:K)</f>
        <v>154</v>
      </c>
      <c r="F12" s="6" t="str">
        <f>INDEX('Clean Data'!B:B, MATCH(MAX('Clean Data'!K:K),'Clean Data'!K:K,0))</f>
        <v>Mewtwo</v>
      </c>
    </row>
    <row r="13" spans="1:8" ht="15.75" thickBot="1" x14ac:dyDescent="0.3">
      <c r="A13" s="11" t="s">
        <v>296</v>
      </c>
      <c r="B13" s="6">
        <f>AVERAGE('Clean Data'!L:L)</f>
        <v>68.451999999999998</v>
      </c>
      <c r="D13" s="7" t="s">
        <v>309</v>
      </c>
      <c r="E13" s="14">
        <f>MAX('Clean Data'!L:L)</f>
        <v>230</v>
      </c>
      <c r="F13" s="8" t="str">
        <f>INDEX('Clean Data'!B:B, MATCH(MAX('Clean Data'!L:L),'Clean Data'!L:L,0))</f>
        <v>Shuckle</v>
      </c>
    </row>
    <row r="14" spans="1:8" x14ac:dyDescent="0.25">
      <c r="A14" s="11" t="s">
        <v>297</v>
      </c>
      <c r="B14" s="6">
        <f>AVERAGE('Clean Data'!M:M)</f>
        <v>65.88</v>
      </c>
      <c r="F14" s="6"/>
    </row>
    <row r="15" spans="1:8" ht="15.75" thickBot="1" x14ac:dyDescent="0.3">
      <c r="A15" s="12" t="s">
        <v>298</v>
      </c>
      <c r="B15" s="8">
        <f>AVERAGE('Clean Data'!N:N)</f>
        <v>406.68799999999999</v>
      </c>
      <c r="F15" s="6"/>
    </row>
    <row r="16" spans="1:8" ht="15.75" thickBot="1" x14ac:dyDescent="0.3">
      <c r="A16" s="7"/>
      <c r="B16" s="14"/>
      <c r="C16" s="14"/>
      <c r="D16" s="14"/>
      <c r="E16" s="14"/>
      <c r="F16" s="8"/>
    </row>
  </sheetData>
  <mergeCells count="1">
    <mergeCell ref="A1: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EA9FD-7C1B-4438-AE7F-D62E6BC85AA6}">
  <sheetPr>
    <tabColor rgb="FF00B0F0"/>
  </sheetPr>
  <dimension ref="B1:N60"/>
  <sheetViews>
    <sheetView tabSelected="1" topLeftCell="A37" zoomScaleNormal="100" workbookViewId="0">
      <selection activeCell="N21" sqref="N21"/>
    </sheetView>
  </sheetViews>
  <sheetFormatPr defaultRowHeight="15" x14ac:dyDescent="0.25"/>
  <cols>
    <col min="1" max="1" width="2.7109375" style="65" customWidth="1"/>
    <col min="2" max="14" width="8.7109375" style="65" customWidth="1"/>
    <col min="15" max="16384" width="9.140625" style="65"/>
  </cols>
  <sheetData>
    <row r="1" spans="2:14" ht="20.100000000000001" customHeight="1" x14ac:dyDescent="0.25"/>
    <row r="2" spans="2:14" ht="20.100000000000001" customHeight="1" x14ac:dyDescent="0.25">
      <c r="B2" s="71" t="s">
        <v>404</v>
      </c>
      <c r="C2" s="72"/>
      <c r="D2" s="72"/>
      <c r="E2" s="72"/>
      <c r="F2" s="72"/>
      <c r="G2" s="72"/>
      <c r="H2" s="72"/>
      <c r="I2" s="72"/>
      <c r="J2" s="72"/>
      <c r="K2" s="72"/>
      <c r="L2" s="72"/>
      <c r="M2" s="72"/>
      <c r="N2" s="72"/>
    </row>
    <row r="3" spans="2:14" ht="20.100000000000001" customHeight="1" x14ac:dyDescent="0.25">
      <c r="B3" s="71"/>
      <c r="C3" s="72"/>
      <c r="D3" s="72"/>
      <c r="E3" s="72"/>
      <c r="F3" s="72"/>
      <c r="G3" s="72"/>
      <c r="H3" s="72"/>
      <c r="I3" s="72"/>
      <c r="J3" s="72"/>
      <c r="K3" s="72"/>
      <c r="L3" s="72"/>
      <c r="M3" s="72"/>
      <c r="N3" s="72"/>
    </row>
    <row r="4" spans="2:14" ht="20.100000000000001" customHeight="1" x14ac:dyDescent="0.25">
      <c r="B4" s="73" t="s">
        <v>405</v>
      </c>
      <c r="C4" s="73"/>
      <c r="D4" s="73"/>
      <c r="E4" s="73"/>
      <c r="F4" s="73"/>
      <c r="G4" s="73"/>
      <c r="H4" s="73"/>
      <c r="I4" s="73"/>
      <c r="J4" s="73"/>
      <c r="K4" s="73"/>
      <c r="L4" s="73"/>
      <c r="M4" s="73"/>
      <c r="N4" s="73"/>
    </row>
    <row r="5" spans="2:14" ht="20.100000000000001" customHeight="1" thickBot="1" x14ac:dyDescent="0.3"/>
    <row r="6" spans="2:14" ht="20.100000000000001" customHeight="1" x14ac:dyDescent="0.25">
      <c r="B6" s="74" t="s">
        <v>287</v>
      </c>
      <c r="C6" s="75"/>
      <c r="D6" s="76"/>
      <c r="E6" s="83" t="s">
        <v>407</v>
      </c>
      <c r="F6" s="84"/>
      <c r="G6" s="85"/>
      <c r="H6" s="96" t="s">
        <v>409</v>
      </c>
      <c r="I6" s="97"/>
      <c r="J6" s="98"/>
      <c r="K6" s="101" t="s">
        <v>328</v>
      </c>
      <c r="L6" s="102"/>
      <c r="M6" s="103"/>
    </row>
    <row r="7" spans="2:14" ht="20.100000000000001" customHeight="1" x14ac:dyDescent="0.25">
      <c r="B7" s="77">
        <f>COUNTA('Clean Data'!A:A)-1</f>
        <v>250</v>
      </c>
      <c r="C7" s="78"/>
      <c r="D7" s="79"/>
      <c r="E7" s="86">
        <f>ROUND(AVERAGE('Clean Data'!O2:O251),0)</f>
        <v>68</v>
      </c>
      <c r="F7" s="78"/>
      <c r="G7" s="79"/>
      <c r="H7" s="77">
        <f>COUNTA(_xlfn.UNIQUE('Clean Data'!F2:F251))</f>
        <v>17</v>
      </c>
      <c r="I7" s="78"/>
      <c r="J7" s="79"/>
      <c r="K7" s="77">
        <v>14</v>
      </c>
      <c r="L7" s="78"/>
      <c r="M7" s="79"/>
    </row>
    <row r="8" spans="2:14" ht="20.100000000000001" customHeight="1" x14ac:dyDescent="0.25">
      <c r="B8" s="77"/>
      <c r="C8" s="78"/>
      <c r="D8" s="79"/>
      <c r="E8" s="77"/>
      <c r="F8" s="78"/>
      <c r="G8" s="79"/>
      <c r="H8" s="77"/>
      <c r="I8" s="78"/>
      <c r="J8" s="79"/>
      <c r="K8" s="77"/>
      <c r="L8" s="78"/>
      <c r="M8" s="79"/>
    </row>
    <row r="9" spans="2:14" ht="20.100000000000001" customHeight="1" thickBot="1" x14ac:dyDescent="0.3">
      <c r="B9" s="80" t="s">
        <v>406</v>
      </c>
      <c r="C9" s="81"/>
      <c r="D9" s="82"/>
      <c r="E9" s="80" t="s">
        <v>408</v>
      </c>
      <c r="F9" s="81"/>
      <c r="G9" s="82"/>
      <c r="H9" s="80" t="s">
        <v>410</v>
      </c>
      <c r="I9" s="99"/>
      <c r="J9" s="100"/>
      <c r="K9" s="80" t="s">
        <v>411</v>
      </c>
      <c r="L9" s="99"/>
      <c r="M9" s="100"/>
    </row>
    <row r="10" spans="2:14" ht="20.100000000000001" customHeight="1" thickBot="1" x14ac:dyDescent="0.3"/>
    <row r="11" spans="2:14" ht="20.100000000000001" customHeight="1" x14ac:dyDescent="0.25">
      <c r="B11" s="87" t="s">
        <v>412</v>
      </c>
      <c r="C11" s="88"/>
      <c r="D11" s="88"/>
      <c r="E11" s="88"/>
      <c r="F11" s="88"/>
      <c r="G11" s="89"/>
      <c r="H11" s="93" t="s">
        <v>413</v>
      </c>
      <c r="I11" s="94"/>
      <c r="J11" s="94"/>
      <c r="K11" s="94"/>
      <c r="L11" s="94"/>
      <c r="M11" s="95"/>
    </row>
    <row r="12" spans="2:14" ht="20.100000000000001" customHeight="1" x14ac:dyDescent="0.25">
      <c r="B12" s="77" t="str">
        <f>INDEX('Clean Data'!B2:B251,MATCH(MAX('Clean Data'!N2:N251), 'Clean Data'!N2:N251,0))</f>
        <v>Mewtwo</v>
      </c>
      <c r="C12" s="78"/>
      <c r="D12" s="78"/>
      <c r="E12" s="78"/>
      <c r="F12" s="78"/>
      <c r="G12" s="79"/>
      <c r="H12" s="77" t="str">
        <f>INDEX('Clean Data'!B2:B251,MATCH(MAX('Clean Data'!M2:M251),'Clean Data'!M2:M251,0))</f>
        <v>Electrode</v>
      </c>
      <c r="I12" s="78"/>
      <c r="J12" s="78"/>
      <c r="K12" s="78"/>
      <c r="L12" s="78"/>
      <c r="M12" s="79"/>
    </row>
    <row r="13" spans="2:14" ht="20.100000000000001" customHeight="1" x14ac:dyDescent="0.25">
      <c r="B13" s="77"/>
      <c r="C13" s="78"/>
      <c r="D13" s="78"/>
      <c r="E13" s="78"/>
      <c r="F13" s="78"/>
      <c r="G13" s="79"/>
      <c r="H13" s="77"/>
      <c r="I13" s="78"/>
      <c r="J13" s="78"/>
      <c r="K13" s="78"/>
      <c r="L13" s="78"/>
      <c r="M13" s="79"/>
    </row>
    <row r="14" spans="2:14" ht="20.100000000000001" customHeight="1" thickBot="1" x14ac:dyDescent="0.3">
      <c r="B14" s="90" t="str">
        <f>"BST: " &amp; MAX('Clean Data'!N2:N251)</f>
        <v>BST: 680</v>
      </c>
      <c r="C14" s="91"/>
      <c r="D14" s="91"/>
      <c r="E14" s="91"/>
      <c r="F14" s="91"/>
      <c r="G14" s="92"/>
      <c r="H14" s="90" t="str">
        <f>"Speed: " &amp; MAX('Clean Data'!M2:M251)</f>
        <v>Speed: 150</v>
      </c>
      <c r="I14" s="91"/>
      <c r="J14" s="91"/>
      <c r="K14" s="91"/>
      <c r="L14" s="91"/>
      <c r="M14" s="92"/>
    </row>
    <row r="15" spans="2:14" ht="20.100000000000001" customHeight="1" x14ac:dyDescent="0.25"/>
    <row r="16" spans="2:14" ht="20.100000000000001" customHeight="1" x14ac:dyDescent="0.25">
      <c r="B16" s="70" t="s">
        <v>414</v>
      </c>
      <c r="C16" s="70"/>
      <c r="D16" s="70"/>
      <c r="E16" s="70"/>
      <c r="F16" s="70"/>
      <c r="G16" s="70"/>
      <c r="H16" s="70"/>
      <c r="I16" s="70"/>
      <c r="J16" s="70"/>
      <c r="K16" s="70"/>
      <c r="L16" s="70"/>
      <c r="M16" s="70"/>
      <c r="N16" s="70"/>
    </row>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s="65" customFormat="1" ht="20.100000000000001" customHeight="1" x14ac:dyDescent="0.25"/>
    <row r="34" s="65" customFormat="1" ht="20.100000000000001" customHeight="1" x14ac:dyDescent="0.25"/>
    <row r="35" s="65" customFormat="1" ht="20.100000000000001" customHeight="1" x14ac:dyDescent="0.25"/>
    <row r="36" s="65" customFormat="1" ht="20.100000000000001" customHeight="1" x14ac:dyDescent="0.25"/>
    <row r="37" s="65" customFormat="1" ht="20.100000000000001" customHeight="1" x14ac:dyDescent="0.25"/>
    <row r="38" s="65" customFormat="1" ht="20.100000000000001" customHeight="1" x14ac:dyDescent="0.25"/>
    <row r="39" s="65" customFormat="1" ht="20.100000000000001" customHeight="1" x14ac:dyDescent="0.25"/>
    <row r="40" s="65" customFormat="1" ht="20.100000000000001" customHeight="1" x14ac:dyDescent="0.25"/>
    <row r="41" s="65" customFormat="1" ht="20.100000000000001" customHeight="1" x14ac:dyDescent="0.25"/>
    <row r="42" s="65" customFormat="1" ht="20.100000000000001" customHeight="1" x14ac:dyDescent="0.25"/>
    <row r="43" s="65" customFormat="1" ht="20.100000000000001" customHeight="1" x14ac:dyDescent="0.25"/>
    <row r="44" s="65" customFormat="1" ht="20.100000000000001" customHeight="1" x14ac:dyDescent="0.25"/>
    <row r="45" s="65" customFormat="1" ht="20.100000000000001" customHeight="1" x14ac:dyDescent="0.25"/>
    <row r="46" s="65" customFormat="1" ht="20.100000000000001" customHeight="1" x14ac:dyDescent="0.25"/>
    <row r="47" s="65" customFormat="1" ht="20.100000000000001" customHeight="1" x14ac:dyDescent="0.25"/>
    <row r="48" s="65" customFormat="1" ht="20.100000000000001" customHeight="1" x14ac:dyDescent="0.25"/>
    <row r="49" s="65" customFormat="1" ht="20.100000000000001" customHeight="1" x14ac:dyDescent="0.25"/>
    <row r="50" s="65" customFormat="1" ht="20.100000000000001" customHeight="1" x14ac:dyDescent="0.25"/>
    <row r="51" s="65" customFormat="1" ht="20.100000000000001" customHeight="1" x14ac:dyDescent="0.25"/>
    <row r="52" s="65" customFormat="1" ht="20.100000000000001" customHeight="1" x14ac:dyDescent="0.25"/>
    <row r="53" s="65" customFormat="1" ht="20.100000000000001" customHeight="1" x14ac:dyDescent="0.25"/>
    <row r="54" s="65" customFormat="1" ht="20.100000000000001" customHeight="1" x14ac:dyDescent="0.25"/>
    <row r="55" s="65" customFormat="1" ht="20.100000000000001" customHeight="1" x14ac:dyDescent="0.25"/>
    <row r="56" s="65" customFormat="1" ht="20.100000000000001" customHeight="1" x14ac:dyDescent="0.25"/>
    <row r="57" s="65" customFormat="1" ht="20.100000000000001" customHeight="1" x14ac:dyDescent="0.25"/>
    <row r="58" s="65" customFormat="1" ht="20.100000000000001" customHeight="1" x14ac:dyDescent="0.25"/>
    <row r="59" s="65" customFormat="1" ht="20.100000000000001" customHeight="1" x14ac:dyDescent="0.25"/>
    <row r="60" s="65" customFormat="1" ht="20.100000000000001" customHeight="1" x14ac:dyDescent="0.25"/>
  </sheetData>
  <mergeCells count="21">
    <mergeCell ref="H7:J8"/>
    <mergeCell ref="H9:J9"/>
    <mergeCell ref="K6:M6"/>
    <mergeCell ref="K7:M8"/>
    <mergeCell ref="K9:M9"/>
    <mergeCell ref="B16:N16"/>
    <mergeCell ref="B2:N3"/>
    <mergeCell ref="B4:N4"/>
    <mergeCell ref="B6:D6"/>
    <mergeCell ref="B7:D8"/>
    <mergeCell ref="B9:D9"/>
    <mergeCell ref="E6:G6"/>
    <mergeCell ref="E7:G8"/>
    <mergeCell ref="B11:G11"/>
    <mergeCell ref="B12:G13"/>
    <mergeCell ref="B14:G14"/>
    <mergeCell ref="H11:M11"/>
    <mergeCell ref="H12:M13"/>
    <mergeCell ref="H14:M14"/>
    <mergeCell ref="E9:G9"/>
    <mergeCell ref="H6:J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FB5B1-4598-4DB1-B75A-160CB78CA350}">
  <dimension ref="A1:Y66"/>
  <sheetViews>
    <sheetView zoomScaleNormal="100" workbookViewId="0">
      <selection activeCell="J28" sqref="J28"/>
    </sheetView>
  </sheetViews>
  <sheetFormatPr defaultRowHeight="15" x14ac:dyDescent="0.25"/>
  <cols>
    <col min="1" max="1" width="13.42578125" bestFit="1" customWidth="1"/>
    <col min="2" max="2" width="14.42578125" bestFit="1" customWidth="1"/>
    <col min="3" max="3" width="13.28515625" bestFit="1" customWidth="1"/>
    <col min="4" max="4" width="16.42578125" bestFit="1" customWidth="1"/>
    <col min="5" max="5" width="18.5703125" bestFit="1" customWidth="1"/>
    <col min="6" max="6" width="24" bestFit="1" customWidth="1"/>
    <col min="7" max="7" width="26.140625" bestFit="1" customWidth="1"/>
    <col min="8" max="8" width="16.5703125" bestFit="1" customWidth="1"/>
    <col min="9" max="9" width="20.5703125" bestFit="1" customWidth="1"/>
    <col min="10" max="10" width="7.28515625" bestFit="1" customWidth="1"/>
    <col min="11" max="11" width="3.7109375" bestFit="1" customWidth="1"/>
    <col min="12" max="12" width="5.85546875" bestFit="1" customWidth="1"/>
    <col min="13" max="13" width="7.140625" bestFit="1" customWidth="1"/>
    <col min="14" max="14" width="7.85546875" bestFit="1" customWidth="1"/>
    <col min="15" max="15" width="4.85546875" bestFit="1" customWidth="1"/>
    <col min="16" max="16" width="5.5703125" bestFit="1" customWidth="1"/>
    <col min="17" max="17" width="6" bestFit="1" customWidth="1"/>
    <col min="18" max="18" width="11.28515625" bestFit="1" customWidth="1"/>
    <col min="19" max="19" width="13.42578125" bestFit="1" customWidth="1"/>
    <col min="20" max="20" width="16.42578125" bestFit="1" customWidth="1"/>
    <col min="21" max="21" width="18.5703125" bestFit="1" customWidth="1"/>
    <col min="22" max="22" width="24" bestFit="1" customWidth="1"/>
    <col min="23" max="23" width="26.140625" bestFit="1" customWidth="1"/>
    <col min="24" max="24" width="16.5703125" bestFit="1" customWidth="1"/>
    <col min="25" max="25" width="13.28515625" bestFit="1" customWidth="1"/>
    <col min="26" max="26" width="10" bestFit="1" customWidth="1"/>
  </cols>
  <sheetData>
    <row r="1" spans="1:25" x14ac:dyDescent="0.25">
      <c r="A1" s="66" t="s">
        <v>5</v>
      </c>
      <c r="B1" t="s">
        <v>418</v>
      </c>
    </row>
    <row r="3" spans="1:25" x14ac:dyDescent="0.25">
      <c r="A3" s="66" t="s">
        <v>311</v>
      </c>
      <c r="B3" t="s">
        <v>417</v>
      </c>
    </row>
    <row r="4" spans="1:25" x14ac:dyDescent="0.25">
      <c r="A4" s="67" t="s">
        <v>173</v>
      </c>
      <c r="B4" s="193">
        <v>580</v>
      </c>
      <c r="S4" s="66" t="s">
        <v>311</v>
      </c>
      <c r="T4" t="s">
        <v>318</v>
      </c>
      <c r="U4" t="s">
        <v>317</v>
      </c>
      <c r="V4" t="s">
        <v>316</v>
      </c>
      <c r="W4" t="s">
        <v>315</v>
      </c>
      <c r="X4" t="s">
        <v>314</v>
      </c>
      <c r="Y4" t="s">
        <v>319</v>
      </c>
    </row>
    <row r="5" spans="1:25" x14ac:dyDescent="0.25">
      <c r="A5" s="67" t="s">
        <v>179</v>
      </c>
      <c r="B5" s="193">
        <v>600</v>
      </c>
      <c r="S5" s="67" t="s">
        <v>29</v>
      </c>
      <c r="T5" s="2">
        <v>66.13636363636364</v>
      </c>
      <c r="U5" s="2">
        <v>70.681818181818187</v>
      </c>
      <c r="V5" s="2">
        <v>47.272727272727273</v>
      </c>
      <c r="W5" s="2">
        <v>68.63636363636364</v>
      </c>
      <c r="X5" s="2">
        <v>54.545454545454547</v>
      </c>
      <c r="Y5" s="2">
        <v>55.909090909090907</v>
      </c>
    </row>
    <row r="6" spans="1:25" x14ac:dyDescent="0.25">
      <c r="A6" s="67" t="s">
        <v>275</v>
      </c>
      <c r="B6" s="193">
        <v>580</v>
      </c>
      <c r="S6" s="67" t="s">
        <v>228</v>
      </c>
      <c r="T6" s="2">
        <v>79</v>
      </c>
      <c r="U6" s="2">
        <v>57.4</v>
      </c>
      <c r="V6" s="2">
        <v>74</v>
      </c>
      <c r="W6" s="2">
        <v>75.400000000000006</v>
      </c>
      <c r="X6" s="2">
        <v>86.2</v>
      </c>
      <c r="Y6" s="2">
        <v>66</v>
      </c>
    </row>
    <row r="7" spans="1:25" x14ac:dyDescent="0.25">
      <c r="A7" s="67" t="s">
        <v>281</v>
      </c>
      <c r="B7" s="193">
        <v>680</v>
      </c>
      <c r="S7" s="67" t="s">
        <v>177</v>
      </c>
      <c r="T7" s="2">
        <v>94</v>
      </c>
      <c r="U7" s="2">
        <v>68.333333333333329</v>
      </c>
      <c r="V7" s="2">
        <v>73.333333333333329</v>
      </c>
      <c r="W7" s="2">
        <v>73.333333333333329</v>
      </c>
      <c r="X7" s="2">
        <v>66.666666666666671</v>
      </c>
      <c r="Y7" s="2">
        <v>64.333333333333329</v>
      </c>
    </row>
    <row r="8" spans="1:25" x14ac:dyDescent="0.25">
      <c r="A8" s="67" t="s">
        <v>280</v>
      </c>
      <c r="B8" s="193">
        <v>680</v>
      </c>
      <c r="S8" s="67" t="s">
        <v>46</v>
      </c>
      <c r="T8" s="2">
        <v>61.06666666666667</v>
      </c>
      <c r="U8" s="2">
        <v>59.266666666666666</v>
      </c>
      <c r="V8" s="2">
        <v>86.333333333333329</v>
      </c>
      <c r="W8" s="2">
        <v>69.666666666666671</v>
      </c>
      <c r="X8" s="2">
        <v>87</v>
      </c>
      <c r="Y8" s="2">
        <v>57.333333333333336</v>
      </c>
    </row>
    <row r="9" spans="1:25" x14ac:dyDescent="0.25">
      <c r="A9" s="67" t="s">
        <v>181</v>
      </c>
      <c r="B9" s="193">
        <v>600</v>
      </c>
      <c r="S9" s="67" t="s">
        <v>58</v>
      </c>
      <c r="T9" s="2">
        <v>57.142857142857146</v>
      </c>
      <c r="U9" s="2">
        <v>60.571428571428569</v>
      </c>
      <c r="V9" s="2">
        <v>60</v>
      </c>
      <c r="W9" s="2">
        <v>68.571428571428569</v>
      </c>
      <c r="X9" s="2">
        <v>35</v>
      </c>
      <c r="Y9" s="2">
        <v>65</v>
      </c>
    </row>
    <row r="10" spans="1:25" x14ac:dyDescent="0.25">
      <c r="A10" s="67" t="s">
        <v>180</v>
      </c>
      <c r="B10" s="193">
        <v>680</v>
      </c>
      <c r="S10" s="67" t="s">
        <v>80</v>
      </c>
      <c r="T10" s="2">
        <v>94.444444444444443</v>
      </c>
      <c r="U10" s="2">
        <v>61.888888888888886</v>
      </c>
      <c r="V10" s="2">
        <v>42.777777777777779</v>
      </c>
      <c r="W10" s="2">
        <v>73.333333333333329</v>
      </c>
      <c r="X10" s="2">
        <v>63.111111111111114</v>
      </c>
      <c r="Y10" s="2">
        <v>58.888888888888886</v>
      </c>
    </row>
    <row r="11" spans="1:25" x14ac:dyDescent="0.25">
      <c r="A11" s="67" t="s">
        <v>175</v>
      </c>
      <c r="B11" s="193">
        <v>580</v>
      </c>
      <c r="S11" s="67" t="s">
        <v>19</v>
      </c>
      <c r="T11" s="2">
        <v>80.849999999999994</v>
      </c>
      <c r="U11" s="2">
        <v>65.099999999999994</v>
      </c>
      <c r="V11" s="2">
        <v>84.7</v>
      </c>
      <c r="W11" s="2">
        <v>76.2</v>
      </c>
      <c r="X11" s="2">
        <v>78.8</v>
      </c>
      <c r="Y11" s="2">
        <v>65.349999999999994</v>
      </c>
    </row>
    <row r="12" spans="1:25" x14ac:dyDescent="0.25">
      <c r="A12" s="67" t="s">
        <v>274</v>
      </c>
      <c r="B12" s="193">
        <v>580</v>
      </c>
      <c r="S12" s="67" t="s">
        <v>121</v>
      </c>
      <c r="T12" s="2">
        <v>52.5</v>
      </c>
      <c r="U12" s="2">
        <v>48.75</v>
      </c>
      <c r="V12" s="2">
        <v>107.5</v>
      </c>
      <c r="W12" s="2">
        <v>62.5</v>
      </c>
      <c r="X12" s="2">
        <v>92.5</v>
      </c>
      <c r="Y12" s="2">
        <v>48.75</v>
      </c>
    </row>
    <row r="13" spans="1:25" x14ac:dyDescent="0.25">
      <c r="A13" s="67" t="s">
        <v>276</v>
      </c>
      <c r="B13" s="193">
        <v>580</v>
      </c>
      <c r="S13" s="67" t="s">
        <v>14</v>
      </c>
      <c r="T13" s="2">
        <v>64.80952380952381</v>
      </c>
      <c r="U13" s="2">
        <v>67.61904761904762</v>
      </c>
      <c r="V13" s="2">
        <v>76.666666666666671</v>
      </c>
      <c r="W13" s="2">
        <v>69.285714285714292</v>
      </c>
      <c r="X13" s="2">
        <v>55.238095238095241</v>
      </c>
      <c r="Y13" s="2">
        <v>62.38095238095238</v>
      </c>
    </row>
    <row r="14" spans="1:25" x14ac:dyDescent="0.25">
      <c r="A14" s="67" t="s">
        <v>279</v>
      </c>
      <c r="B14" s="193">
        <v>600</v>
      </c>
      <c r="S14" s="67" t="s">
        <v>49</v>
      </c>
      <c r="T14" s="2">
        <v>84.545454545454547</v>
      </c>
      <c r="U14" s="2">
        <v>88.63636363636364</v>
      </c>
      <c r="V14" s="2">
        <v>40.909090909090907</v>
      </c>
      <c r="W14" s="2">
        <v>51.81818181818182</v>
      </c>
      <c r="X14" s="2">
        <v>58.18181818181818</v>
      </c>
      <c r="Y14" s="2">
        <v>64.545454545454547</v>
      </c>
    </row>
    <row r="15" spans="1:25" x14ac:dyDescent="0.25">
      <c r="A15" s="67" t="s">
        <v>174</v>
      </c>
      <c r="B15" s="193">
        <v>580</v>
      </c>
      <c r="S15" s="67" t="s">
        <v>115</v>
      </c>
      <c r="T15" s="2">
        <v>61.666666666666664</v>
      </c>
      <c r="U15" s="2">
        <v>52.5</v>
      </c>
      <c r="V15" s="2">
        <v>75</v>
      </c>
      <c r="W15" s="2">
        <v>70</v>
      </c>
      <c r="X15" s="2">
        <v>70</v>
      </c>
      <c r="Y15" s="2">
        <v>65.833333333333329</v>
      </c>
    </row>
    <row r="16" spans="1:25" x14ac:dyDescent="0.25">
      <c r="A16" s="67" t="s">
        <v>312</v>
      </c>
      <c r="B16" s="193">
        <v>7320</v>
      </c>
      <c r="S16" s="67" t="s">
        <v>36</v>
      </c>
      <c r="T16" s="2">
        <v>66.540540540540547</v>
      </c>
      <c r="U16" s="2">
        <v>53.729729729729726</v>
      </c>
      <c r="V16" s="2">
        <v>54.45945945945946</v>
      </c>
      <c r="W16" s="2">
        <v>62.405405405405403</v>
      </c>
      <c r="X16" s="2">
        <v>66.621621621621628</v>
      </c>
      <c r="Y16" s="2">
        <v>82.13513513513513</v>
      </c>
    </row>
    <row r="17" spans="1:25" x14ac:dyDescent="0.25">
      <c r="S17" s="67" t="s">
        <v>15</v>
      </c>
      <c r="T17" s="2">
        <v>76.13333333333334</v>
      </c>
      <c r="U17" s="2">
        <v>67.86666666666666</v>
      </c>
      <c r="V17" s="2">
        <v>58</v>
      </c>
      <c r="W17" s="2">
        <v>62.866666666666667</v>
      </c>
      <c r="X17" s="2">
        <v>63.533333333333331</v>
      </c>
      <c r="Y17" s="2">
        <v>65.86666666666666</v>
      </c>
    </row>
    <row r="18" spans="1:25" x14ac:dyDescent="0.25">
      <c r="A18" s="66" t="s">
        <v>311</v>
      </c>
      <c r="B18" t="s">
        <v>322</v>
      </c>
      <c r="S18" s="67" t="s">
        <v>88</v>
      </c>
      <c r="T18" s="2">
        <v>61.857142857142854</v>
      </c>
      <c r="U18" s="2">
        <v>62.214285714285715</v>
      </c>
      <c r="V18" s="2">
        <v>94.285714285714292</v>
      </c>
      <c r="W18" s="2">
        <v>86.071428571428569</v>
      </c>
      <c r="X18" s="2">
        <v>86.428571428571431</v>
      </c>
      <c r="Y18" s="2">
        <v>73.214285714285708</v>
      </c>
    </row>
    <row r="19" spans="1:25" x14ac:dyDescent="0.25">
      <c r="A19" s="67" t="s">
        <v>29</v>
      </c>
      <c r="B19" s="193">
        <v>22</v>
      </c>
      <c r="S19" s="67" t="s">
        <v>100</v>
      </c>
      <c r="T19" s="2">
        <v>86.307692307692307</v>
      </c>
      <c r="U19" s="2">
        <v>102.69230769230769</v>
      </c>
      <c r="V19" s="2">
        <v>60</v>
      </c>
      <c r="W19" s="2">
        <v>60.384615384615387</v>
      </c>
      <c r="X19" s="2">
        <v>54.46153846153846</v>
      </c>
      <c r="Y19" s="2">
        <v>59.615384615384613</v>
      </c>
    </row>
    <row r="20" spans="1:25" x14ac:dyDescent="0.25">
      <c r="A20" s="67" t="s">
        <v>228</v>
      </c>
      <c r="B20" s="193">
        <v>5</v>
      </c>
      <c r="S20" s="67" t="s">
        <v>108</v>
      </c>
      <c r="T20" s="2">
        <v>82.5</v>
      </c>
      <c r="U20" s="2">
        <v>170</v>
      </c>
      <c r="V20" s="2">
        <v>47.5</v>
      </c>
      <c r="W20" s="2">
        <v>67.5</v>
      </c>
      <c r="X20" s="2">
        <v>50</v>
      </c>
      <c r="Y20" s="2">
        <v>70</v>
      </c>
    </row>
    <row r="21" spans="1:25" x14ac:dyDescent="0.25">
      <c r="A21" s="67" t="s">
        <v>177</v>
      </c>
      <c r="B21" s="193">
        <v>3</v>
      </c>
      <c r="S21" s="67" t="s">
        <v>25</v>
      </c>
      <c r="T21" s="2">
        <v>69.413043478260875</v>
      </c>
      <c r="U21" s="2">
        <v>75.978260869565219</v>
      </c>
      <c r="V21" s="2">
        <v>66.173913043478265</v>
      </c>
      <c r="W21" s="2">
        <v>70.108695652173907</v>
      </c>
      <c r="X21" s="2">
        <v>63.456521739130437</v>
      </c>
      <c r="Y21" s="2">
        <v>69.826086956521735</v>
      </c>
    </row>
    <row r="22" spans="1:25" x14ac:dyDescent="0.25">
      <c r="A22" s="67" t="s">
        <v>46</v>
      </c>
      <c r="B22" s="193">
        <v>15</v>
      </c>
      <c r="S22" s="67" t="s">
        <v>312</v>
      </c>
      <c r="T22" s="2">
        <v>70.944000000000003</v>
      </c>
      <c r="U22" s="2">
        <v>68.683999999999997</v>
      </c>
      <c r="V22" s="2">
        <v>65.951999999999998</v>
      </c>
      <c r="W22" s="2">
        <v>68.451999999999998</v>
      </c>
      <c r="X22" s="2">
        <v>65.88</v>
      </c>
      <c r="Y22" s="2">
        <v>66.775999999999996</v>
      </c>
    </row>
    <row r="23" spans="1:25" x14ac:dyDescent="0.25">
      <c r="A23" s="67" t="s">
        <v>58</v>
      </c>
      <c r="B23" s="193">
        <v>7</v>
      </c>
    </row>
    <row r="24" spans="1:25" x14ac:dyDescent="0.25">
      <c r="A24" s="67" t="s">
        <v>80</v>
      </c>
      <c r="B24" s="193">
        <v>9</v>
      </c>
    </row>
    <row r="25" spans="1:25" x14ac:dyDescent="0.25">
      <c r="A25" s="67" t="s">
        <v>19</v>
      </c>
      <c r="B25" s="193">
        <v>20</v>
      </c>
    </row>
    <row r="26" spans="1:25" x14ac:dyDescent="0.25">
      <c r="A26" s="67" t="s">
        <v>121</v>
      </c>
      <c r="B26" s="193">
        <v>4</v>
      </c>
    </row>
    <row r="27" spans="1:25" x14ac:dyDescent="0.25">
      <c r="A27" s="67" t="s">
        <v>14</v>
      </c>
      <c r="B27" s="193">
        <v>21</v>
      </c>
    </row>
    <row r="28" spans="1:25" x14ac:dyDescent="0.25">
      <c r="A28" s="67" t="s">
        <v>49</v>
      </c>
      <c r="B28" s="193">
        <v>11</v>
      </c>
    </row>
    <row r="29" spans="1:25" x14ac:dyDescent="0.25">
      <c r="A29" s="67" t="s">
        <v>115</v>
      </c>
      <c r="B29" s="193">
        <v>6</v>
      </c>
    </row>
    <row r="30" spans="1:25" x14ac:dyDescent="0.25">
      <c r="A30" s="67" t="s">
        <v>36</v>
      </c>
      <c r="B30" s="193">
        <v>37</v>
      </c>
    </row>
    <row r="31" spans="1:25" x14ac:dyDescent="0.25">
      <c r="A31" s="67" t="s">
        <v>15</v>
      </c>
      <c r="B31" s="193">
        <v>15</v>
      </c>
    </row>
    <row r="32" spans="1:25" x14ac:dyDescent="0.25">
      <c r="A32" s="67" t="s">
        <v>88</v>
      </c>
      <c r="B32" s="193">
        <v>14</v>
      </c>
    </row>
    <row r="33" spans="1:18" x14ac:dyDescent="0.25">
      <c r="A33" s="67" t="s">
        <v>100</v>
      </c>
      <c r="B33" s="193">
        <v>13</v>
      </c>
    </row>
    <row r="34" spans="1:18" x14ac:dyDescent="0.25">
      <c r="A34" s="67" t="s">
        <v>108</v>
      </c>
      <c r="B34" s="193">
        <v>2</v>
      </c>
    </row>
    <row r="35" spans="1:18" x14ac:dyDescent="0.25">
      <c r="A35" s="67" t="s">
        <v>25</v>
      </c>
      <c r="B35" s="193">
        <v>46</v>
      </c>
    </row>
    <row r="36" spans="1:18" x14ac:dyDescent="0.25">
      <c r="A36" s="67" t="s">
        <v>312</v>
      </c>
      <c r="B36" s="193">
        <v>250</v>
      </c>
    </row>
    <row r="39" spans="1:18" x14ac:dyDescent="0.25">
      <c r="A39" s="66" t="s">
        <v>322</v>
      </c>
      <c r="B39" s="66" t="s">
        <v>324</v>
      </c>
    </row>
    <row r="40" spans="1:18" x14ac:dyDescent="0.25">
      <c r="A40" s="66" t="s">
        <v>311</v>
      </c>
      <c r="B40" t="s">
        <v>228</v>
      </c>
      <c r="C40" t="s">
        <v>177</v>
      </c>
      <c r="D40" t="s">
        <v>46</v>
      </c>
      <c r="E40" t="s">
        <v>58</v>
      </c>
      <c r="F40" t="s">
        <v>80</v>
      </c>
      <c r="G40" t="s">
        <v>19</v>
      </c>
      <c r="H40" t="s">
        <v>23</v>
      </c>
      <c r="I40" t="s">
        <v>14</v>
      </c>
      <c r="J40" t="s">
        <v>49</v>
      </c>
      <c r="K40" t="s">
        <v>115</v>
      </c>
      <c r="L40" t="s">
        <v>20</v>
      </c>
      <c r="M40" t="s">
        <v>15</v>
      </c>
      <c r="N40" t="s">
        <v>88</v>
      </c>
      <c r="O40" t="s">
        <v>100</v>
      </c>
      <c r="P40" t="s">
        <v>108</v>
      </c>
      <c r="Q40" t="s">
        <v>25</v>
      </c>
      <c r="R40" t="s">
        <v>312</v>
      </c>
    </row>
    <row r="41" spans="1:18" x14ac:dyDescent="0.25">
      <c r="A41" s="67" t="s">
        <v>29</v>
      </c>
      <c r="B41" s="193"/>
      <c r="C41" s="193"/>
      <c r="D41" s="193"/>
      <c r="E41" s="193"/>
      <c r="F41" s="193">
        <v>1</v>
      </c>
      <c r="G41" s="193"/>
      <c r="H41" s="193">
        <v>5</v>
      </c>
      <c r="I41" s="193">
        <v>2</v>
      </c>
      <c r="J41" s="193"/>
      <c r="K41" s="193"/>
      <c r="L41" s="193">
        <v>4</v>
      </c>
      <c r="M41" s="193">
        <v>7</v>
      </c>
      <c r="N41" s="193"/>
      <c r="O41" s="193">
        <v>1</v>
      </c>
      <c r="P41" s="193">
        <v>2</v>
      </c>
      <c r="Q41" s="193"/>
      <c r="R41" s="193">
        <v>22</v>
      </c>
    </row>
    <row r="42" spans="1:18" x14ac:dyDescent="0.25">
      <c r="A42" s="67" t="s">
        <v>228</v>
      </c>
      <c r="B42" s="193"/>
      <c r="C42" s="193"/>
      <c r="D42" s="193"/>
      <c r="E42" s="193"/>
      <c r="F42" s="193"/>
      <c r="G42" s="193">
        <v>2</v>
      </c>
      <c r="H42" s="193">
        <v>1</v>
      </c>
      <c r="I42" s="193"/>
      <c r="J42" s="193"/>
      <c r="K42" s="193">
        <v>1</v>
      </c>
      <c r="L42" s="193">
        <v>1</v>
      </c>
      <c r="M42" s="193"/>
      <c r="N42" s="193"/>
      <c r="O42" s="193"/>
      <c r="P42" s="193"/>
      <c r="Q42" s="193"/>
      <c r="R42" s="193">
        <v>5</v>
      </c>
    </row>
    <row r="43" spans="1:18" x14ac:dyDescent="0.25">
      <c r="A43" s="67" t="s">
        <v>177</v>
      </c>
      <c r="B43" s="193"/>
      <c r="C43" s="193"/>
      <c r="D43" s="193"/>
      <c r="E43" s="193"/>
      <c r="F43" s="193"/>
      <c r="G43" s="193"/>
      <c r="H43" s="193">
        <v>1</v>
      </c>
      <c r="I43" s="193"/>
      <c r="J43" s="193"/>
      <c r="K43" s="193"/>
      <c r="L43" s="193">
        <v>2</v>
      </c>
      <c r="M43" s="193"/>
      <c r="N43" s="193"/>
      <c r="O43" s="193"/>
      <c r="P43" s="193"/>
      <c r="Q43" s="193"/>
      <c r="R43" s="193">
        <v>3</v>
      </c>
    </row>
    <row r="44" spans="1:18" x14ac:dyDescent="0.25">
      <c r="A44" s="67" t="s">
        <v>46</v>
      </c>
      <c r="B44" s="193"/>
      <c r="C44" s="193"/>
      <c r="D44" s="193"/>
      <c r="E44" s="193"/>
      <c r="F44" s="193"/>
      <c r="G44" s="193"/>
      <c r="H44" s="193">
        <v>1</v>
      </c>
      <c r="I44" s="193"/>
      <c r="J44" s="193"/>
      <c r="K44" s="193"/>
      <c r="L44" s="193">
        <v>12</v>
      </c>
      <c r="M44" s="193"/>
      <c r="N44" s="193"/>
      <c r="O44" s="193"/>
      <c r="P44" s="193">
        <v>2</v>
      </c>
      <c r="Q44" s="193"/>
      <c r="R44" s="193">
        <v>15</v>
      </c>
    </row>
    <row r="45" spans="1:18" x14ac:dyDescent="0.25">
      <c r="A45" s="67" t="s">
        <v>58</v>
      </c>
      <c r="B45" s="193"/>
      <c r="C45" s="193"/>
      <c r="D45" s="193"/>
      <c r="E45" s="193"/>
      <c r="F45" s="193"/>
      <c r="G45" s="193"/>
      <c r="H45" s="193">
        <v>1</v>
      </c>
      <c r="I45" s="193"/>
      <c r="J45" s="193"/>
      <c r="K45" s="193"/>
      <c r="L45" s="193">
        <v>6</v>
      </c>
      <c r="M45" s="193"/>
      <c r="N45" s="193"/>
      <c r="O45" s="193"/>
      <c r="P45" s="193"/>
      <c r="Q45" s="193"/>
      <c r="R45" s="193">
        <v>7</v>
      </c>
    </row>
    <row r="46" spans="1:18" x14ac:dyDescent="0.25">
      <c r="A46" s="67" t="s">
        <v>80</v>
      </c>
      <c r="B46" s="193"/>
      <c r="C46" s="193"/>
      <c r="D46" s="193"/>
      <c r="E46" s="193"/>
      <c r="F46" s="193"/>
      <c r="G46" s="193"/>
      <c r="H46" s="193"/>
      <c r="I46" s="193"/>
      <c r="J46" s="193"/>
      <c r="K46" s="193"/>
      <c r="L46" s="193">
        <v>9</v>
      </c>
      <c r="M46" s="193"/>
      <c r="N46" s="193"/>
      <c r="O46" s="193"/>
      <c r="P46" s="193"/>
      <c r="Q46" s="193"/>
      <c r="R46" s="193">
        <v>9</v>
      </c>
    </row>
    <row r="47" spans="1:18" x14ac:dyDescent="0.25">
      <c r="A47" s="67" t="s">
        <v>19</v>
      </c>
      <c r="B47" s="193"/>
      <c r="C47" s="193"/>
      <c r="D47" s="193"/>
      <c r="E47" s="193"/>
      <c r="F47" s="193"/>
      <c r="G47" s="193"/>
      <c r="H47" s="193">
        <v>3</v>
      </c>
      <c r="I47" s="193"/>
      <c r="J47" s="193"/>
      <c r="K47" s="193"/>
      <c r="L47" s="193">
        <v>16</v>
      </c>
      <c r="M47" s="193"/>
      <c r="N47" s="193"/>
      <c r="O47" s="193">
        <v>1</v>
      </c>
      <c r="P47" s="193"/>
      <c r="Q47" s="193"/>
      <c r="R47" s="193">
        <v>20</v>
      </c>
    </row>
    <row r="48" spans="1:18" x14ac:dyDescent="0.25">
      <c r="A48" s="67" t="s">
        <v>121</v>
      </c>
      <c r="B48" s="193"/>
      <c r="C48" s="193"/>
      <c r="D48" s="193"/>
      <c r="E48" s="193"/>
      <c r="F48" s="193"/>
      <c r="G48" s="193"/>
      <c r="H48" s="193"/>
      <c r="I48" s="193"/>
      <c r="J48" s="193"/>
      <c r="K48" s="193"/>
      <c r="L48" s="193">
        <v>1</v>
      </c>
      <c r="M48" s="193">
        <v>3</v>
      </c>
      <c r="N48" s="193"/>
      <c r="O48" s="193"/>
      <c r="P48" s="193"/>
      <c r="Q48" s="193"/>
      <c r="R48" s="193">
        <v>4</v>
      </c>
    </row>
    <row r="49" spans="1:18" x14ac:dyDescent="0.25">
      <c r="A49" s="67" t="s">
        <v>14</v>
      </c>
      <c r="B49" s="193"/>
      <c r="C49" s="193"/>
      <c r="D49" s="193"/>
      <c r="E49" s="193"/>
      <c r="F49" s="193"/>
      <c r="G49" s="193"/>
      <c r="H49" s="193">
        <v>3</v>
      </c>
      <c r="I49" s="193"/>
      <c r="J49" s="193"/>
      <c r="K49" s="193"/>
      <c r="L49" s="193">
        <v>7</v>
      </c>
      <c r="M49" s="193">
        <v>9</v>
      </c>
      <c r="N49" s="193">
        <v>2</v>
      </c>
      <c r="O49" s="193"/>
      <c r="P49" s="193"/>
      <c r="Q49" s="193"/>
      <c r="R49" s="193">
        <v>21</v>
      </c>
    </row>
    <row r="50" spans="1:18" x14ac:dyDescent="0.25">
      <c r="A50" s="67" t="s">
        <v>49</v>
      </c>
      <c r="B50" s="193"/>
      <c r="C50" s="193"/>
      <c r="D50" s="193"/>
      <c r="E50" s="193"/>
      <c r="F50" s="193"/>
      <c r="G50" s="193"/>
      <c r="H50" s="193">
        <v>1</v>
      </c>
      <c r="I50" s="193"/>
      <c r="J50" s="193"/>
      <c r="K50" s="193"/>
      <c r="L50" s="193">
        <v>8</v>
      </c>
      <c r="M50" s="193"/>
      <c r="N50" s="193"/>
      <c r="O50" s="193">
        <v>2</v>
      </c>
      <c r="P50" s="193"/>
      <c r="Q50" s="193"/>
      <c r="R50" s="193">
        <v>11</v>
      </c>
    </row>
    <row r="51" spans="1:18" x14ac:dyDescent="0.25">
      <c r="A51" s="67" t="s">
        <v>115</v>
      </c>
      <c r="B51" s="193"/>
      <c r="C51" s="193"/>
      <c r="D51" s="193"/>
      <c r="E51" s="193"/>
      <c r="F51" s="193"/>
      <c r="G51" s="193"/>
      <c r="H51" s="193">
        <v>2</v>
      </c>
      <c r="I51" s="193"/>
      <c r="J51" s="193">
        <v>2</v>
      </c>
      <c r="K51" s="193"/>
      <c r="L51" s="193"/>
      <c r="M51" s="193"/>
      <c r="N51" s="193">
        <v>2</v>
      </c>
      <c r="O51" s="193"/>
      <c r="P51" s="193"/>
      <c r="Q51" s="193"/>
      <c r="R51" s="193">
        <v>6</v>
      </c>
    </row>
    <row r="52" spans="1:18" x14ac:dyDescent="0.25">
      <c r="A52" s="67" t="s">
        <v>36</v>
      </c>
      <c r="B52" s="193"/>
      <c r="C52" s="193"/>
      <c r="D52" s="193"/>
      <c r="E52" s="193">
        <v>3</v>
      </c>
      <c r="F52" s="193"/>
      <c r="G52" s="193"/>
      <c r="H52" s="193">
        <v>10</v>
      </c>
      <c r="I52" s="193"/>
      <c r="J52" s="193"/>
      <c r="K52" s="193"/>
      <c r="L52" s="193">
        <v>23</v>
      </c>
      <c r="M52" s="193"/>
      <c r="N52" s="193">
        <v>1</v>
      </c>
      <c r="O52" s="193"/>
      <c r="P52" s="193"/>
      <c r="Q52" s="193"/>
      <c r="R52" s="193">
        <v>37</v>
      </c>
    </row>
    <row r="53" spans="1:18" x14ac:dyDescent="0.25">
      <c r="A53" s="67" t="s">
        <v>15</v>
      </c>
      <c r="B53" s="193"/>
      <c r="C53" s="193"/>
      <c r="D53" s="193"/>
      <c r="E53" s="193"/>
      <c r="F53" s="193"/>
      <c r="G53" s="193"/>
      <c r="H53" s="193">
        <v>3</v>
      </c>
      <c r="I53" s="193"/>
      <c r="J53" s="193">
        <v>2</v>
      </c>
      <c r="K53" s="193"/>
      <c r="L53" s="193">
        <v>10</v>
      </c>
      <c r="M53" s="193"/>
      <c r="N53" s="193"/>
      <c r="O53" s="193"/>
      <c r="P53" s="193"/>
      <c r="Q53" s="193"/>
      <c r="R53" s="193">
        <v>15</v>
      </c>
    </row>
    <row r="54" spans="1:18" x14ac:dyDescent="0.25">
      <c r="A54" s="67" t="s">
        <v>88</v>
      </c>
      <c r="B54" s="193"/>
      <c r="C54" s="193"/>
      <c r="D54" s="193"/>
      <c r="E54" s="193">
        <v>1</v>
      </c>
      <c r="F54" s="193"/>
      <c r="G54" s="193"/>
      <c r="H54" s="193">
        <v>3</v>
      </c>
      <c r="I54" s="193"/>
      <c r="J54" s="193"/>
      <c r="K54" s="193"/>
      <c r="L54" s="193">
        <v>10</v>
      </c>
      <c r="M54" s="193"/>
      <c r="N54" s="193"/>
      <c r="O54" s="193"/>
      <c r="P54" s="193"/>
      <c r="Q54" s="193"/>
      <c r="R54" s="193">
        <v>14</v>
      </c>
    </row>
    <row r="55" spans="1:18" x14ac:dyDescent="0.25">
      <c r="A55" s="67" t="s">
        <v>100</v>
      </c>
      <c r="B55" s="193">
        <v>1</v>
      </c>
      <c r="C55" s="193"/>
      <c r="D55" s="193"/>
      <c r="E55" s="193"/>
      <c r="F55" s="193"/>
      <c r="G55" s="193"/>
      <c r="H55" s="193">
        <v>1</v>
      </c>
      <c r="I55" s="193"/>
      <c r="J55" s="193">
        <v>6</v>
      </c>
      <c r="K55" s="193"/>
      <c r="L55" s="193">
        <v>1</v>
      </c>
      <c r="M55" s="193"/>
      <c r="N55" s="193"/>
      <c r="O55" s="193"/>
      <c r="P55" s="193"/>
      <c r="Q55" s="193">
        <v>4</v>
      </c>
      <c r="R55" s="193">
        <v>13</v>
      </c>
    </row>
    <row r="56" spans="1:18" x14ac:dyDescent="0.25">
      <c r="A56" s="67" t="s">
        <v>108</v>
      </c>
      <c r="B56" s="193"/>
      <c r="C56" s="193"/>
      <c r="D56" s="193"/>
      <c r="E56" s="193"/>
      <c r="F56" s="193"/>
      <c r="G56" s="193"/>
      <c r="H56" s="193">
        <v>1</v>
      </c>
      <c r="I56" s="193"/>
      <c r="J56" s="193">
        <v>1</v>
      </c>
      <c r="K56" s="193"/>
      <c r="L56" s="193"/>
      <c r="M56" s="193"/>
      <c r="N56" s="193"/>
      <c r="O56" s="193"/>
      <c r="P56" s="193"/>
      <c r="Q56" s="193"/>
      <c r="R56" s="193">
        <v>2</v>
      </c>
    </row>
    <row r="57" spans="1:18" x14ac:dyDescent="0.25">
      <c r="A57" s="67" t="s">
        <v>25</v>
      </c>
      <c r="B57" s="193"/>
      <c r="C57" s="193">
        <v>1</v>
      </c>
      <c r="D57" s="193">
        <v>2</v>
      </c>
      <c r="E57" s="193">
        <v>2</v>
      </c>
      <c r="F57" s="193">
        <v>1</v>
      </c>
      <c r="G57" s="193"/>
      <c r="H57" s="193">
        <v>2</v>
      </c>
      <c r="I57" s="193"/>
      <c r="J57" s="193">
        <v>2</v>
      </c>
      <c r="K57" s="193">
        <v>3</v>
      </c>
      <c r="L57" s="193">
        <v>25</v>
      </c>
      <c r="M57" s="193">
        <v>3</v>
      </c>
      <c r="N57" s="193">
        <v>4</v>
      </c>
      <c r="O57" s="193">
        <v>1</v>
      </c>
      <c r="P57" s="193"/>
      <c r="Q57" s="193"/>
      <c r="R57" s="193">
        <v>46</v>
      </c>
    </row>
    <row r="58" spans="1:18" x14ac:dyDescent="0.25">
      <c r="A58" s="67" t="s">
        <v>312</v>
      </c>
      <c r="B58" s="193">
        <v>1</v>
      </c>
      <c r="C58" s="193">
        <v>1</v>
      </c>
      <c r="D58" s="193">
        <v>2</v>
      </c>
      <c r="E58" s="193">
        <v>6</v>
      </c>
      <c r="F58" s="193">
        <v>2</v>
      </c>
      <c r="G58" s="193">
        <v>2</v>
      </c>
      <c r="H58" s="193">
        <v>38</v>
      </c>
      <c r="I58" s="193">
        <v>2</v>
      </c>
      <c r="J58" s="193">
        <v>13</v>
      </c>
      <c r="K58" s="193">
        <v>4</v>
      </c>
      <c r="L58" s="193">
        <v>135</v>
      </c>
      <c r="M58" s="193">
        <v>22</v>
      </c>
      <c r="N58" s="193">
        <v>9</v>
      </c>
      <c r="O58" s="193">
        <v>5</v>
      </c>
      <c r="P58" s="193">
        <v>4</v>
      </c>
      <c r="Q58" s="193">
        <v>4</v>
      </c>
      <c r="R58" s="193">
        <v>250</v>
      </c>
    </row>
    <row r="61" spans="1:18" x14ac:dyDescent="0.25">
      <c r="A61" s="66" t="s">
        <v>311</v>
      </c>
      <c r="B61" t="s">
        <v>322</v>
      </c>
      <c r="C61" t="s">
        <v>319</v>
      </c>
      <c r="D61" t="s">
        <v>318</v>
      </c>
      <c r="E61" t="s">
        <v>317</v>
      </c>
      <c r="F61" t="s">
        <v>316</v>
      </c>
      <c r="G61" t="s">
        <v>315</v>
      </c>
      <c r="H61" t="s">
        <v>314</v>
      </c>
      <c r="I61" t="s">
        <v>313</v>
      </c>
    </row>
    <row r="62" spans="1:18" x14ac:dyDescent="0.25">
      <c r="A62" s="67" t="s">
        <v>327</v>
      </c>
      <c r="B62" s="2">
        <v>24</v>
      </c>
      <c r="C62" s="2">
        <v>79.541666666666671</v>
      </c>
      <c r="D62" s="2">
        <v>86.208333333333329</v>
      </c>
      <c r="E62" s="2">
        <v>81.916666666666671</v>
      </c>
      <c r="F62" s="2">
        <v>90</v>
      </c>
      <c r="G62" s="2">
        <v>87</v>
      </c>
      <c r="H62" s="2">
        <v>82</v>
      </c>
      <c r="I62" s="2">
        <v>506.66666666666669</v>
      </c>
    </row>
    <row r="63" spans="1:18" x14ac:dyDescent="0.25">
      <c r="A63" s="67" t="s">
        <v>328</v>
      </c>
      <c r="B63" s="2">
        <v>14</v>
      </c>
      <c r="C63" s="2">
        <v>120.64285714285714</v>
      </c>
      <c r="D63" s="2">
        <v>90.214285714285708</v>
      </c>
      <c r="E63" s="2">
        <v>84.285714285714292</v>
      </c>
      <c r="F63" s="2">
        <v>99.928571428571431</v>
      </c>
      <c r="G63" s="2">
        <v>109.14285714285714</v>
      </c>
      <c r="H63" s="2">
        <v>89.357142857142861</v>
      </c>
      <c r="I63" s="2">
        <v>593.57142857142856</v>
      </c>
    </row>
    <row r="64" spans="1:18" x14ac:dyDescent="0.25">
      <c r="A64" s="67" t="s">
        <v>329</v>
      </c>
      <c r="B64" s="2">
        <v>97</v>
      </c>
      <c r="C64" s="2">
        <v>48.422680412371136</v>
      </c>
      <c r="D64" s="2">
        <v>53.329896907216494</v>
      </c>
      <c r="E64" s="2">
        <v>52.618556701030926</v>
      </c>
      <c r="F64" s="2">
        <v>48.907216494845358</v>
      </c>
      <c r="G64" s="2">
        <v>47.27835051546392</v>
      </c>
      <c r="H64" s="2">
        <v>53.216494845360828</v>
      </c>
      <c r="I64" s="2">
        <v>303.77319587628864</v>
      </c>
    </row>
    <row r="65" spans="1:9" x14ac:dyDescent="0.25">
      <c r="A65" s="67" t="s">
        <v>330</v>
      </c>
      <c r="B65" s="2">
        <v>115</v>
      </c>
      <c r="C65" s="2">
        <v>73.03478260869565</v>
      </c>
      <c r="D65" s="2">
        <v>80.269565217391303</v>
      </c>
      <c r="E65" s="2">
        <v>77.573913043478257</v>
      </c>
      <c r="F65" s="2">
        <v>71.173913043478265</v>
      </c>
      <c r="G65" s="2">
        <v>77.486956521739131</v>
      </c>
      <c r="H65" s="2">
        <v>70.339130434782604</v>
      </c>
      <c r="I65" s="2">
        <v>449.87826086956522</v>
      </c>
    </row>
    <row r="66" spans="1:9" x14ac:dyDescent="0.25">
      <c r="A66" s="67" t="s">
        <v>312</v>
      </c>
      <c r="B66" s="2">
        <v>250</v>
      </c>
      <c r="C66" s="2">
        <v>66.775999999999996</v>
      </c>
      <c r="D66" s="2">
        <v>70.944000000000003</v>
      </c>
      <c r="E66" s="2">
        <v>68.683999999999997</v>
      </c>
      <c r="F66" s="2">
        <v>65.951999999999998</v>
      </c>
      <c r="G66" s="2">
        <v>68.451999999999998</v>
      </c>
      <c r="H66" s="2">
        <v>65.88</v>
      </c>
      <c r="I66" s="2">
        <v>406.68799999999999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A7573-9942-40F0-9077-E9EA97CA8D62}">
  <dimension ref="A1:U297"/>
  <sheetViews>
    <sheetView showGridLines="0" topLeftCell="A3" zoomScale="55" zoomScaleNormal="55" workbookViewId="0">
      <selection activeCell="M77" sqref="L77:M96"/>
    </sheetView>
  </sheetViews>
  <sheetFormatPr defaultRowHeight="15" x14ac:dyDescent="0.25"/>
  <cols>
    <col min="1" max="1" width="19.85546875" bestFit="1" customWidth="1"/>
    <col min="2" max="2" width="24.85546875" bestFit="1" customWidth="1"/>
    <col min="3" max="3" width="23.7109375" bestFit="1" customWidth="1"/>
    <col min="4" max="4" width="25.5703125" bestFit="1" customWidth="1"/>
    <col min="5" max="5" width="34.140625" bestFit="1" customWidth="1"/>
    <col min="6" max="6" width="36" bestFit="1" customWidth="1"/>
    <col min="7" max="7" width="23.5703125" bestFit="1" customWidth="1"/>
    <col min="8" max="8" width="30" bestFit="1" customWidth="1"/>
    <col min="9" max="9" width="11.5703125" bestFit="1" customWidth="1"/>
    <col min="10" max="10" width="19.85546875" bestFit="1" customWidth="1"/>
    <col min="11" max="11" width="19.42578125" bestFit="1" customWidth="1"/>
    <col min="12" max="12" width="19.140625" bestFit="1" customWidth="1"/>
    <col min="13" max="13" width="23.7109375" bestFit="1" customWidth="1"/>
    <col min="14" max="14" width="25.5703125" bestFit="1" customWidth="1"/>
    <col min="15" max="15" width="34.140625" bestFit="1" customWidth="1"/>
    <col min="16" max="16" width="36" bestFit="1" customWidth="1"/>
    <col min="17" max="17" width="23.5703125" bestFit="1" customWidth="1"/>
    <col min="18" max="18" width="30" bestFit="1" customWidth="1"/>
    <col min="19" max="19" width="8" bestFit="1" customWidth="1"/>
    <col min="20" max="20" width="8.7109375" bestFit="1" customWidth="1"/>
    <col min="21" max="21" width="16.28515625" bestFit="1" customWidth="1"/>
  </cols>
  <sheetData>
    <row r="1" spans="1:21" ht="15" customHeight="1" x14ac:dyDescent="0.25">
      <c r="A1" s="131" t="s">
        <v>320</v>
      </c>
      <c r="B1" s="132"/>
      <c r="C1" s="132"/>
      <c r="D1" s="132"/>
      <c r="E1" s="132"/>
      <c r="F1" s="132"/>
      <c r="G1" s="132"/>
      <c r="H1" s="132"/>
      <c r="I1" s="132"/>
      <c r="J1" s="132"/>
      <c r="K1" s="132"/>
      <c r="L1" s="132"/>
      <c r="M1" s="132"/>
      <c r="N1" s="132"/>
      <c r="O1" s="132"/>
      <c r="P1" s="132"/>
      <c r="Q1" s="132"/>
      <c r="R1" s="132"/>
      <c r="S1" s="132"/>
      <c r="T1" s="132"/>
      <c r="U1" s="133"/>
    </row>
    <row r="2" spans="1:21" ht="15" customHeight="1" thickBot="1" x14ac:dyDescent="0.3">
      <c r="A2" s="134"/>
      <c r="B2" s="135"/>
      <c r="C2" s="135"/>
      <c r="D2" s="135"/>
      <c r="E2" s="135"/>
      <c r="F2" s="135"/>
      <c r="G2" s="135"/>
      <c r="H2" s="135"/>
      <c r="I2" s="135"/>
      <c r="J2" s="135"/>
      <c r="K2" s="135"/>
      <c r="L2" s="135"/>
      <c r="M2" s="135"/>
      <c r="N2" s="135"/>
      <c r="O2" s="135"/>
      <c r="P2" s="135"/>
      <c r="Q2" s="135"/>
      <c r="R2" s="135"/>
      <c r="S2" s="135"/>
      <c r="T2" s="135"/>
      <c r="U2" s="136"/>
    </row>
    <row r="3" spans="1:21" ht="15.75" customHeight="1" thickBot="1" x14ac:dyDescent="0.3">
      <c r="A3" s="5"/>
      <c r="U3" s="6"/>
    </row>
    <row r="4" spans="1:21" ht="15" customHeight="1" x14ac:dyDescent="0.25">
      <c r="A4" s="110" t="s">
        <v>321</v>
      </c>
      <c r="B4" s="111"/>
      <c r="C4" s="111"/>
      <c r="D4" s="111"/>
      <c r="E4" s="111"/>
      <c r="F4" s="111"/>
      <c r="G4" s="111"/>
      <c r="H4" s="112"/>
      <c r="J4" s="120" t="s">
        <v>326</v>
      </c>
      <c r="K4" s="126"/>
      <c r="L4" s="126"/>
      <c r="M4" s="126"/>
      <c r="N4" s="126"/>
      <c r="O4" s="126"/>
      <c r="P4" s="126"/>
      <c r="Q4" s="126"/>
      <c r="R4" s="127"/>
      <c r="U4" s="6"/>
    </row>
    <row r="5" spans="1:21" ht="15.75" thickBot="1" x14ac:dyDescent="0.3">
      <c r="A5" s="113"/>
      <c r="B5" s="114"/>
      <c r="C5" s="114"/>
      <c r="D5" s="114"/>
      <c r="E5" s="114"/>
      <c r="F5" s="114"/>
      <c r="G5" s="114"/>
      <c r="H5" s="115"/>
      <c r="J5" s="128"/>
      <c r="K5" s="129"/>
      <c r="L5" s="129"/>
      <c r="M5" s="129"/>
      <c r="N5" s="129"/>
      <c r="O5" s="129"/>
      <c r="P5" s="129"/>
      <c r="Q5" s="129"/>
      <c r="R5" s="130"/>
      <c r="U5" s="6"/>
    </row>
    <row r="6" spans="1:21" ht="15.75" thickBot="1" x14ac:dyDescent="0.3">
      <c r="A6" s="31" t="s">
        <v>311</v>
      </c>
      <c r="B6" s="44" t="s">
        <v>319</v>
      </c>
      <c r="C6" s="39" t="s">
        <v>318</v>
      </c>
      <c r="D6" s="39" t="s">
        <v>317</v>
      </c>
      <c r="E6" s="39" t="s">
        <v>316</v>
      </c>
      <c r="F6" s="39" t="s">
        <v>315</v>
      </c>
      <c r="G6" s="39" t="s">
        <v>314</v>
      </c>
      <c r="H6" s="68" t="s">
        <v>313</v>
      </c>
      <c r="J6" s="31" t="s">
        <v>311</v>
      </c>
      <c r="K6" s="44" t="s">
        <v>322</v>
      </c>
      <c r="L6" s="39" t="s">
        <v>319</v>
      </c>
      <c r="M6" s="39" t="s">
        <v>318</v>
      </c>
      <c r="N6" s="39" t="s">
        <v>317</v>
      </c>
      <c r="O6" s="39" t="s">
        <v>316</v>
      </c>
      <c r="P6" s="39" t="s">
        <v>315</v>
      </c>
      <c r="Q6" s="39" t="s">
        <v>314</v>
      </c>
      <c r="R6" s="40" t="s">
        <v>313</v>
      </c>
      <c r="U6" s="6"/>
    </row>
    <row r="7" spans="1:21" x14ac:dyDescent="0.25">
      <c r="A7" s="27" t="s">
        <v>29</v>
      </c>
      <c r="B7" s="22">
        <v>55.909090909090907</v>
      </c>
      <c r="C7" s="23">
        <v>66.13636363636364</v>
      </c>
      <c r="D7" s="23">
        <v>70.681818181818187</v>
      </c>
      <c r="E7" s="23">
        <v>47.272727272727273</v>
      </c>
      <c r="F7" s="23">
        <v>68.63636363636364</v>
      </c>
      <c r="G7" s="23">
        <v>54.545454545454547</v>
      </c>
      <c r="H7" s="24">
        <v>363.18181818181819</v>
      </c>
      <c r="J7" s="27" t="s">
        <v>327</v>
      </c>
      <c r="K7" s="69">
        <v>24</v>
      </c>
      <c r="L7" s="23">
        <v>79.541666666666671</v>
      </c>
      <c r="M7" s="23">
        <v>86.208333333333329</v>
      </c>
      <c r="N7" s="23">
        <v>81.916666666666671</v>
      </c>
      <c r="O7" s="23">
        <v>90</v>
      </c>
      <c r="P7" s="23">
        <v>87</v>
      </c>
      <c r="Q7" s="23">
        <v>82</v>
      </c>
      <c r="R7" s="24">
        <v>506.66666666666669</v>
      </c>
      <c r="U7" s="6"/>
    </row>
    <row r="8" spans="1:21" x14ac:dyDescent="0.25">
      <c r="A8" s="28" t="s">
        <v>228</v>
      </c>
      <c r="B8" s="25">
        <v>66</v>
      </c>
      <c r="C8" s="3">
        <v>79</v>
      </c>
      <c r="D8" s="3">
        <v>57.4</v>
      </c>
      <c r="E8" s="3">
        <v>74</v>
      </c>
      <c r="F8" s="3">
        <v>75.400000000000006</v>
      </c>
      <c r="G8" s="3">
        <v>86.2</v>
      </c>
      <c r="H8" s="18">
        <v>438</v>
      </c>
      <c r="J8" s="28" t="s">
        <v>328</v>
      </c>
      <c r="K8" s="5">
        <v>14</v>
      </c>
      <c r="L8" s="3">
        <v>120.64285714285714</v>
      </c>
      <c r="M8" s="3">
        <v>90.214285714285708</v>
      </c>
      <c r="N8" s="3">
        <v>84.285714285714292</v>
      </c>
      <c r="O8" s="3">
        <v>99.928571428571431</v>
      </c>
      <c r="P8" s="3">
        <v>109.14285714285714</v>
      </c>
      <c r="Q8" s="3">
        <v>89.357142857142861</v>
      </c>
      <c r="R8" s="18">
        <v>593.57142857142856</v>
      </c>
      <c r="U8" s="6"/>
    </row>
    <row r="9" spans="1:21" x14ac:dyDescent="0.25">
      <c r="A9" s="28" t="s">
        <v>177</v>
      </c>
      <c r="B9" s="25">
        <v>64.333333333333329</v>
      </c>
      <c r="C9" s="3">
        <v>94</v>
      </c>
      <c r="D9" s="3">
        <v>68.333333333333329</v>
      </c>
      <c r="E9" s="3">
        <v>73.333333333333329</v>
      </c>
      <c r="F9" s="3">
        <v>73.333333333333329</v>
      </c>
      <c r="G9" s="3">
        <v>66.666666666666671</v>
      </c>
      <c r="H9" s="18">
        <v>440</v>
      </c>
      <c r="J9" s="28" t="s">
        <v>329</v>
      </c>
      <c r="K9" s="5">
        <v>97</v>
      </c>
      <c r="L9" s="3">
        <v>48.422680412371136</v>
      </c>
      <c r="M9" s="3">
        <v>53.329896907216494</v>
      </c>
      <c r="N9" s="3">
        <v>52.618556701030926</v>
      </c>
      <c r="O9" s="3">
        <v>48.907216494845358</v>
      </c>
      <c r="P9" s="3">
        <v>47.27835051546392</v>
      </c>
      <c r="Q9" s="3">
        <v>53.216494845360828</v>
      </c>
      <c r="R9" s="18">
        <v>303.77319587628864</v>
      </c>
      <c r="U9" s="6"/>
    </row>
    <row r="10" spans="1:21" ht="15.75" thickBot="1" x14ac:dyDescent="0.3">
      <c r="A10" s="28" t="s">
        <v>46</v>
      </c>
      <c r="B10" s="25">
        <v>57.333333333333336</v>
      </c>
      <c r="C10" s="3">
        <v>61.06666666666667</v>
      </c>
      <c r="D10" s="3">
        <v>59.266666666666666</v>
      </c>
      <c r="E10" s="3">
        <v>86.333333333333329</v>
      </c>
      <c r="F10" s="3">
        <v>69.666666666666671</v>
      </c>
      <c r="G10" s="3">
        <v>87</v>
      </c>
      <c r="H10" s="18">
        <v>420.66666666666669</v>
      </c>
      <c r="J10" s="29" t="s">
        <v>330</v>
      </c>
      <c r="K10" s="5">
        <v>115</v>
      </c>
      <c r="L10" s="3">
        <v>73.03478260869565</v>
      </c>
      <c r="M10" s="3">
        <v>80.269565217391303</v>
      </c>
      <c r="N10" s="3">
        <v>77.573913043478257</v>
      </c>
      <c r="O10" s="3">
        <v>71.173913043478265</v>
      </c>
      <c r="P10" s="3">
        <v>77.486956521739131</v>
      </c>
      <c r="Q10" s="3">
        <v>70.339130434782604</v>
      </c>
      <c r="R10" s="18">
        <v>449.87826086956522</v>
      </c>
      <c r="U10" s="6"/>
    </row>
    <row r="11" spans="1:21" ht="15.75" thickBot="1" x14ac:dyDescent="0.3">
      <c r="A11" s="28" t="s">
        <v>58</v>
      </c>
      <c r="B11" s="25">
        <v>65</v>
      </c>
      <c r="C11" s="3">
        <v>57.142857142857146</v>
      </c>
      <c r="D11" s="3">
        <v>60.571428571428569</v>
      </c>
      <c r="E11" s="3">
        <v>60</v>
      </c>
      <c r="F11" s="3">
        <v>68.571428571428569</v>
      </c>
      <c r="G11" s="3">
        <v>35</v>
      </c>
      <c r="H11" s="18">
        <v>346.28571428571428</v>
      </c>
      <c r="J11" s="30" t="s">
        <v>312</v>
      </c>
      <c r="K11" s="7">
        <v>250</v>
      </c>
      <c r="L11" s="20">
        <v>66.775999999999996</v>
      </c>
      <c r="M11" s="20">
        <v>70.944000000000003</v>
      </c>
      <c r="N11" s="20">
        <v>68.683999999999997</v>
      </c>
      <c r="O11" s="20">
        <v>65.951999999999998</v>
      </c>
      <c r="P11" s="20">
        <v>68.451999999999998</v>
      </c>
      <c r="Q11" s="20">
        <v>65.88</v>
      </c>
      <c r="R11" s="21">
        <v>406.68799999999999</v>
      </c>
      <c r="U11" s="6"/>
    </row>
    <row r="12" spans="1:21" x14ac:dyDescent="0.25">
      <c r="A12" s="28" t="s">
        <v>80</v>
      </c>
      <c r="B12" s="25">
        <v>58.888888888888886</v>
      </c>
      <c r="C12" s="3">
        <v>94.444444444444443</v>
      </c>
      <c r="D12" s="3">
        <v>61.888888888888886</v>
      </c>
      <c r="E12" s="3">
        <v>42.777777777777779</v>
      </c>
      <c r="F12" s="3">
        <v>73.333333333333329</v>
      </c>
      <c r="G12" s="3">
        <v>63.111111111111114</v>
      </c>
      <c r="H12" s="18">
        <v>394.44444444444446</v>
      </c>
      <c r="U12" s="6"/>
    </row>
    <row r="13" spans="1:21" x14ac:dyDescent="0.25">
      <c r="A13" s="28" t="s">
        <v>19</v>
      </c>
      <c r="B13" s="25">
        <v>65.349999999999994</v>
      </c>
      <c r="C13" s="3">
        <v>80.849999999999994</v>
      </c>
      <c r="D13" s="3">
        <v>65.099999999999994</v>
      </c>
      <c r="E13" s="3">
        <v>84.7</v>
      </c>
      <c r="F13" s="3">
        <v>76.2</v>
      </c>
      <c r="G13" s="3">
        <v>78.8</v>
      </c>
      <c r="H13" s="18">
        <v>451</v>
      </c>
      <c r="U13" s="6"/>
    </row>
    <row r="14" spans="1:21" x14ac:dyDescent="0.25">
      <c r="A14" s="28" t="s">
        <v>121</v>
      </c>
      <c r="B14" s="25">
        <v>48.75</v>
      </c>
      <c r="C14" s="3">
        <v>52.5</v>
      </c>
      <c r="D14" s="3">
        <v>48.75</v>
      </c>
      <c r="E14" s="3">
        <v>107.5</v>
      </c>
      <c r="F14" s="3">
        <v>62.5</v>
      </c>
      <c r="G14" s="3">
        <v>92.5</v>
      </c>
      <c r="H14" s="18">
        <v>412.5</v>
      </c>
      <c r="U14" s="6"/>
    </row>
    <row r="15" spans="1:21" x14ac:dyDescent="0.25">
      <c r="A15" s="28" t="s">
        <v>14</v>
      </c>
      <c r="B15" s="25">
        <v>62.38095238095238</v>
      </c>
      <c r="C15" s="3">
        <v>64.80952380952381</v>
      </c>
      <c r="D15" s="3">
        <v>67.61904761904762</v>
      </c>
      <c r="E15" s="3">
        <v>76.666666666666671</v>
      </c>
      <c r="F15" s="3">
        <v>69.285714285714292</v>
      </c>
      <c r="G15" s="3">
        <v>55.238095238095241</v>
      </c>
      <c r="H15" s="18">
        <v>396</v>
      </c>
      <c r="U15" s="6"/>
    </row>
    <row r="16" spans="1:21" x14ac:dyDescent="0.25">
      <c r="A16" s="28" t="s">
        <v>49</v>
      </c>
      <c r="B16" s="25">
        <v>64.545454545454547</v>
      </c>
      <c r="C16" s="3">
        <v>84.545454545454547</v>
      </c>
      <c r="D16" s="3">
        <v>88.63636363636364</v>
      </c>
      <c r="E16" s="3">
        <v>40.909090909090907</v>
      </c>
      <c r="F16" s="3">
        <v>51.81818181818182</v>
      </c>
      <c r="G16" s="3">
        <v>58.18181818181818</v>
      </c>
      <c r="H16" s="18">
        <v>388.63636363636363</v>
      </c>
      <c r="U16" s="6"/>
    </row>
    <row r="17" spans="1:21" x14ac:dyDescent="0.25">
      <c r="A17" s="28" t="s">
        <v>115</v>
      </c>
      <c r="B17" s="25">
        <v>65.833333333333329</v>
      </c>
      <c r="C17" s="3">
        <v>61.666666666666664</v>
      </c>
      <c r="D17" s="3">
        <v>52.5</v>
      </c>
      <c r="E17" s="3">
        <v>75</v>
      </c>
      <c r="F17" s="3">
        <v>70</v>
      </c>
      <c r="G17" s="3">
        <v>70</v>
      </c>
      <c r="H17" s="18">
        <v>395</v>
      </c>
      <c r="U17" s="6"/>
    </row>
    <row r="18" spans="1:21" x14ac:dyDescent="0.25">
      <c r="A18" s="28" t="s">
        <v>36</v>
      </c>
      <c r="B18" s="25">
        <v>82.13513513513513</v>
      </c>
      <c r="C18" s="3">
        <v>66.540540540540547</v>
      </c>
      <c r="D18" s="3">
        <v>53.729729729729726</v>
      </c>
      <c r="E18" s="3">
        <v>54.45945945945946</v>
      </c>
      <c r="F18" s="3">
        <v>62.405405405405403</v>
      </c>
      <c r="G18" s="3">
        <v>66.621621621621628</v>
      </c>
      <c r="H18" s="18">
        <v>385.89189189189187</v>
      </c>
      <c r="U18" s="6"/>
    </row>
    <row r="19" spans="1:21" x14ac:dyDescent="0.25">
      <c r="A19" s="28" t="s">
        <v>15</v>
      </c>
      <c r="B19" s="25">
        <v>65.86666666666666</v>
      </c>
      <c r="C19" s="3">
        <v>76.13333333333334</v>
      </c>
      <c r="D19" s="3">
        <v>67.86666666666666</v>
      </c>
      <c r="E19" s="3">
        <v>58</v>
      </c>
      <c r="F19" s="3">
        <v>62.866666666666667</v>
      </c>
      <c r="G19" s="3">
        <v>63.533333333333331</v>
      </c>
      <c r="H19" s="18">
        <v>394.26666666666665</v>
      </c>
      <c r="U19" s="6"/>
    </row>
    <row r="20" spans="1:21" x14ac:dyDescent="0.25">
      <c r="A20" s="28" t="s">
        <v>88</v>
      </c>
      <c r="B20" s="25">
        <v>73.214285714285708</v>
      </c>
      <c r="C20" s="3">
        <v>61.857142857142854</v>
      </c>
      <c r="D20" s="3">
        <v>62.214285714285715</v>
      </c>
      <c r="E20" s="3">
        <v>94.285714285714292</v>
      </c>
      <c r="F20" s="3">
        <v>86.071428571428569</v>
      </c>
      <c r="G20" s="3">
        <v>86.428571428571431</v>
      </c>
      <c r="H20" s="18">
        <v>464.07142857142856</v>
      </c>
      <c r="U20" s="6"/>
    </row>
    <row r="21" spans="1:21" x14ac:dyDescent="0.25">
      <c r="A21" s="28" t="s">
        <v>100</v>
      </c>
      <c r="B21" s="25">
        <v>59.615384615384613</v>
      </c>
      <c r="C21" s="3">
        <v>86.307692307692307</v>
      </c>
      <c r="D21" s="3">
        <v>102.69230769230769</v>
      </c>
      <c r="E21" s="3">
        <v>60</v>
      </c>
      <c r="F21" s="3">
        <v>60.384615384615387</v>
      </c>
      <c r="G21" s="3">
        <v>54.46153846153846</v>
      </c>
      <c r="H21" s="18">
        <v>423.46153846153845</v>
      </c>
      <c r="U21" s="6"/>
    </row>
    <row r="22" spans="1:21" x14ac:dyDescent="0.25">
      <c r="A22" s="28" t="s">
        <v>108</v>
      </c>
      <c r="B22" s="25">
        <v>70</v>
      </c>
      <c r="C22" s="3">
        <v>82.5</v>
      </c>
      <c r="D22" s="3">
        <v>170</v>
      </c>
      <c r="E22" s="3">
        <v>47.5</v>
      </c>
      <c r="F22" s="3">
        <v>67.5</v>
      </c>
      <c r="G22" s="3">
        <v>50</v>
      </c>
      <c r="H22" s="18">
        <v>487.5</v>
      </c>
      <c r="U22" s="6"/>
    </row>
    <row r="23" spans="1:21" ht="15.75" thickBot="1" x14ac:dyDescent="0.3">
      <c r="A23" s="29" t="s">
        <v>25</v>
      </c>
      <c r="B23" s="25">
        <v>69.826086956521735</v>
      </c>
      <c r="C23" s="3">
        <v>69.413043478260875</v>
      </c>
      <c r="D23" s="3">
        <v>75.978260869565219</v>
      </c>
      <c r="E23" s="3">
        <v>66.173913043478265</v>
      </c>
      <c r="F23" s="3">
        <v>70.108695652173907</v>
      </c>
      <c r="G23" s="3">
        <v>63.456521739130437</v>
      </c>
      <c r="H23" s="18">
        <v>414.95652173913044</v>
      </c>
      <c r="U23" s="6"/>
    </row>
    <row r="24" spans="1:21" ht="15.75" thickBot="1" x14ac:dyDescent="0.3">
      <c r="A24" s="30" t="s">
        <v>312</v>
      </c>
      <c r="B24" s="26">
        <v>66.775999999999996</v>
      </c>
      <c r="C24" s="20">
        <v>70.944000000000003</v>
      </c>
      <c r="D24" s="20">
        <v>68.683999999999997</v>
      </c>
      <c r="E24" s="20">
        <v>65.951999999999998</v>
      </c>
      <c r="F24" s="20">
        <v>68.451999999999998</v>
      </c>
      <c r="G24" s="20">
        <v>65.88</v>
      </c>
      <c r="H24" s="21">
        <v>406.68799999999999</v>
      </c>
      <c r="U24" s="6"/>
    </row>
    <row r="25" spans="1:21" x14ac:dyDescent="0.25">
      <c r="A25" s="5"/>
      <c r="U25" s="6"/>
    </row>
    <row r="26" spans="1:21" ht="15.75" thickBot="1" x14ac:dyDescent="0.3">
      <c r="A26" s="5"/>
      <c r="U26" s="6"/>
    </row>
    <row r="27" spans="1:21" x14ac:dyDescent="0.25">
      <c r="A27" s="116" t="s">
        <v>323</v>
      </c>
      <c r="B27" s="117"/>
      <c r="D27" s="120" t="s">
        <v>325</v>
      </c>
      <c r="E27" s="121"/>
      <c r="F27" s="121"/>
      <c r="G27" s="121"/>
      <c r="H27" s="121"/>
      <c r="I27" s="121"/>
      <c r="J27" s="121"/>
      <c r="K27" s="121"/>
      <c r="L27" s="121"/>
      <c r="M27" s="121"/>
      <c r="N27" s="121"/>
      <c r="O27" s="121"/>
      <c r="P27" s="121"/>
      <c r="Q27" s="121"/>
      <c r="R27" s="121"/>
      <c r="S27" s="121"/>
      <c r="T27" s="121"/>
      <c r="U27" s="122"/>
    </row>
    <row r="28" spans="1:21" ht="15.75" thickBot="1" x14ac:dyDescent="0.3">
      <c r="A28" s="118"/>
      <c r="B28" s="119"/>
      <c r="C28" s="3"/>
      <c r="D28" s="123"/>
      <c r="E28" s="124"/>
      <c r="F28" s="124"/>
      <c r="G28" s="124"/>
      <c r="H28" s="124"/>
      <c r="I28" s="124"/>
      <c r="J28" s="124"/>
      <c r="K28" s="124"/>
      <c r="L28" s="124"/>
      <c r="M28" s="124"/>
      <c r="N28" s="124"/>
      <c r="O28" s="124"/>
      <c r="P28" s="124"/>
      <c r="Q28" s="124"/>
      <c r="R28" s="124"/>
      <c r="S28" s="124"/>
      <c r="T28" s="124"/>
      <c r="U28" s="125"/>
    </row>
    <row r="29" spans="1:21" ht="15.75" thickBot="1" x14ac:dyDescent="0.3">
      <c r="A29" s="31" t="s">
        <v>311</v>
      </c>
      <c r="B29" s="50" t="s">
        <v>322</v>
      </c>
      <c r="D29" s="31" t="s">
        <v>322</v>
      </c>
      <c r="E29" s="31" t="s">
        <v>324</v>
      </c>
      <c r="F29" s="44"/>
      <c r="G29" s="39"/>
      <c r="H29" s="39"/>
      <c r="I29" s="39"/>
      <c r="J29" s="39"/>
      <c r="K29" s="39"/>
      <c r="L29" s="39"/>
      <c r="M29" s="39"/>
      <c r="N29" s="39"/>
      <c r="O29" s="39"/>
      <c r="P29" s="39"/>
      <c r="Q29" s="39"/>
      <c r="R29" s="39"/>
      <c r="S29" s="39"/>
      <c r="T29" s="39"/>
      <c r="U29" s="40"/>
    </row>
    <row r="30" spans="1:21" ht="15.75" thickBot="1" x14ac:dyDescent="0.3">
      <c r="A30" s="27" t="s">
        <v>25</v>
      </c>
      <c r="B30" s="32">
        <v>46</v>
      </c>
      <c r="D30" s="31" t="s">
        <v>311</v>
      </c>
      <c r="E30" s="44" t="s">
        <v>228</v>
      </c>
      <c r="F30" s="39" t="s">
        <v>177</v>
      </c>
      <c r="G30" s="39" t="s">
        <v>46</v>
      </c>
      <c r="H30" s="39" t="s">
        <v>58</v>
      </c>
      <c r="I30" s="39" t="s">
        <v>80</v>
      </c>
      <c r="J30" s="39" t="s">
        <v>19</v>
      </c>
      <c r="K30" s="39" t="s">
        <v>23</v>
      </c>
      <c r="L30" s="39" t="s">
        <v>14</v>
      </c>
      <c r="M30" s="39" t="s">
        <v>49</v>
      </c>
      <c r="N30" s="39" t="s">
        <v>115</v>
      </c>
      <c r="O30" s="39" t="s">
        <v>20</v>
      </c>
      <c r="P30" s="39" t="s">
        <v>15</v>
      </c>
      <c r="Q30" s="39" t="s">
        <v>88</v>
      </c>
      <c r="R30" s="39" t="s">
        <v>100</v>
      </c>
      <c r="S30" s="39" t="s">
        <v>108</v>
      </c>
      <c r="T30" s="40" t="s">
        <v>25</v>
      </c>
      <c r="U30" s="50" t="s">
        <v>312</v>
      </c>
    </row>
    <row r="31" spans="1:21" x14ac:dyDescent="0.25">
      <c r="A31" s="28" t="s">
        <v>36</v>
      </c>
      <c r="B31" s="33">
        <v>37</v>
      </c>
      <c r="D31" s="27" t="s">
        <v>25</v>
      </c>
      <c r="E31" s="22"/>
      <c r="F31" s="23">
        <v>1</v>
      </c>
      <c r="G31" s="23">
        <v>2</v>
      </c>
      <c r="H31" s="23">
        <v>2</v>
      </c>
      <c r="I31" s="23">
        <v>1</v>
      </c>
      <c r="J31" s="23"/>
      <c r="K31" s="23">
        <v>2</v>
      </c>
      <c r="L31" s="23"/>
      <c r="M31" s="23">
        <v>2</v>
      </c>
      <c r="N31" s="23">
        <v>3</v>
      </c>
      <c r="O31" s="23">
        <v>25</v>
      </c>
      <c r="P31" s="23">
        <v>3</v>
      </c>
      <c r="Q31" s="23">
        <v>4</v>
      </c>
      <c r="R31" s="23">
        <v>1</v>
      </c>
      <c r="S31" s="23"/>
      <c r="T31" s="23"/>
      <c r="U31" s="24">
        <v>46</v>
      </c>
    </row>
    <row r="32" spans="1:21" x14ac:dyDescent="0.25">
      <c r="A32" s="28" t="s">
        <v>29</v>
      </c>
      <c r="B32" s="33">
        <v>22</v>
      </c>
      <c r="D32" s="28" t="s">
        <v>36</v>
      </c>
      <c r="E32" s="25"/>
      <c r="F32" s="3"/>
      <c r="G32" s="3"/>
      <c r="H32" s="3">
        <v>3</v>
      </c>
      <c r="I32" s="3"/>
      <c r="J32" s="3"/>
      <c r="K32" s="3">
        <v>10</v>
      </c>
      <c r="L32" s="3"/>
      <c r="M32" s="3"/>
      <c r="N32" s="3"/>
      <c r="O32" s="3">
        <v>23</v>
      </c>
      <c r="P32" s="3"/>
      <c r="Q32" s="3">
        <v>1</v>
      </c>
      <c r="R32" s="3"/>
      <c r="S32" s="3"/>
      <c r="T32" s="3"/>
      <c r="U32" s="18">
        <v>37</v>
      </c>
    </row>
    <row r="33" spans="1:21" x14ac:dyDescent="0.25">
      <c r="A33" s="28" t="s">
        <v>14</v>
      </c>
      <c r="B33" s="33">
        <v>21</v>
      </c>
      <c r="D33" s="28" t="s">
        <v>29</v>
      </c>
      <c r="E33" s="25"/>
      <c r="F33" s="3"/>
      <c r="G33" s="3"/>
      <c r="H33" s="3"/>
      <c r="I33" s="3">
        <v>1</v>
      </c>
      <c r="J33" s="3"/>
      <c r="K33" s="3">
        <v>5</v>
      </c>
      <c r="L33" s="3">
        <v>2</v>
      </c>
      <c r="M33" s="3"/>
      <c r="N33" s="3"/>
      <c r="O33" s="3">
        <v>4</v>
      </c>
      <c r="P33" s="3">
        <v>7</v>
      </c>
      <c r="Q33" s="3"/>
      <c r="R33" s="3">
        <v>1</v>
      </c>
      <c r="S33" s="3">
        <v>2</v>
      </c>
      <c r="T33" s="3"/>
      <c r="U33" s="18">
        <v>22</v>
      </c>
    </row>
    <row r="34" spans="1:21" x14ac:dyDescent="0.25">
      <c r="A34" s="28" t="s">
        <v>19</v>
      </c>
      <c r="B34" s="33">
        <v>20</v>
      </c>
      <c r="D34" s="28" t="s">
        <v>14</v>
      </c>
      <c r="E34" s="25"/>
      <c r="F34" s="3"/>
      <c r="G34" s="3"/>
      <c r="H34" s="3"/>
      <c r="I34" s="3"/>
      <c r="J34" s="3"/>
      <c r="K34" s="3">
        <v>3</v>
      </c>
      <c r="L34" s="3"/>
      <c r="M34" s="3"/>
      <c r="N34" s="3"/>
      <c r="O34" s="3">
        <v>7</v>
      </c>
      <c r="P34" s="3">
        <v>9</v>
      </c>
      <c r="Q34" s="3">
        <v>2</v>
      </c>
      <c r="R34" s="3"/>
      <c r="S34" s="3"/>
      <c r="T34" s="3"/>
      <c r="U34" s="18">
        <v>21</v>
      </c>
    </row>
    <row r="35" spans="1:21" x14ac:dyDescent="0.25">
      <c r="A35" s="28" t="s">
        <v>15</v>
      </c>
      <c r="B35" s="33">
        <v>15</v>
      </c>
      <c r="D35" s="28" t="s">
        <v>19</v>
      </c>
      <c r="E35" s="25"/>
      <c r="F35" s="3"/>
      <c r="G35" s="3"/>
      <c r="H35" s="3"/>
      <c r="I35" s="3"/>
      <c r="J35" s="3"/>
      <c r="K35" s="3">
        <v>3</v>
      </c>
      <c r="L35" s="3"/>
      <c r="M35" s="3"/>
      <c r="N35" s="3"/>
      <c r="O35" s="3">
        <v>16</v>
      </c>
      <c r="P35" s="3"/>
      <c r="Q35" s="3"/>
      <c r="R35" s="3">
        <v>1</v>
      </c>
      <c r="S35" s="3"/>
      <c r="T35" s="3"/>
      <c r="U35" s="18">
        <v>20</v>
      </c>
    </row>
    <row r="36" spans="1:21" x14ac:dyDescent="0.25">
      <c r="A36" s="28" t="s">
        <v>46</v>
      </c>
      <c r="B36" s="33">
        <v>15</v>
      </c>
      <c r="D36" s="28" t="s">
        <v>15</v>
      </c>
      <c r="E36" s="25"/>
      <c r="F36" s="3"/>
      <c r="G36" s="3"/>
      <c r="H36" s="3"/>
      <c r="I36" s="3"/>
      <c r="J36" s="3"/>
      <c r="K36" s="3">
        <v>3</v>
      </c>
      <c r="L36" s="3"/>
      <c r="M36" s="3">
        <v>2</v>
      </c>
      <c r="N36" s="3"/>
      <c r="O36" s="3">
        <v>10</v>
      </c>
      <c r="P36" s="3"/>
      <c r="Q36" s="3"/>
      <c r="R36" s="3"/>
      <c r="S36" s="3"/>
      <c r="T36" s="3"/>
      <c r="U36" s="18">
        <v>15</v>
      </c>
    </row>
    <row r="37" spans="1:21" x14ac:dyDescent="0.25">
      <c r="A37" s="28" t="s">
        <v>88</v>
      </c>
      <c r="B37" s="33">
        <v>14</v>
      </c>
      <c r="D37" s="28" t="s">
        <v>46</v>
      </c>
      <c r="E37" s="25"/>
      <c r="F37" s="3"/>
      <c r="G37" s="3"/>
      <c r="H37" s="3"/>
      <c r="I37" s="3"/>
      <c r="J37" s="3"/>
      <c r="K37" s="3">
        <v>1</v>
      </c>
      <c r="L37" s="3"/>
      <c r="M37" s="3"/>
      <c r="N37" s="3"/>
      <c r="O37" s="3">
        <v>12</v>
      </c>
      <c r="P37" s="3"/>
      <c r="Q37" s="3"/>
      <c r="R37" s="3"/>
      <c r="S37" s="3">
        <v>2</v>
      </c>
      <c r="T37" s="3"/>
      <c r="U37" s="18">
        <v>15</v>
      </c>
    </row>
    <row r="38" spans="1:21" x14ac:dyDescent="0.25">
      <c r="A38" s="28" t="s">
        <v>100</v>
      </c>
      <c r="B38" s="33">
        <v>13</v>
      </c>
      <c r="D38" s="28" t="s">
        <v>88</v>
      </c>
      <c r="E38" s="25"/>
      <c r="F38" s="3"/>
      <c r="G38" s="3"/>
      <c r="H38" s="3">
        <v>1</v>
      </c>
      <c r="I38" s="3"/>
      <c r="J38" s="3"/>
      <c r="K38" s="3">
        <v>3</v>
      </c>
      <c r="L38" s="3"/>
      <c r="M38" s="3"/>
      <c r="N38" s="3"/>
      <c r="O38" s="3">
        <v>10</v>
      </c>
      <c r="P38" s="3"/>
      <c r="Q38" s="3"/>
      <c r="R38" s="3"/>
      <c r="S38" s="3"/>
      <c r="T38" s="3"/>
      <c r="U38" s="18">
        <v>14</v>
      </c>
    </row>
    <row r="39" spans="1:21" x14ac:dyDescent="0.25">
      <c r="A39" s="28" t="s">
        <v>49</v>
      </c>
      <c r="B39" s="33">
        <v>11</v>
      </c>
      <c r="D39" s="28" t="s">
        <v>100</v>
      </c>
      <c r="E39" s="25">
        <v>1</v>
      </c>
      <c r="F39" s="3"/>
      <c r="G39" s="3"/>
      <c r="H39" s="3"/>
      <c r="I39" s="3"/>
      <c r="J39" s="3"/>
      <c r="K39" s="3">
        <v>1</v>
      </c>
      <c r="L39" s="3"/>
      <c r="M39" s="3">
        <v>6</v>
      </c>
      <c r="N39" s="3"/>
      <c r="O39" s="3">
        <v>1</v>
      </c>
      <c r="P39" s="3"/>
      <c r="Q39" s="3"/>
      <c r="R39" s="3"/>
      <c r="S39" s="3"/>
      <c r="T39" s="3">
        <v>4</v>
      </c>
      <c r="U39" s="18">
        <v>13</v>
      </c>
    </row>
    <row r="40" spans="1:21" x14ac:dyDescent="0.25">
      <c r="A40" s="28" t="s">
        <v>80</v>
      </c>
      <c r="B40" s="33">
        <v>9</v>
      </c>
      <c r="D40" s="28" t="s">
        <v>49</v>
      </c>
      <c r="E40" s="25"/>
      <c r="F40" s="3"/>
      <c r="G40" s="3"/>
      <c r="H40" s="3"/>
      <c r="I40" s="3"/>
      <c r="J40" s="3"/>
      <c r="K40" s="3">
        <v>1</v>
      </c>
      <c r="L40" s="3"/>
      <c r="M40" s="3"/>
      <c r="N40" s="3"/>
      <c r="O40" s="3">
        <v>8</v>
      </c>
      <c r="P40" s="3"/>
      <c r="Q40" s="3"/>
      <c r="R40" s="3">
        <v>2</v>
      </c>
      <c r="S40" s="3"/>
      <c r="T40" s="3"/>
      <c r="U40" s="18">
        <v>11</v>
      </c>
    </row>
    <row r="41" spans="1:21" x14ac:dyDescent="0.25">
      <c r="A41" s="28" t="s">
        <v>58</v>
      </c>
      <c r="B41" s="33">
        <v>7</v>
      </c>
      <c r="D41" s="28" t="s">
        <v>80</v>
      </c>
      <c r="E41" s="25"/>
      <c r="F41" s="3"/>
      <c r="G41" s="3"/>
      <c r="H41" s="3"/>
      <c r="I41" s="3"/>
      <c r="J41" s="3"/>
      <c r="K41" s="3"/>
      <c r="L41" s="3"/>
      <c r="M41" s="3"/>
      <c r="N41" s="3"/>
      <c r="O41" s="3">
        <v>9</v>
      </c>
      <c r="P41" s="3"/>
      <c r="Q41" s="3"/>
      <c r="R41" s="3"/>
      <c r="S41" s="3"/>
      <c r="T41" s="3"/>
      <c r="U41" s="18">
        <v>9</v>
      </c>
    </row>
    <row r="42" spans="1:21" x14ac:dyDescent="0.25">
      <c r="A42" s="28" t="s">
        <v>115</v>
      </c>
      <c r="B42" s="33">
        <v>6</v>
      </c>
      <c r="D42" s="28" t="s">
        <v>58</v>
      </c>
      <c r="E42" s="25"/>
      <c r="F42" s="3"/>
      <c r="G42" s="3"/>
      <c r="H42" s="3"/>
      <c r="I42" s="3"/>
      <c r="J42" s="3"/>
      <c r="K42" s="3">
        <v>1</v>
      </c>
      <c r="L42" s="3"/>
      <c r="M42" s="3"/>
      <c r="N42" s="3"/>
      <c r="O42" s="3">
        <v>6</v>
      </c>
      <c r="P42" s="3"/>
      <c r="Q42" s="3"/>
      <c r="R42" s="3"/>
      <c r="S42" s="3"/>
      <c r="T42" s="3"/>
      <c r="U42" s="18">
        <v>7</v>
      </c>
    </row>
    <row r="43" spans="1:21" x14ac:dyDescent="0.25">
      <c r="A43" s="28" t="s">
        <v>228</v>
      </c>
      <c r="B43" s="33">
        <v>5</v>
      </c>
      <c r="D43" s="28" t="s">
        <v>115</v>
      </c>
      <c r="E43" s="25"/>
      <c r="F43" s="3"/>
      <c r="G43" s="3"/>
      <c r="H43" s="3"/>
      <c r="I43" s="3"/>
      <c r="J43" s="3"/>
      <c r="K43" s="3">
        <v>2</v>
      </c>
      <c r="L43" s="3"/>
      <c r="M43" s="3">
        <v>2</v>
      </c>
      <c r="N43" s="3"/>
      <c r="O43" s="3"/>
      <c r="P43" s="3"/>
      <c r="Q43" s="3">
        <v>2</v>
      </c>
      <c r="R43" s="3"/>
      <c r="S43" s="3"/>
      <c r="T43" s="3"/>
      <c r="U43" s="18">
        <v>6</v>
      </c>
    </row>
    <row r="44" spans="1:21" x14ac:dyDescent="0.25">
      <c r="A44" s="28" t="s">
        <v>121</v>
      </c>
      <c r="B44" s="33">
        <v>4</v>
      </c>
      <c r="D44" s="28" t="s">
        <v>228</v>
      </c>
      <c r="E44" s="25"/>
      <c r="F44" s="3"/>
      <c r="G44" s="3"/>
      <c r="H44" s="3"/>
      <c r="I44" s="3"/>
      <c r="J44" s="3">
        <v>2</v>
      </c>
      <c r="K44" s="3">
        <v>1</v>
      </c>
      <c r="L44" s="3"/>
      <c r="M44" s="3"/>
      <c r="N44" s="3">
        <v>1</v>
      </c>
      <c r="O44" s="3">
        <v>1</v>
      </c>
      <c r="P44" s="3"/>
      <c r="Q44" s="3"/>
      <c r="R44" s="3"/>
      <c r="S44" s="3"/>
      <c r="T44" s="3"/>
      <c r="U44" s="18">
        <v>5</v>
      </c>
    </row>
    <row r="45" spans="1:21" x14ac:dyDescent="0.25">
      <c r="A45" s="28" t="s">
        <v>177</v>
      </c>
      <c r="B45" s="33">
        <v>3</v>
      </c>
      <c r="D45" s="28" t="s">
        <v>121</v>
      </c>
      <c r="E45" s="25"/>
      <c r="F45" s="3"/>
      <c r="G45" s="3"/>
      <c r="H45" s="3"/>
      <c r="I45" s="3"/>
      <c r="J45" s="3"/>
      <c r="K45" s="3"/>
      <c r="L45" s="3"/>
      <c r="M45" s="3"/>
      <c r="N45" s="3"/>
      <c r="O45" s="3">
        <v>1</v>
      </c>
      <c r="P45" s="3">
        <v>3</v>
      </c>
      <c r="Q45" s="3"/>
      <c r="R45" s="3"/>
      <c r="S45" s="3"/>
      <c r="T45" s="3"/>
      <c r="U45" s="18">
        <v>4</v>
      </c>
    </row>
    <row r="46" spans="1:21" ht="15.75" thickBot="1" x14ac:dyDescent="0.3">
      <c r="A46" s="29" t="s">
        <v>108</v>
      </c>
      <c r="B46" s="33">
        <v>2</v>
      </c>
      <c r="D46" s="28" t="s">
        <v>177</v>
      </c>
      <c r="E46" s="25"/>
      <c r="F46" s="3"/>
      <c r="G46" s="3"/>
      <c r="H46" s="3"/>
      <c r="I46" s="3"/>
      <c r="J46" s="3"/>
      <c r="K46" s="3">
        <v>1</v>
      </c>
      <c r="L46" s="3"/>
      <c r="M46" s="3"/>
      <c r="N46" s="3"/>
      <c r="O46" s="3">
        <v>2</v>
      </c>
      <c r="P46" s="3"/>
      <c r="Q46" s="3"/>
      <c r="R46" s="3"/>
      <c r="S46" s="3"/>
      <c r="T46" s="3"/>
      <c r="U46" s="18">
        <v>3</v>
      </c>
    </row>
    <row r="47" spans="1:21" ht="15.75" thickBot="1" x14ac:dyDescent="0.3">
      <c r="A47" s="30" t="s">
        <v>312</v>
      </c>
      <c r="B47" s="61">
        <v>250</v>
      </c>
      <c r="D47" s="29" t="s">
        <v>108</v>
      </c>
      <c r="E47" s="25"/>
      <c r="F47" s="3"/>
      <c r="G47" s="3"/>
      <c r="H47" s="3"/>
      <c r="I47" s="3"/>
      <c r="J47" s="3"/>
      <c r="K47" s="3">
        <v>1</v>
      </c>
      <c r="L47" s="3"/>
      <c r="M47" s="3">
        <v>1</v>
      </c>
      <c r="N47" s="3"/>
      <c r="O47" s="3"/>
      <c r="P47" s="3"/>
      <c r="Q47" s="3"/>
      <c r="R47" s="3"/>
      <c r="S47" s="3"/>
      <c r="T47" s="3"/>
      <c r="U47" s="18">
        <v>2</v>
      </c>
    </row>
    <row r="48" spans="1:21" ht="14.25" customHeight="1" thickBot="1" x14ac:dyDescent="0.3">
      <c r="A48" s="7"/>
      <c r="B48" s="14"/>
      <c r="C48" s="14"/>
      <c r="D48" s="30" t="s">
        <v>312</v>
      </c>
      <c r="E48" s="26">
        <v>1</v>
      </c>
      <c r="F48" s="20">
        <v>1</v>
      </c>
      <c r="G48" s="20">
        <v>2</v>
      </c>
      <c r="H48" s="20">
        <v>6</v>
      </c>
      <c r="I48" s="20">
        <v>2</v>
      </c>
      <c r="J48" s="20">
        <v>2</v>
      </c>
      <c r="K48" s="20">
        <v>38</v>
      </c>
      <c r="L48" s="20">
        <v>2</v>
      </c>
      <c r="M48" s="20">
        <v>13</v>
      </c>
      <c r="N48" s="20">
        <v>4</v>
      </c>
      <c r="O48" s="20">
        <v>135</v>
      </c>
      <c r="P48" s="20">
        <v>22</v>
      </c>
      <c r="Q48" s="20">
        <v>9</v>
      </c>
      <c r="R48" s="20">
        <v>5</v>
      </c>
      <c r="S48" s="20">
        <v>4</v>
      </c>
      <c r="T48" s="20">
        <v>4</v>
      </c>
      <c r="U48" s="21">
        <v>250</v>
      </c>
    </row>
    <row r="52" spans="1:2" ht="15.75" thickBot="1" x14ac:dyDescent="0.3">
      <c r="A52" s="66" t="s">
        <v>5</v>
      </c>
      <c r="B52" t="s">
        <v>418</v>
      </c>
    </row>
    <row r="53" spans="1:2" ht="15.75" thickBot="1" x14ac:dyDescent="0.3"/>
    <row r="54" spans="1:2" x14ac:dyDescent="0.25">
      <c r="A54" s="66" t="s">
        <v>311</v>
      </c>
      <c r="B54" t="s">
        <v>417</v>
      </c>
    </row>
    <row r="55" spans="1:2" x14ac:dyDescent="0.25">
      <c r="A55" s="67" t="s">
        <v>173</v>
      </c>
      <c r="B55" s="193">
        <v>580</v>
      </c>
    </row>
    <row r="56" spans="1:2" x14ac:dyDescent="0.25">
      <c r="A56" s="67" t="s">
        <v>179</v>
      </c>
      <c r="B56" s="193">
        <v>600</v>
      </c>
    </row>
    <row r="57" spans="1:2" x14ac:dyDescent="0.25">
      <c r="A57" s="67" t="s">
        <v>275</v>
      </c>
      <c r="B57" s="193">
        <v>580</v>
      </c>
    </row>
    <row r="58" spans="1:2" ht="15.75" thickBot="1" x14ac:dyDescent="0.3">
      <c r="A58" s="67" t="s">
        <v>281</v>
      </c>
      <c r="B58" s="193">
        <v>680</v>
      </c>
    </row>
    <row r="59" spans="1:2" ht="15.75" thickBot="1" x14ac:dyDescent="0.3">
      <c r="A59" s="67" t="s">
        <v>280</v>
      </c>
      <c r="B59" s="193">
        <v>680</v>
      </c>
    </row>
    <row r="60" spans="1:2" x14ac:dyDescent="0.25">
      <c r="A60" s="67" t="s">
        <v>181</v>
      </c>
      <c r="B60" s="193">
        <v>600</v>
      </c>
    </row>
    <row r="61" spans="1:2" x14ac:dyDescent="0.25">
      <c r="A61" s="67" t="s">
        <v>180</v>
      </c>
      <c r="B61" s="193">
        <v>680</v>
      </c>
    </row>
    <row r="62" spans="1:2" ht="15.75" thickBot="1" x14ac:dyDescent="0.3">
      <c r="A62" s="67" t="s">
        <v>175</v>
      </c>
      <c r="B62" s="193">
        <v>580</v>
      </c>
    </row>
    <row r="63" spans="1:2" ht="15.75" thickBot="1" x14ac:dyDescent="0.3">
      <c r="A63" s="67" t="s">
        <v>274</v>
      </c>
      <c r="B63" s="193">
        <v>580</v>
      </c>
    </row>
    <row r="64" spans="1:2" x14ac:dyDescent="0.25">
      <c r="A64" s="67" t="s">
        <v>276</v>
      </c>
      <c r="B64" s="193">
        <v>580</v>
      </c>
    </row>
    <row r="65" spans="1:2" x14ac:dyDescent="0.25">
      <c r="A65" s="67" t="s">
        <v>279</v>
      </c>
      <c r="B65" s="193">
        <v>600</v>
      </c>
    </row>
    <row r="66" spans="1:2" x14ac:dyDescent="0.25">
      <c r="A66" s="67" t="s">
        <v>174</v>
      </c>
      <c r="B66" s="193">
        <v>580</v>
      </c>
    </row>
    <row r="67" spans="1:2" x14ac:dyDescent="0.25">
      <c r="A67" s="67" t="s">
        <v>312</v>
      </c>
      <c r="B67" s="193">
        <v>7320</v>
      </c>
    </row>
    <row r="78" spans="1:2" ht="15.75" thickBot="1" x14ac:dyDescent="0.3"/>
    <row r="79" spans="1:2" ht="15.75" thickBot="1" x14ac:dyDescent="0.3"/>
    <row r="86" ht="15.75" thickBot="1" x14ac:dyDescent="0.3"/>
    <row r="87" ht="15.75" thickBot="1" x14ac:dyDescent="0.3"/>
    <row r="96" ht="15.75" thickBot="1" x14ac:dyDescent="0.3"/>
    <row r="97" ht="15.75" thickBot="1" x14ac:dyDescent="0.3"/>
    <row r="117" ht="15.75" thickBot="1" x14ac:dyDescent="0.3"/>
    <row r="118" ht="15.75" thickBot="1" x14ac:dyDescent="0.3"/>
    <row r="122" ht="15.75" thickBot="1" x14ac:dyDescent="0.3"/>
    <row r="123" ht="15.75" thickBot="1" x14ac:dyDescent="0.3"/>
    <row r="144" ht="15.75" thickBot="1" x14ac:dyDescent="0.3"/>
    <row r="145" ht="15.75" thickBot="1" x14ac:dyDescent="0.3"/>
    <row r="156" ht="15.75" thickBot="1" x14ac:dyDescent="0.3"/>
    <row r="157" ht="15.75" thickBot="1" x14ac:dyDescent="0.3"/>
    <row r="163" ht="15.75" thickBot="1" x14ac:dyDescent="0.3"/>
    <row r="164" ht="15.75" thickBot="1" x14ac:dyDescent="0.3"/>
    <row r="201" ht="15.75" thickBot="1" x14ac:dyDescent="0.3"/>
    <row r="202" ht="15.75" thickBot="1" x14ac:dyDescent="0.3"/>
    <row r="217" ht="15.75" thickBot="1" x14ac:dyDescent="0.3"/>
    <row r="218" ht="15.75" thickBot="1" x14ac:dyDescent="0.3"/>
    <row r="232" ht="15.75" thickBot="1" x14ac:dyDescent="0.3"/>
    <row r="233" ht="15.75" thickBot="1" x14ac:dyDescent="0.3"/>
    <row r="246" ht="15.75" thickBot="1" x14ac:dyDescent="0.3"/>
    <row r="247" ht="15.75" thickBot="1" x14ac:dyDescent="0.3"/>
    <row r="249" ht="15.75" thickBot="1" x14ac:dyDescent="0.3"/>
    <row r="250" ht="15.75" thickBot="1" x14ac:dyDescent="0.3"/>
    <row r="296" ht="15.75" thickBot="1" x14ac:dyDescent="0.3"/>
    <row r="297" ht="15.75" thickBot="1" x14ac:dyDescent="0.3"/>
  </sheetData>
  <mergeCells count="5">
    <mergeCell ref="A4:H5"/>
    <mergeCell ref="A27:B28"/>
    <mergeCell ref="D27:U28"/>
    <mergeCell ref="J4:R5"/>
    <mergeCell ref="A1:U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C8A3C-0E8D-4DC0-8698-74049D634890}">
  <dimension ref="B1:R43"/>
  <sheetViews>
    <sheetView showGridLines="0" topLeftCell="A9" workbookViewId="0">
      <selection activeCell="U1" sqref="U1"/>
    </sheetView>
  </sheetViews>
  <sheetFormatPr defaultRowHeight="15" x14ac:dyDescent="0.25"/>
  <sheetData>
    <row r="1" spans="2:18" x14ac:dyDescent="0.25">
      <c r="B1" s="148" t="s">
        <v>403</v>
      </c>
      <c r="C1" s="149"/>
      <c r="D1" s="149"/>
      <c r="E1" s="149"/>
      <c r="F1" s="149"/>
      <c r="G1" s="149"/>
      <c r="H1" s="149"/>
      <c r="I1" s="149"/>
      <c r="J1" s="149"/>
      <c r="K1" s="149"/>
      <c r="L1" s="149"/>
      <c r="M1" s="149"/>
      <c r="N1" s="149"/>
      <c r="O1" s="149"/>
      <c r="P1" s="149"/>
      <c r="Q1" s="149"/>
      <c r="R1" s="150"/>
    </row>
    <row r="2" spans="2:18" x14ac:dyDescent="0.25">
      <c r="B2" s="151"/>
      <c r="C2" s="152"/>
      <c r="D2" s="152"/>
      <c r="E2" s="152"/>
      <c r="F2" s="152"/>
      <c r="G2" s="152"/>
      <c r="H2" s="152"/>
      <c r="I2" s="152"/>
      <c r="J2" s="152"/>
      <c r="K2" s="152"/>
      <c r="L2" s="152"/>
      <c r="M2" s="152"/>
      <c r="N2" s="152"/>
      <c r="O2" s="152"/>
      <c r="P2" s="152"/>
      <c r="Q2" s="152"/>
      <c r="R2" s="153"/>
    </row>
    <row r="3" spans="2:18" ht="15.75" thickBot="1" x14ac:dyDescent="0.3">
      <c r="B3" s="154"/>
      <c r="C3" s="155"/>
      <c r="D3" s="155"/>
      <c r="E3" s="155"/>
      <c r="F3" s="155"/>
      <c r="G3" s="155"/>
      <c r="H3" s="155"/>
      <c r="I3" s="155"/>
      <c r="J3" s="155"/>
      <c r="K3" s="155"/>
      <c r="L3" s="155"/>
      <c r="M3" s="155"/>
      <c r="N3" s="155"/>
      <c r="O3" s="155"/>
      <c r="P3" s="155"/>
      <c r="Q3" s="155"/>
      <c r="R3" s="156"/>
    </row>
    <row r="4" spans="2:18" ht="15.75" thickBot="1" x14ac:dyDescent="0.3">
      <c r="B4" s="5"/>
      <c r="R4" s="6"/>
    </row>
    <row r="5" spans="2:18" x14ac:dyDescent="0.25">
      <c r="B5" s="137" t="s">
        <v>323</v>
      </c>
      <c r="C5" s="138"/>
      <c r="D5" s="138"/>
      <c r="E5" s="138"/>
      <c r="F5" s="138"/>
      <c r="G5" s="138"/>
      <c r="H5" s="138"/>
      <c r="I5" s="139"/>
      <c r="K5" s="137" t="s">
        <v>400</v>
      </c>
      <c r="L5" s="143"/>
      <c r="M5" s="143"/>
      <c r="N5" s="143"/>
      <c r="O5" s="143"/>
      <c r="P5" s="143"/>
      <c r="Q5" s="143"/>
      <c r="R5" s="144"/>
    </row>
    <row r="6" spans="2:18" ht="15.75" thickBot="1" x14ac:dyDescent="0.3">
      <c r="B6" s="140"/>
      <c r="C6" s="141"/>
      <c r="D6" s="141"/>
      <c r="E6" s="141"/>
      <c r="F6" s="141"/>
      <c r="G6" s="141"/>
      <c r="H6" s="141"/>
      <c r="I6" s="142"/>
      <c r="K6" s="145"/>
      <c r="L6" s="146"/>
      <c r="M6" s="146"/>
      <c r="N6" s="146"/>
      <c r="O6" s="146"/>
      <c r="P6" s="146"/>
      <c r="Q6" s="146"/>
      <c r="R6" s="147"/>
    </row>
    <row r="7" spans="2:18" x14ac:dyDescent="0.25">
      <c r="B7" s="5"/>
      <c r="I7" s="6"/>
      <c r="K7" s="5"/>
      <c r="R7" s="6"/>
    </row>
    <row r="8" spans="2:18" x14ac:dyDescent="0.25">
      <c r="B8" s="5"/>
      <c r="I8" s="6"/>
      <c r="K8" s="5"/>
      <c r="R8" s="6"/>
    </row>
    <row r="9" spans="2:18" x14ac:dyDescent="0.25">
      <c r="B9" s="5"/>
      <c r="I9" s="6"/>
      <c r="K9" s="5"/>
      <c r="R9" s="6"/>
    </row>
    <row r="10" spans="2:18" x14ac:dyDescent="0.25">
      <c r="B10" s="5"/>
      <c r="I10" s="6"/>
      <c r="K10" s="5"/>
      <c r="R10" s="6"/>
    </row>
    <row r="11" spans="2:18" x14ac:dyDescent="0.25">
      <c r="B11" s="5"/>
      <c r="I11" s="6"/>
      <c r="K11" s="5"/>
      <c r="R11" s="6"/>
    </row>
    <row r="12" spans="2:18" x14ac:dyDescent="0.25">
      <c r="B12" s="5"/>
      <c r="I12" s="6"/>
      <c r="K12" s="5"/>
      <c r="R12" s="6"/>
    </row>
    <row r="13" spans="2:18" x14ac:dyDescent="0.25">
      <c r="B13" s="5"/>
      <c r="I13" s="6"/>
      <c r="K13" s="5"/>
      <c r="R13" s="6"/>
    </row>
    <row r="14" spans="2:18" x14ac:dyDescent="0.25">
      <c r="B14" s="5"/>
      <c r="I14" s="6"/>
      <c r="K14" s="5"/>
      <c r="R14" s="6"/>
    </row>
    <row r="15" spans="2:18" x14ac:dyDescent="0.25">
      <c r="B15" s="5"/>
      <c r="I15" s="6"/>
      <c r="K15" s="5"/>
      <c r="R15" s="6"/>
    </row>
    <row r="16" spans="2:18" x14ac:dyDescent="0.25">
      <c r="B16" s="5"/>
      <c r="I16" s="6"/>
      <c r="K16" s="5"/>
      <c r="R16" s="6"/>
    </row>
    <row r="17" spans="2:18" x14ac:dyDescent="0.25">
      <c r="B17" s="5"/>
      <c r="I17" s="6"/>
      <c r="K17" s="5"/>
      <c r="R17" s="6"/>
    </row>
    <row r="18" spans="2:18" x14ac:dyDescent="0.25">
      <c r="B18" s="5"/>
      <c r="I18" s="6"/>
      <c r="K18" s="5"/>
      <c r="R18" s="6"/>
    </row>
    <row r="19" spans="2:18" x14ac:dyDescent="0.25">
      <c r="B19" s="5"/>
      <c r="I19" s="6"/>
      <c r="K19" s="5"/>
      <c r="R19" s="6"/>
    </row>
    <row r="20" spans="2:18" x14ac:dyDescent="0.25">
      <c r="B20" s="5"/>
      <c r="I20" s="6"/>
      <c r="K20" s="5"/>
      <c r="R20" s="6"/>
    </row>
    <row r="21" spans="2:18" x14ac:dyDescent="0.25">
      <c r="B21" s="5"/>
      <c r="I21" s="6"/>
      <c r="K21" s="5"/>
      <c r="R21" s="6"/>
    </row>
    <row r="22" spans="2:18" ht="15.75" thickBot="1" x14ac:dyDescent="0.3">
      <c r="B22" s="7"/>
      <c r="C22" s="14"/>
      <c r="D22" s="14"/>
      <c r="E22" s="14"/>
      <c r="F22" s="14"/>
      <c r="G22" s="14"/>
      <c r="H22" s="14"/>
      <c r="I22" s="8"/>
      <c r="K22" s="7"/>
      <c r="L22" s="14"/>
      <c r="M22" s="14"/>
      <c r="N22" s="14"/>
      <c r="O22" s="14"/>
      <c r="P22" s="14"/>
      <c r="Q22" s="14"/>
      <c r="R22" s="8"/>
    </row>
    <row r="23" spans="2:18" x14ac:dyDescent="0.25">
      <c r="B23" s="5"/>
      <c r="R23" s="6"/>
    </row>
    <row r="24" spans="2:18" ht="15.75" thickBot="1" x14ac:dyDescent="0.3">
      <c r="B24" s="5"/>
      <c r="R24" s="6"/>
    </row>
    <row r="25" spans="2:18" x14ac:dyDescent="0.25">
      <c r="B25" s="137" t="s">
        <v>401</v>
      </c>
      <c r="C25" s="138"/>
      <c r="D25" s="138"/>
      <c r="E25" s="138"/>
      <c r="F25" s="138"/>
      <c r="G25" s="138"/>
      <c r="H25" s="138"/>
      <c r="I25" s="139"/>
      <c r="K25" s="137" t="s">
        <v>402</v>
      </c>
      <c r="L25" s="138"/>
      <c r="M25" s="138"/>
      <c r="N25" s="138"/>
      <c r="O25" s="138"/>
      <c r="P25" s="138"/>
      <c r="Q25" s="138"/>
      <c r="R25" s="139"/>
    </row>
    <row r="26" spans="2:18" ht="15.75" thickBot="1" x14ac:dyDescent="0.3">
      <c r="B26" s="140"/>
      <c r="C26" s="141"/>
      <c r="D26" s="141"/>
      <c r="E26" s="141"/>
      <c r="F26" s="141"/>
      <c r="G26" s="141"/>
      <c r="H26" s="141"/>
      <c r="I26" s="142"/>
      <c r="K26" s="140"/>
      <c r="L26" s="141"/>
      <c r="M26" s="141"/>
      <c r="N26" s="141"/>
      <c r="O26" s="141"/>
      <c r="P26" s="141"/>
      <c r="Q26" s="141"/>
      <c r="R26" s="142"/>
    </row>
    <row r="27" spans="2:18" x14ac:dyDescent="0.25">
      <c r="B27" s="5"/>
      <c r="I27" s="6"/>
      <c r="K27" s="5"/>
      <c r="R27" s="6"/>
    </row>
    <row r="28" spans="2:18" x14ac:dyDescent="0.25">
      <c r="B28" s="5"/>
      <c r="I28" s="6"/>
      <c r="K28" s="5"/>
      <c r="R28" s="6"/>
    </row>
    <row r="29" spans="2:18" x14ac:dyDescent="0.25">
      <c r="B29" s="5"/>
      <c r="I29" s="6"/>
      <c r="K29" s="5"/>
      <c r="R29" s="6"/>
    </row>
    <row r="30" spans="2:18" x14ac:dyDescent="0.25">
      <c r="B30" s="5"/>
      <c r="I30" s="6"/>
      <c r="K30" s="5"/>
      <c r="R30" s="6"/>
    </row>
    <row r="31" spans="2:18" x14ac:dyDescent="0.25">
      <c r="B31" s="5"/>
      <c r="I31" s="6"/>
      <c r="K31" s="5"/>
      <c r="R31" s="6"/>
    </row>
    <row r="32" spans="2:18" x14ac:dyDescent="0.25">
      <c r="B32" s="5"/>
      <c r="I32" s="6"/>
      <c r="K32" s="5"/>
      <c r="R32" s="6"/>
    </row>
    <row r="33" spans="2:18" x14ac:dyDescent="0.25">
      <c r="B33" s="5"/>
      <c r="I33" s="6"/>
      <c r="K33" s="5"/>
      <c r="R33" s="6"/>
    </row>
    <row r="34" spans="2:18" x14ac:dyDescent="0.25">
      <c r="B34" s="5"/>
      <c r="I34" s="6"/>
      <c r="K34" s="5"/>
      <c r="R34" s="6"/>
    </row>
    <row r="35" spans="2:18" x14ac:dyDescent="0.25">
      <c r="B35" s="5"/>
      <c r="I35" s="6"/>
      <c r="K35" s="5"/>
      <c r="R35" s="6"/>
    </row>
    <row r="36" spans="2:18" x14ac:dyDescent="0.25">
      <c r="B36" s="5"/>
      <c r="I36" s="6"/>
      <c r="K36" s="5"/>
      <c r="R36" s="6"/>
    </row>
    <row r="37" spans="2:18" x14ac:dyDescent="0.25">
      <c r="B37" s="5"/>
      <c r="I37" s="6"/>
      <c r="K37" s="5"/>
      <c r="R37" s="6"/>
    </row>
    <row r="38" spans="2:18" x14ac:dyDescent="0.25">
      <c r="B38" s="5"/>
      <c r="I38" s="6"/>
      <c r="K38" s="5"/>
      <c r="R38" s="6"/>
    </row>
    <row r="39" spans="2:18" x14ac:dyDescent="0.25">
      <c r="B39" s="5"/>
      <c r="I39" s="6"/>
      <c r="K39" s="5"/>
      <c r="R39" s="6"/>
    </row>
    <row r="40" spans="2:18" x14ac:dyDescent="0.25">
      <c r="B40" s="5"/>
      <c r="I40" s="6"/>
      <c r="K40" s="5"/>
      <c r="R40" s="6"/>
    </row>
    <row r="41" spans="2:18" x14ac:dyDescent="0.25">
      <c r="B41" s="5"/>
      <c r="I41" s="6"/>
      <c r="K41" s="5"/>
      <c r="R41" s="6"/>
    </row>
    <row r="42" spans="2:18" x14ac:dyDescent="0.25">
      <c r="B42" s="5"/>
      <c r="I42" s="6"/>
      <c r="K42" s="5"/>
      <c r="R42" s="6"/>
    </row>
    <row r="43" spans="2:18" ht="15.75" thickBot="1" x14ac:dyDescent="0.3">
      <c r="B43" s="7"/>
      <c r="C43" s="14"/>
      <c r="D43" s="14"/>
      <c r="E43" s="14"/>
      <c r="F43" s="14"/>
      <c r="G43" s="14"/>
      <c r="H43" s="14"/>
      <c r="I43" s="8"/>
      <c r="J43" s="14"/>
      <c r="K43" s="7"/>
      <c r="L43" s="14"/>
      <c r="M43" s="14"/>
      <c r="N43" s="14"/>
      <c r="O43" s="14"/>
      <c r="P43" s="14"/>
      <c r="Q43" s="14"/>
      <c r="R43" s="8"/>
    </row>
  </sheetData>
  <mergeCells count="5">
    <mergeCell ref="B5:I6"/>
    <mergeCell ref="K5:R6"/>
    <mergeCell ref="B25:I26"/>
    <mergeCell ref="K25:R26"/>
    <mergeCell ref="B1:R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6C51B-E091-4699-9E6D-B422EB734C2F}">
  <dimension ref="A1:S71"/>
  <sheetViews>
    <sheetView workbookViewId="0">
      <selection activeCell="E29" sqref="E29"/>
    </sheetView>
  </sheetViews>
  <sheetFormatPr defaultRowHeight="15" x14ac:dyDescent="0.25"/>
  <cols>
    <col min="1" max="1" width="13.42578125" bestFit="1" customWidth="1"/>
    <col min="2" max="2" width="16.5703125" bestFit="1" customWidth="1"/>
    <col min="3" max="4" width="31.28515625" bestFit="1" customWidth="1"/>
    <col min="5" max="5" width="41.42578125" bestFit="1" customWidth="1"/>
    <col min="6" max="6" width="13.42578125" bestFit="1" customWidth="1"/>
    <col min="7" max="7" width="41.42578125" bestFit="1" customWidth="1"/>
    <col min="8" max="8" width="26.140625" bestFit="1" customWidth="1"/>
    <col min="9" max="9" width="31.7109375" bestFit="1" customWidth="1"/>
  </cols>
  <sheetData>
    <row r="1" spans="1:9" x14ac:dyDescent="0.25">
      <c r="A1" s="163" t="s">
        <v>378</v>
      </c>
      <c r="B1" s="167"/>
      <c r="C1" s="167"/>
      <c r="D1" s="167"/>
      <c r="E1" s="167"/>
      <c r="F1" s="167"/>
      <c r="G1" s="167"/>
      <c r="H1" s="167"/>
      <c r="I1" s="164"/>
    </row>
    <row r="2" spans="1:9" ht="15.75" thickBot="1" x14ac:dyDescent="0.3">
      <c r="A2" s="168"/>
      <c r="B2" s="169"/>
      <c r="C2" s="169"/>
      <c r="D2" s="169"/>
      <c r="E2" s="169"/>
      <c r="F2" s="169"/>
      <c r="G2" s="169"/>
      <c r="H2" s="169"/>
      <c r="I2" s="170"/>
    </row>
    <row r="3" spans="1:9" ht="15.75" thickBot="1" x14ac:dyDescent="0.3"/>
    <row r="4" spans="1:9" x14ac:dyDescent="0.25">
      <c r="A4" s="171" t="s">
        <v>374</v>
      </c>
      <c r="B4" s="172"/>
      <c r="C4" s="172"/>
      <c r="D4" s="173"/>
      <c r="F4" s="163" t="s">
        <v>373</v>
      </c>
      <c r="G4" s="167"/>
      <c r="H4" s="167"/>
      <c r="I4" s="164"/>
    </row>
    <row r="5" spans="1:9" x14ac:dyDescent="0.25">
      <c r="A5" s="174"/>
      <c r="B5" s="175"/>
      <c r="C5" s="175"/>
      <c r="D5" s="176"/>
      <c r="F5" s="165"/>
      <c r="G5" s="177"/>
      <c r="H5" s="177"/>
      <c r="I5" s="166"/>
    </row>
    <row r="6" spans="1:9" x14ac:dyDescent="0.25">
      <c r="A6" s="16" t="s">
        <v>311</v>
      </c>
      <c r="B6" t="s">
        <v>318</v>
      </c>
      <c r="C6" t="s">
        <v>316</v>
      </c>
      <c r="D6" s="6" t="s">
        <v>371</v>
      </c>
      <c r="F6" s="16" t="s">
        <v>311</v>
      </c>
      <c r="G6" t="s">
        <v>317</v>
      </c>
      <c r="H6" t="s">
        <v>315</v>
      </c>
      <c r="I6" s="6" t="s">
        <v>372</v>
      </c>
    </row>
    <row r="7" spans="1:9" x14ac:dyDescent="0.25">
      <c r="A7" s="17" t="s">
        <v>29</v>
      </c>
      <c r="B7" s="2">
        <v>66.13636363636364</v>
      </c>
      <c r="C7" s="2">
        <v>47.272727272727273</v>
      </c>
      <c r="D7" s="53">
        <v>113.40909090909091</v>
      </c>
      <c r="F7" s="17" t="s">
        <v>29</v>
      </c>
      <c r="G7" s="2">
        <v>70.681818181818187</v>
      </c>
      <c r="H7" s="2">
        <v>68.63636363636364</v>
      </c>
      <c r="I7" s="53">
        <v>139.31818181818181</v>
      </c>
    </row>
    <row r="8" spans="1:9" x14ac:dyDescent="0.25">
      <c r="A8" s="17" t="s">
        <v>228</v>
      </c>
      <c r="B8" s="2">
        <v>79</v>
      </c>
      <c r="C8" s="2">
        <v>74</v>
      </c>
      <c r="D8" s="53">
        <v>153</v>
      </c>
      <c r="F8" s="17" t="s">
        <v>228</v>
      </c>
      <c r="G8" s="2">
        <v>57.4</v>
      </c>
      <c r="H8" s="2">
        <v>75.400000000000006</v>
      </c>
      <c r="I8" s="53">
        <v>132.80000000000001</v>
      </c>
    </row>
    <row r="9" spans="1:9" x14ac:dyDescent="0.25">
      <c r="A9" s="17" t="s">
        <v>177</v>
      </c>
      <c r="B9" s="2">
        <v>94</v>
      </c>
      <c r="C9" s="2">
        <v>73.333333333333329</v>
      </c>
      <c r="D9" s="53">
        <v>167.33333333333334</v>
      </c>
      <c r="F9" s="17" t="s">
        <v>177</v>
      </c>
      <c r="G9" s="2">
        <v>68.333333333333329</v>
      </c>
      <c r="H9" s="2">
        <v>73.333333333333329</v>
      </c>
      <c r="I9" s="53">
        <v>141.66666666666666</v>
      </c>
    </row>
    <row r="10" spans="1:9" x14ac:dyDescent="0.25">
      <c r="A10" s="17" t="s">
        <v>46</v>
      </c>
      <c r="B10" s="2">
        <v>61.06666666666667</v>
      </c>
      <c r="C10" s="2">
        <v>86.333333333333329</v>
      </c>
      <c r="D10" s="53">
        <v>147.4</v>
      </c>
      <c r="F10" s="17" t="s">
        <v>46</v>
      </c>
      <c r="G10" s="2">
        <v>59.266666666666666</v>
      </c>
      <c r="H10" s="2">
        <v>69.666666666666671</v>
      </c>
      <c r="I10" s="53">
        <v>128.93333333333334</v>
      </c>
    </row>
    <row r="11" spans="1:9" x14ac:dyDescent="0.25">
      <c r="A11" s="17" t="s">
        <v>58</v>
      </c>
      <c r="B11" s="2">
        <v>57.142857142857146</v>
      </c>
      <c r="C11" s="2">
        <v>60</v>
      </c>
      <c r="D11" s="53">
        <v>117.14285714285714</v>
      </c>
      <c r="F11" s="17" t="s">
        <v>58</v>
      </c>
      <c r="G11" s="2">
        <v>60.571428571428569</v>
      </c>
      <c r="H11" s="2">
        <v>68.571428571428569</v>
      </c>
      <c r="I11" s="53">
        <v>129.14285714285714</v>
      </c>
    </row>
    <row r="12" spans="1:9" x14ac:dyDescent="0.25">
      <c r="A12" s="17" t="s">
        <v>80</v>
      </c>
      <c r="B12" s="2">
        <v>94.444444444444443</v>
      </c>
      <c r="C12" s="2">
        <v>42.777777777777779</v>
      </c>
      <c r="D12" s="53">
        <v>137.22222222222223</v>
      </c>
      <c r="F12" s="17" t="s">
        <v>80</v>
      </c>
      <c r="G12" s="2">
        <v>61.888888888888886</v>
      </c>
      <c r="H12" s="2">
        <v>73.333333333333329</v>
      </c>
      <c r="I12" s="53">
        <v>135.22222222222223</v>
      </c>
    </row>
    <row r="13" spans="1:9" x14ac:dyDescent="0.25">
      <c r="A13" s="17" t="s">
        <v>19</v>
      </c>
      <c r="B13" s="2">
        <v>80.849999999999994</v>
      </c>
      <c r="C13" s="2">
        <v>84.7</v>
      </c>
      <c r="D13" s="53">
        <v>165.55</v>
      </c>
      <c r="F13" s="17" t="s">
        <v>19</v>
      </c>
      <c r="G13" s="2">
        <v>65.099999999999994</v>
      </c>
      <c r="H13" s="2">
        <v>76.2</v>
      </c>
      <c r="I13" s="53">
        <v>141.30000000000001</v>
      </c>
    </row>
    <row r="14" spans="1:9" x14ac:dyDescent="0.25">
      <c r="A14" s="17" t="s">
        <v>121</v>
      </c>
      <c r="B14" s="2">
        <v>52.5</v>
      </c>
      <c r="C14" s="2">
        <v>107.5</v>
      </c>
      <c r="D14" s="53">
        <v>160</v>
      </c>
      <c r="F14" s="17" t="s">
        <v>121</v>
      </c>
      <c r="G14" s="2">
        <v>48.75</v>
      </c>
      <c r="H14" s="2">
        <v>62.5</v>
      </c>
      <c r="I14" s="53">
        <v>111.25</v>
      </c>
    </row>
    <row r="15" spans="1:9" x14ac:dyDescent="0.25">
      <c r="A15" s="17" t="s">
        <v>14</v>
      </c>
      <c r="B15" s="2">
        <v>64.80952380952381</v>
      </c>
      <c r="C15" s="2">
        <v>76.666666666666671</v>
      </c>
      <c r="D15" s="53">
        <v>141.47619047619048</v>
      </c>
      <c r="F15" s="17" t="s">
        <v>14</v>
      </c>
      <c r="G15" s="2">
        <v>67.61904761904762</v>
      </c>
      <c r="H15" s="2">
        <v>69.285714285714292</v>
      </c>
      <c r="I15" s="53">
        <v>136.9047619047619</v>
      </c>
    </row>
    <row r="16" spans="1:9" x14ac:dyDescent="0.25">
      <c r="A16" s="17" t="s">
        <v>49</v>
      </c>
      <c r="B16" s="2">
        <v>84.545454545454547</v>
      </c>
      <c r="C16" s="2">
        <v>40.909090909090907</v>
      </c>
      <c r="D16" s="53">
        <v>125.45454545454545</v>
      </c>
      <c r="F16" s="17" t="s">
        <v>49</v>
      </c>
      <c r="G16" s="2">
        <v>88.63636363636364</v>
      </c>
      <c r="H16" s="2">
        <v>51.81818181818182</v>
      </c>
      <c r="I16" s="53">
        <v>140.45454545454547</v>
      </c>
    </row>
    <row r="17" spans="1:9" x14ac:dyDescent="0.25">
      <c r="A17" s="17" t="s">
        <v>115</v>
      </c>
      <c r="B17" s="2">
        <v>61.666666666666664</v>
      </c>
      <c r="C17" s="2">
        <v>75</v>
      </c>
      <c r="D17" s="53">
        <v>136.66666666666666</v>
      </c>
      <c r="F17" s="17" t="s">
        <v>115</v>
      </c>
      <c r="G17" s="2">
        <v>52.5</v>
      </c>
      <c r="H17" s="2">
        <v>70</v>
      </c>
      <c r="I17" s="53">
        <v>122.5</v>
      </c>
    </row>
    <row r="18" spans="1:9" x14ac:dyDescent="0.25">
      <c r="A18" s="17" t="s">
        <v>36</v>
      </c>
      <c r="B18" s="2">
        <v>66.540540540540547</v>
      </c>
      <c r="C18" s="2">
        <v>54.45945945945946</v>
      </c>
      <c r="D18" s="53">
        <v>121</v>
      </c>
      <c r="F18" s="17" t="s">
        <v>36</v>
      </c>
      <c r="G18" s="2">
        <v>53.729729729729726</v>
      </c>
      <c r="H18" s="2">
        <v>62.405405405405403</v>
      </c>
      <c r="I18" s="53">
        <v>116.13513513513513</v>
      </c>
    </row>
    <row r="19" spans="1:9" x14ac:dyDescent="0.25">
      <c r="A19" s="17" t="s">
        <v>15</v>
      </c>
      <c r="B19" s="2">
        <v>76.13333333333334</v>
      </c>
      <c r="C19" s="2">
        <v>58</v>
      </c>
      <c r="D19" s="53">
        <v>134.13333333333333</v>
      </c>
      <c r="F19" s="17" t="s">
        <v>15</v>
      </c>
      <c r="G19" s="2">
        <v>67.86666666666666</v>
      </c>
      <c r="H19" s="2">
        <v>62.866666666666667</v>
      </c>
      <c r="I19" s="53">
        <v>130.73333333333332</v>
      </c>
    </row>
    <row r="20" spans="1:9" x14ac:dyDescent="0.25">
      <c r="A20" s="17" t="s">
        <v>88</v>
      </c>
      <c r="B20" s="2">
        <v>61.857142857142854</v>
      </c>
      <c r="C20" s="2">
        <v>94.285714285714292</v>
      </c>
      <c r="D20" s="53">
        <v>156.14285714285714</v>
      </c>
      <c r="F20" s="17" t="s">
        <v>88</v>
      </c>
      <c r="G20" s="2">
        <v>62.214285714285715</v>
      </c>
      <c r="H20" s="2">
        <v>86.071428571428569</v>
      </c>
      <c r="I20" s="53">
        <v>148.28571428571428</v>
      </c>
    </row>
    <row r="21" spans="1:9" x14ac:dyDescent="0.25">
      <c r="A21" s="17" t="s">
        <v>100</v>
      </c>
      <c r="B21" s="2">
        <v>86.307692307692307</v>
      </c>
      <c r="C21" s="2">
        <v>60</v>
      </c>
      <c r="D21" s="53">
        <v>146.30769230769232</v>
      </c>
      <c r="F21" s="17" t="s">
        <v>100</v>
      </c>
      <c r="G21" s="2">
        <v>102.69230769230769</v>
      </c>
      <c r="H21" s="2">
        <v>60.384615384615387</v>
      </c>
      <c r="I21" s="53">
        <v>163.07692307692307</v>
      </c>
    </row>
    <row r="22" spans="1:9" x14ac:dyDescent="0.25">
      <c r="A22" s="17" t="s">
        <v>108</v>
      </c>
      <c r="B22" s="2">
        <v>82.5</v>
      </c>
      <c r="C22" s="2">
        <v>47.5</v>
      </c>
      <c r="D22" s="53">
        <v>130</v>
      </c>
      <c r="F22" s="17" t="s">
        <v>108</v>
      </c>
      <c r="G22" s="2">
        <v>170</v>
      </c>
      <c r="H22" s="2">
        <v>67.5</v>
      </c>
      <c r="I22" s="53">
        <v>237.5</v>
      </c>
    </row>
    <row r="23" spans="1:9" x14ac:dyDescent="0.25">
      <c r="A23" s="17" t="s">
        <v>25</v>
      </c>
      <c r="B23" s="2">
        <v>69.413043478260875</v>
      </c>
      <c r="C23" s="2">
        <v>66.173913043478265</v>
      </c>
      <c r="D23" s="53">
        <v>135.58695652173913</v>
      </c>
      <c r="F23" s="17" t="s">
        <v>25</v>
      </c>
      <c r="G23" s="2">
        <v>75.978260869565219</v>
      </c>
      <c r="H23" s="2">
        <v>70.108695652173907</v>
      </c>
      <c r="I23" s="53">
        <v>146.08695652173913</v>
      </c>
    </row>
    <row r="24" spans="1:9" ht="15.75" thickBot="1" x14ac:dyDescent="0.3">
      <c r="A24" s="19" t="s">
        <v>312</v>
      </c>
      <c r="B24" s="14">
        <v>70.944000000000003</v>
      </c>
      <c r="C24" s="14">
        <v>65.951999999999998</v>
      </c>
      <c r="D24" s="21">
        <v>136.89599999999999</v>
      </c>
      <c r="F24" s="19" t="s">
        <v>312</v>
      </c>
      <c r="G24" s="14">
        <v>68.683999999999997</v>
      </c>
      <c r="H24" s="14">
        <v>68.451999999999998</v>
      </c>
      <c r="I24" s="8">
        <v>137.136</v>
      </c>
    </row>
    <row r="25" spans="1:9" ht="15.75" thickBot="1" x14ac:dyDescent="0.3"/>
    <row r="26" spans="1:9" x14ac:dyDescent="0.25">
      <c r="A26" s="163" t="s">
        <v>377</v>
      </c>
      <c r="B26" s="164"/>
      <c r="F26" s="163" t="s">
        <v>376</v>
      </c>
      <c r="G26" s="164"/>
    </row>
    <row r="27" spans="1:9" ht="15.75" thickBot="1" x14ac:dyDescent="0.3">
      <c r="A27" s="168"/>
      <c r="B27" s="170"/>
      <c r="F27" s="165"/>
      <c r="G27" s="166"/>
    </row>
    <row r="28" spans="1:9" ht="15.75" thickBot="1" x14ac:dyDescent="0.3">
      <c r="A28" s="31" t="s">
        <v>311</v>
      </c>
      <c r="B28" s="50" t="s">
        <v>314</v>
      </c>
      <c r="F28" s="16" t="s">
        <v>311</v>
      </c>
      <c r="G28" s="6" t="s">
        <v>375</v>
      </c>
    </row>
    <row r="29" spans="1:9" x14ac:dyDescent="0.25">
      <c r="A29" s="27" t="s">
        <v>29</v>
      </c>
      <c r="B29" s="54">
        <v>54.545454545454547</v>
      </c>
      <c r="F29" s="17" t="s">
        <v>29</v>
      </c>
      <c r="G29" s="53">
        <v>28.976019939656297</v>
      </c>
    </row>
    <row r="30" spans="1:9" x14ac:dyDescent="0.25">
      <c r="A30" s="28" t="s">
        <v>228</v>
      </c>
      <c r="B30" s="55">
        <v>86.2</v>
      </c>
      <c r="F30" s="17" t="s">
        <v>228</v>
      </c>
      <c r="G30" s="53">
        <v>21.062222222222225</v>
      </c>
    </row>
    <row r="31" spans="1:9" x14ac:dyDescent="0.25">
      <c r="A31" s="28" t="s">
        <v>177</v>
      </c>
      <c r="B31" s="55">
        <v>66.666666666666671</v>
      </c>
      <c r="F31" s="17" t="s">
        <v>177</v>
      </c>
      <c r="G31" s="53">
        <v>33.804292929292927</v>
      </c>
    </row>
    <row r="32" spans="1:9" x14ac:dyDescent="0.25">
      <c r="A32" s="28" t="s">
        <v>46</v>
      </c>
      <c r="B32" s="55">
        <v>87</v>
      </c>
      <c r="F32" s="17" t="s">
        <v>46</v>
      </c>
      <c r="G32" s="53">
        <v>34.176256170729857</v>
      </c>
    </row>
    <row r="33" spans="1:7" x14ac:dyDescent="0.25">
      <c r="A33" s="28" t="s">
        <v>58</v>
      </c>
      <c r="B33" s="55">
        <v>35</v>
      </c>
      <c r="F33" s="17" t="s">
        <v>58</v>
      </c>
      <c r="G33" s="53">
        <v>15.912611198325482</v>
      </c>
    </row>
    <row r="34" spans="1:7" x14ac:dyDescent="0.25">
      <c r="A34" s="28" t="s">
        <v>80</v>
      </c>
      <c r="B34" s="55">
        <v>63.111111111111114</v>
      </c>
      <c r="F34" s="17" t="s">
        <v>80</v>
      </c>
      <c r="G34" s="53">
        <v>41.551984126984131</v>
      </c>
    </row>
    <row r="35" spans="1:7" x14ac:dyDescent="0.25">
      <c r="A35" s="28" t="s">
        <v>19</v>
      </c>
      <c r="B35" s="55">
        <v>78.8</v>
      </c>
      <c r="F35" s="17" t="s">
        <v>19</v>
      </c>
      <c r="G35" s="53">
        <v>39.2764841256095</v>
      </c>
    </row>
    <row r="36" spans="1:7" x14ac:dyDescent="0.25">
      <c r="A36" s="28" t="s">
        <v>121</v>
      </c>
      <c r="B36" s="55">
        <v>92.5</v>
      </c>
      <c r="F36" s="17" t="s">
        <v>121</v>
      </c>
      <c r="G36" s="53">
        <v>7.1419986263736259</v>
      </c>
    </row>
    <row r="37" spans="1:7" x14ac:dyDescent="0.25">
      <c r="A37" s="28" t="s">
        <v>14</v>
      </c>
      <c r="B37" s="55">
        <v>55.238095238095241</v>
      </c>
      <c r="F37" s="17" t="s">
        <v>14</v>
      </c>
      <c r="G37" s="53">
        <v>16.490088257525233</v>
      </c>
    </row>
    <row r="38" spans="1:7" x14ac:dyDescent="0.25">
      <c r="A38" s="28" t="s">
        <v>49</v>
      </c>
      <c r="B38" s="55">
        <v>58.18181818181818</v>
      </c>
      <c r="F38" s="17" t="s">
        <v>49</v>
      </c>
      <c r="G38" s="53">
        <v>52.316302118933692</v>
      </c>
    </row>
    <row r="39" spans="1:7" x14ac:dyDescent="0.25">
      <c r="A39" s="28" t="s">
        <v>115</v>
      </c>
      <c r="B39" s="55">
        <v>70</v>
      </c>
      <c r="F39" s="17" t="s">
        <v>115</v>
      </c>
      <c r="G39" s="53">
        <v>26.890547633194689</v>
      </c>
    </row>
    <row r="40" spans="1:7" x14ac:dyDescent="0.25">
      <c r="A40" s="28" t="s">
        <v>36</v>
      </c>
      <c r="B40" s="55">
        <v>66.621621621621628</v>
      </c>
      <c r="F40" s="17" t="s">
        <v>36</v>
      </c>
      <c r="G40" s="53">
        <v>33.754430404430401</v>
      </c>
    </row>
    <row r="41" spans="1:7" x14ac:dyDescent="0.25">
      <c r="A41" s="28" t="s">
        <v>15</v>
      </c>
      <c r="B41" s="55">
        <v>63.533333333333331</v>
      </c>
      <c r="F41" s="17" t="s">
        <v>15</v>
      </c>
      <c r="G41" s="53">
        <v>23.197399267399266</v>
      </c>
    </row>
    <row r="42" spans="1:7" x14ac:dyDescent="0.25">
      <c r="A42" s="28" t="s">
        <v>88</v>
      </c>
      <c r="B42" s="55">
        <v>86.428571428571431</v>
      </c>
      <c r="F42" s="17" t="s">
        <v>88</v>
      </c>
      <c r="G42" s="53">
        <v>29.471947496947497</v>
      </c>
    </row>
    <row r="43" spans="1:7" x14ac:dyDescent="0.25">
      <c r="A43" s="28" t="s">
        <v>100</v>
      </c>
      <c r="B43" s="55">
        <v>54.46153846153846</v>
      </c>
      <c r="F43" s="17" t="s">
        <v>100</v>
      </c>
      <c r="G43" s="53">
        <v>70.243408301100615</v>
      </c>
    </row>
    <row r="44" spans="1:7" x14ac:dyDescent="0.25">
      <c r="A44" s="28" t="s">
        <v>108</v>
      </c>
      <c r="B44" s="55">
        <v>50</v>
      </c>
      <c r="F44" s="17" t="s">
        <v>108</v>
      </c>
      <c r="G44" s="53">
        <v>36.592071611253196</v>
      </c>
    </row>
    <row r="45" spans="1:7" ht="15.75" thickBot="1" x14ac:dyDescent="0.3">
      <c r="A45" s="29" t="s">
        <v>25</v>
      </c>
      <c r="B45" s="55">
        <v>63.456521739130437</v>
      </c>
      <c r="F45" s="17" t="s">
        <v>25</v>
      </c>
      <c r="G45" s="53">
        <v>38.582875257765444</v>
      </c>
    </row>
    <row r="46" spans="1:7" ht="15.75" thickBot="1" x14ac:dyDescent="0.3">
      <c r="A46" s="30" t="s">
        <v>312</v>
      </c>
      <c r="B46" s="43">
        <v>65.88</v>
      </c>
      <c r="F46" s="19" t="s">
        <v>312</v>
      </c>
      <c r="G46" s="21">
        <v>34.040205752491488</v>
      </c>
    </row>
    <row r="49" spans="1:19" ht="15.75" thickBot="1" x14ac:dyDescent="0.3"/>
    <row r="50" spans="1:19" x14ac:dyDescent="0.25">
      <c r="A50" s="157" t="s">
        <v>399</v>
      </c>
      <c r="B50" s="158"/>
      <c r="C50" s="158"/>
      <c r="D50" s="158"/>
      <c r="E50" s="158"/>
      <c r="F50" s="158"/>
      <c r="G50" s="158"/>
      <c r="H50" s="158"/>
      <c r="I50" s="158"/>
      <c r="J50" s="158"/>
      <c r="K50" s="158"/>
      <c r="L50" s="158"/>
      <c r="M50" s="158"/>
      <c r="N50" s="158"/>
      <c r="O50" s="158"/>
      <c r="P50" s="158"/>
      <c r="Q50" s="158"/>
      <c r="R50" s="158"/>
      <c r="S50" s="159"/>
    </row>
    <row r="51" spans="1:19" ht="15.75" thickBot="1" x14ac:dyDescent="0.3">
      <c r="A51" s="160"/>
      <c r="B51" s="161"/>
      <c r="C51" s="161"/>
      <c r="D51" s="161"/>
      <c r="E51" s="161"/>
      <c r="F51" s="161"/>
      <c r="G51" s="161"/>
      <c r="H51" s="161"/>
      <c r="I51" s="161"/>
      <c r="J51" s="161"/>
      <c r="K51" s="161"/>
      <c r="L51" s="161"/>
      <c r="M51" s="161"/>
      <c r="N51" s="161"/>
      <c r="O51" s="161"/>
      <c r="P51" s="161"/>
      <c r="Q51" s="161"/>
      <c r="R51" s="161"/>
      <c r="S51" s="162"/>
    </row>
    <row r="52" spans="1:19" ht="15.75" thickBot="1" x14ac:dyDescent="0.3">
      <c r="A52" s="60" t="s">
        <v>379</v>
      </c>
      <c r="B52" s="56" t="s">
        <v>380</v>
      </c>
      <c r="C52" s="56" t="s">
        <v>381</v>
      </c>
      <c r="D52" s="56" t="s">
        <v>382</v>
      </c>
      <c r="E52" s="56" t="s">
        <v>383</v>
      </c>
      <c r="F52" s="56" t="s">
        <v>384</v>
      </c>
      <c r="G52" s="56" t="s">
        <v>385</v>
      </c>
      <c r="H52" s="56" t="s">
        <v>386</v>
      </c>
      <c r="I52" s="56" t="s">
        <v>387</v>
      </c>
      <c r="J52" s="56" t="s">
        <v>388</v>
      </c>
      <c r="K52" s="56" t="s">
        <v>389</v>
      </c>
      <c r="L52" s="56" t="s">
        <v>390</v>
      </c>
      <c r="M52" s="56" t="s">
        <v>391</v>
      </c>
      <c r="N52" s="56" t="s">
        <v>392</v>
      </c>
      <c r="O52" s="56" t="s">
        <v>393</v>
      </c>
      <c r="P52" s="56" t="s">
        <v>394</v>
      </c>
      <c r="Q52" s="56" t="s">
        <v>395</v>
      </c>
      <c r="R52" s="56" t="s">
        <v>396</v>
      </c>
      <c r="S52" s="57" t="s">
        <v>397</v>
      </c>
    </row>
    <row r="53" spans="1:19" ht="15.75" thickBot="1" x14ac:dyDescent="0.3">
      <c r="A53" s="60" t="s">
        <v>398</v>
      </c>
      <c r="B53" s="13"/>
      <c r="C53" s="13"/>
      <c r="D53" s="13"/>
      <c r="E53" s="13"/>
      <c r="F53" s="13"/>
      <c r="G53" s="13"/>
      <c r="H53" s="13"/>
      <c r="I53" s="13"/>
      <c r="J53" s="13"/>
      <c r="K53" s="13"/>
      <c r="L53" s="13"/>
      <c r="M53" s="13"/>
      <c r="N53" s="13"/>
      <c r="O53" s="13"/>
      <c r="P53" s="13"/>
      <c r="Q53" s="13"/>
      <c r="R53" s="13"/>
      <c r="S53" s="4"/>
    </row>
    <row r="54" spans="1:19" x14ac:dyDescent="0.25">
      <c r="A54" s="58" t="s">
        <v>380</v>
      </c>
      <c r="B54" s="5">
        <v>1</v>
      </c>
      <c r="C54">
        <v>1</v>
      </c>
      <c r="D54">
        <v>1</v>
      </c>
      <c r="E54">
        <v>1</v>
      </c>
      <c r="F54">
        <v>1</v>
      </c>
      <c r="G54">
        <v>1</v>
      </c>
      <c r="H54">
        <v>1</v>
      </c>
      <c r="I54">
        <v>1</v>
      </c>
      <c r="J54">
        <v>1</v>
      </c>
      <c r="K54">
        <v>1</v>
      </c>
      <c r="L54">
        <v>1</v>
      </c>
      <c r="M54">
        <v>1</v>
      </c>
      <c r="N54">
        <v>0.5</v>
      </c>
      <c r="O54">
        <v>0</v>
      </c>
      <c r="P54">
        <v>1</v>
      </c>
      <c r="Q54">
        <v>1</v>
      </c>
      <c r="R54">
        <v>0.5</v>
      </c>
      <c r="S54" s="6">
        <v>1</v>
      </c>
    </row>
    <row r="55" spans="1:19" x14ac:dyDescent="0.25">
      <c r="A55" s="58" t="s">
        <v>381</v>
      </c>
      <c r="B55" s="5">
        <v>1</v>
      </c>
      <c r="C55">
        <v>0.5</v>
      </c>
      <c r="D55">
        <v>0.5</v>
      </c>
      <c r="E55">
        <v>2</v>
      </c>
      <c r="F55">
        <v>1</v>
      </c>
      <c r="G55">
        <v>2</v>
      </c>
      <c r="H55">
        <v>1</v>
      </c>
      <c r="I55">
        <v>1</v>
      </c>
      <c r="J55">
        <v>1</v>
      </c>
      <c r="K55">
        <v>1</v>
      </c>
      <c r="L55">
        <v>1</v>
      </c>
      <c r="M55">
        <v>2</v>
      </c>
      <c r="N55">
        <v>0.5</v>
      </c>
      <c r="O55">
        <v>1</v>
      </c>
      <c r="P55">
        <v>0.5</v>
      </c>
      <c r="Q55">
        <v>1</v>
      </c>
      <c r="R55">
        <v>2</v>
      </c>
      <c r="S55" s="6">
        <v>1</v>
      </c>
    </row>
    <row r="56" spans="1:19" x14ac:dyDescent="0.25">
      <c r="A56" s="58" t="s">
        <v>382</v>
      </c>
      <c r="B56" s="5">
        <v>1</v>
      </c>
      <c r="C56">
        <v>2</v>
      </c>
      <c r="D56">
        <v>0.5</v>
      </c>
      <c r="E56">
        <v>0.5</v>
      </c>
      <c r="F56">
        <v>1</v>
      </c>
      <c r="G56">
        <v>1</v>
      </c>
      <c r="H56">
        <v>1</v>
      </c>
      <c r="I56">
        <v>1</v>
      </c>
      <c r="J56">
        <v>2</v>
      </c>
      <c r="K56">
        <v>1</v>
      </c>
      <c r="L56">
        <v>1</v>
      </c>
      <c r="M56">
        <v>1</v>
      </c>
      <c r="N56">
        <v>2</v>
      </c>
      <c r="O56">
        <v>1</v>
      </c>
      <c r="P56">
        <v>0.5</v>
      </c>
      <c r="Q56">
        <v>1</v>
      </c>
      <c r="R56">
        <v>1</v>
      </c>
      <c r="S56" s="6">
        <v>1</v>
      </c>
    </row>
    <row r="57" spans="1:19" x14ac:dyDescent="0.25">
      <c r="A57" s="58" t="s">
        <v>383</v>
      </c>
      <c r="B57" s="5">
        <v>1</v>
      </c>
      <c r="C57">
        <v>0.5</v>
      </c>
      <c r="D57">
        <v>2</v>
      </c>
      <c r="E57">
        <v>0.5</v>
      </c>
      <c r="F57">
        <v>1</v>
      </c>
      <c r="G57">
        <v>1</v>
      </c>
      <c r="H57">
        <v>1</v>
      </c>
      <c r="I57">
        <v>0.5</v>
      </c>
      <c r="J57">
        <v>2</v>
      </c>
      <c r="K57">
        <v>0.5</v>
      </c>
      <c r="L57">
        <v>1</v>
      </c>
      <c r="M57">
        <v>0.5</v>
      </c>
      <c r="N57">
        <v>2</v>
      </c>
      <c r="O57">
        <v>1</v>
      </c>
      <c r="P57">
        <v>0.5</v>
      </c>
      <c r="Q57">
        <v>1</v>
      </c>
      <c r="R57">
        <v>0.5</v>
      </c>
      <c r="S57" s="6">
        <v>1</v>
      </c>
    </row>
    <row r="58" spans="1:19" x14ac:dyDescent="0.25">
      <c r="A58" s="58" t="s">
        <v>384</v>
      </c>
      <c r="B58" s="5">
        <v>1</v>
      </c>
      <c r="C58">
        <v>1</v>
      </c>
      <c r="D58">
        <v>2</v>
      </c>
      <c r="E58">
        <v>0.5</v>
      </c>
      <c r="F58">
        <v>0.5</v>
      </c>
      <c r="G58">
        <v>1</v>
      </c>
      <c r="H58">
        <v>1</v>
      </c>
      <c r="I58">
        <v>1</v>
      </c>
      <c r="J58">
        <v>0</v>
      </c>
      <c r="K58">
        <v>2</v>
      </c>
      <c r="L58">
        <v>1</v>
      </c>
      <c r="M58">
        <v>1</v>
      </c>
      <c r="N58">
        <v>1</v>
      </c>
      <c r="O58">
        <v>1</v>
      </c>
      <c r="P58">
        <v>0.5</v>
      </c>
      <c r="Q58">
        <v>1</v>
      </c>
      <c r="R58">
        <v>1</v>
      </c>
      <c r="S58" s="6">
        <v>1</v>
      </c>
    </row>
    <row r="59" spans="1:19" x14ac:dyDescent="0.25">
      <c r="A59" s="58" t="s">
        <v>385</v>
      </c>
      <c r="B59" s="5">
        <v>1</v>
      </c>
      <c r="C59">
        <v>0.5</v>
      </c>
      <c r="D59">
        <v>0.5</v>
      </c>
      <c r="E59">
        <v>2</v>
      </c>
      <c r="F59">
        <v>1</v>
      </c>
      <c r="G59">
        <v>0.5</v>
      </c>
      <c r="H59">
        <v>1</v>
      </c>
      <c r="I59">
        <v>1</v>
      </c>
      <c r="J59">
        <v>2</v>
      </c>
      <c r="K59">
        <v>2</v>
      </c>
      <c r="L59">
        <v>1</v>
      </c>
      <c r="M59">
        <v>1</v>
      </c>
      <c r="N59">
        <v>1</v>
      </c>
      <c r="O59">
        <v>1</v>
      </c>
      <c r="P59">
        <v>2</v>
      </c>
      <c r="Q59">
        <v>1</v>
      </c>
      <c r="R59">
        <v>0.5</v>
      </c>
      <c r="S59" s="6">
        <v>1</v>
      </c>
    </row>
    <row r="60" spans="1:19" x14ac:dyDescent="0.25">
      <c r="A60" s="58" t="s">
        <v>386</v>
      </c>
      <c r="B60" s="5">
        <v>2</v>
      </c>
      <c r="C60">
        <v>1</v>
      </c>
      <c r="D60">
        <v>1</v>
      </c>
      <c r="E60">
        <v>1</v>
      </c>
      <c r="F60">
        <v>1</v>
      </c>
      <c r="G60">
        <v>2</v>
      </c>
      <c r="H60">
        <v>1</v>
      </c>
      <c r="I60">
        <v>0.5</v>
      </c>
      <c r="J60">
        <v>1</v>
      </c>
      <c r="K60">
        <v>0.5</v>
      </c>
      <c r="L60">
        <v>0.5</v>
      </c>
      <c r="M60">
        <v>0.5</v>
      </c>
      <c r="N60">
        <v>2</v>
      </c>
      <c r="O60">
        <v>0</v>
      </c>
      <c r="P60">
        <v>1</v>
      </c>
      <c r="Q60">
        <v>2</v>
      </c>
      <c r="R60">
        <v>2</v>
      </c>
      <c r="S60" s="6">
        <v>0.5</v>
      </c>
    </row>
    <row r="61" spans="1:19" x14ac:dyDescent="0.25">
      <c r="A61" s="58" t="s">
        <v>387</v>
      </c>
      <c r="B61" s="5">
        <v>1</v>
      </c>
      <c r="C61">
        <v>1</v>
      </c>
      <c r="D61">
        <v>1</v>
      </c>
      <c r="E61">
        <v>2</v>
      </c>
      <c r="F61">
        <v>1</v>
      </c>
      <c r="G61">
        <v>1</v>
      </c>
      <c r="H61">
        <v>1</v>
      </c>
      <c r="I61">
        <v>0.5</v>
      </c>
      <c r="J61">
        <v>0.5</v>
      </c>
      <c r="K61">
        <v>1</v>
      </c>
      <c r="L61">
        <v>1</v>
      </c>
      <c r="M61">
        <v>1</v>
      </c>
      <c r="N61">
        <v>0.5</v>
      </c>
      <c r="O61">
        <v>0.5</v>
      </c>
      <c r="P61">
        <v>1</v>
      </c>
      <c r="Q61">
        <v>1</v>
      </c>
      <c r="R61">
        <v>0</v>
      </c>
      <c r="S61" s="6">
        <v>2</v>
      </c>
    </row>
    <row r="62" spans="1:19" x14ac:dyDescent="0.25">
      <c r="A62" s="58" t="s">
        <v>388</v>
      </c>
      <c r="B62" s="5">
        <v>1</v>
      </c>
      <c r="C62">
        <v>2</v>
      </c>
      <c r="D62">
        <v>1</v>
      </c>
      <c r="E62">
        <v>0.5</v>
      </c>
      <c r="F62">
        <v>2</v>
      </c>
      <c r="G62">
        <v>1</v>
      </c>
      <c r="H62">
        <v>1</v>
      </c>
      <c r="I62">
        <v>2</v>
      </c>
      <c r="J62">
        <v>1</v>
      </c>
      <c r="K62">
        <v>0</v>
      </c>
      <c r="L62">
        <v>1</v>
      </c>
      <c r="M62">
        <v>0.5</v>
      </c>
      <c r="N62">
        <v>2</v>
      </c>
      <c r="O62">
        <v>1</v>
      </c>
      <c r="P62">
        <v>1</v>
      </c>
      <c r="Q62">
        <v>1</v>
      </c>
      <c r="R62">
        <v>2</v>
      </c>
      <c r="S62" s="6">
        <v>1</v>
      </c>
    </row>
    <row r="63" spans="1:19" x14ac:dyDescent="0.25">
      <c r="A63" s="58" t="s">
        <v>389</v>
      </c>
      <c r="B63" s="5">
        <v>1</v>
      </c>
      <c r="C63">
        <v>1</v>
      </c>
      <c r="D63">
        <v>1</v>
      </c>
      <c r="E63">
        <v>2</v>
      </c>
      <c r="F63">
        <v>0.5</v>
      </c>
      <c r="G63">
        <v>1</v>
      </c>
      <c r="H63">
        <v>2</v>
      </c>
      <c r="I63">
        <v>1</v>
      </c>
      <c r="J63">
        <v>1</v>
      </c>
      <c r="K63">
        <v>1</v>
      </c>
      <c r="L63">
        <v>1</v>
      </c>
      <c r="M63">
        <v>2</v>
      </c>
      <c r="N63">
        <v>0.5</v>
      </c>
      <c r="O63">
        <v>1</v>
      </c>
      <c r="P63">
        <v>1</v>
      </c>
      <c r="Q63">
        <v>1</v>
      </c>
      <c r="R63">
        <v>0.5</v>
      </c>
      <c r="S63" s="6">
        <v>1</v>
      </c>
    </row>
    <row r="64" spans="1:19" x14ac:dyDescent="0.25">
      <c r="A64" s="58" t="s">
        <v>390</v>
      </c>
      <c r="B64" s="5">
        <v>1</v>
      </c>
      <c r="C64">
        <v>1</v>
      </c>
      <c r="D64">
        <v>1</v>
      </c>
      <c r="E64">
        <v>1</v>
      </c>
      <c r="F64">
        <v>1</v>
      </c>
      <c r="G64">
        <v>1</v>
      </c>
      <c r="H64">
        <v>2</v>
      </c>
      <c r="I64">
        <v>2</v>
      </c>
      <c r="J64">
        <v>1</v>
      </c>
      <c r="K64">
        <v>1</v>
      </c>
      <c r="L64">
        <v>0.5</v>
      </c>
      <c r="M64">
        <v>1</v>
      </c>
      <c r="N64">
        <v>1</v>
      </c>
      <c r="O64">
        <v>1</v>
      </c>
      <c r="P64">
        <v>1</v>
      </c>
      <c r="Q64">
        <v>0</v>
      </c>
      <c r="R64">
        <v>0.5</v>
      </c>
      <c r="S64" s="6">
        <v>1</v>
      </c>
    </row>
    <row r="65" spans="1:19" x14ac:dyDescent="0.25">
      <c r="A65" s="58" t="s">
        <v>391</v>
      </c>
      <c r="B65" s="5">
        <v>1</v>
      </c>
      <c r="C65">
        <v>0.5</v>
      </c>
      <c r="D65">
        <v>1</v>
      </c>
      <c r="E65">
        <v>2</v>
      </c>
      <c r="F65">
        <v>1</v>
      </c>
      <c r="G65">
        <v>1</v>
      </c>
      <c r="H65">
        <v>0.5</v>
      </c>
      <c r="I65">
        <v>0.5</v>
      </c>
      <c r="J65">
        <v>1</v>
      </c>
      <c r="K65">
        <v>0.5</v>
      </c>
      <c r="L65">
        <v>2</v>
      </c>
      <c r="M65">
        <v>1</v>
      </c>
      <c r="N65">
        <v>1</v>
      </c>
      <c r="O65">
        <v>0.5</v>
      </c>
      <c r="P65">
        <v>1</v>
      </c>
      <c r="Q65">
        <v>2</v>
      </c>
      <c r="R65">
        <v>0.5</v>
      </c>
      <c r="S65" s="6">
        <v>0.5</v>
      </c>
    </row>
    <row r="66" spans="1:19" x14ac:dyDescent="0.25">
      <c r="A66" s="58" t="s">
        <v>392</v>
      </c>
      <c r="B66" s="5">
        <v>1</v>
      </c>
      <c r="C66">
        <v>2</v>
      </c>
      <c r="D66">
        <v>1</v>
      </c>
      <c r="E66">
        <v>1</v>
      </c>
      <c r="F66">
        <v>1</v>
      </c>
      <c r="G66">
        <v>2</v>
      </c>
      <c r="H66">
        <v>0.5</v>
      </c>
      <c r="I66">
        <v>1</v>
      </c>
      <c r="J66">
        <v>0.5</v>
      </c>
      <c r="K66">
        <v>2</v>
      </c>
      <c r="L66">
        <v>1</v>
      </c>
      <c r="M66">
        <v>2</v>
      </c>
      <c r="N66">
        <v>1</v>
      </c>
      <c r="O66">
        <v>1</v>
      </c>
      <c r="P66">
        <v>1</v>
      </c>
      <c r="Q66">
        <v>1</v>
      </c>
      <c r="R66">
        <v>0.5</v>
      </c>
      <c r="S66" s="6">
        <v>1</v>
      </c>
    </row>
    <row r="67" spans="1:19" x14ac:dyDescent="0.25">
      <c r="A67" s="58" t="s">
        <v>393</v>
      </c>
      <c r="B67" s="5">
        <v>0</v>
      </c>
      <c r="C67">
        <v>1</v>
      </c>
      <c r="D67">
        <v>1</v>
      </c>
      <c r="E67">
        <v>1</v>
      </c>
      <c r="F67">
        <v>1</v>
      </c>
      <c r="G67">
        <v>1</v>
      </c>
      <c r="H67">
        <v>1</v>
      </c>
      <c r="I67">
        <v>1</v>
      </c>
      <c r="J67">
        <v>1</v>
      </c>
      <c r="K67">
        <v>1</v>
      </c>
      <c r="L67">
        <v>2</v>
      </c>
      <c r="M67">
        <v>1</v>
      </c>
      <c r="N67">
        <v>1</v>
      </c>
      <c r="O67">
        <v>2</v>
      </c>
      <c r="P67">
        <v>1</v>
      </c>
      <c r="Q67">
        <v>0.5</v>
      </c>
      <c r="R67">
        <v>1</v>
      </c>
      <c r="S67" s="6">
        <v>1</v>
      </c>
    </row>
    <row r="68" spans="1:19" x14ac:dyDescent="0.25">
      <c r="A68" s="58" t="s">
        <v>394</v>
      </c>
      <c r="B68" s="5">
        <v>1</v>
      </c>
      <c r="C68">
        <v>1</v>
      </c>
      <c r="D68">
        <v>1</v>
      </c>
      <c r="E68">
        <v>1</v>
      </c>
      <c r="F68">
        <v>1</v>
      </c>
      <c r="G68">
        <v>1</v>
      </c>
      <c r="H68">
        <v>1</v>
      </c>
      <c r="I68">
        <v>1</v>
      </c>
      <c r="J68">
        <v>1</v>
      </c>
      <c r="K68">
        <v>1</v>
      </c>
      <c r="L68">
        <v>1</v>
      </c>
      <c r="M68">
        <v>1</v>
      </c>
      <c r="N68">
        <v>1</v>
      </c>
      <c r="O68">
        <v>1</v>
      </c>
      <c r="P68">
        <v>2</v>
      </c>
      <c r="Q68">
        <v>1</v>
      </c>
      <c r="R68">
        <v>0.5</v>
      </c>
      <c r="S68" s="6">
        <v>0</v>
      </c>
    </row>
    <row r="69" spans="1:19" x14ac:dyDescent="0.25">
      <c r="A69" s="58" t="s">
        <v>395</v>
      </c>
      <c r="B69" s="5">
        <v>1</v>
      </c>
      <c r="C69">
        <v>1</v>
      </c>
      <c r="D69">
        <v>1</v>
      </c>
      <c r="E69">
        <v>1</v>
      </c>
      <c r="F69">
        <v>1</v>
      </c>
      <c r="G69">
        <v>1</v>
      </c>
      <c r="H69">
        <v>0.5</v>
      </c>
      <c r="I69">
        <v>1</v>
      </c>
      <c r="J69">
        <v>1</v>
      </c>
      <c r="K69">
        <v>1</v>
      </c>
      <c r="L69">
        <v>2</v>
      </c>
      <c r="M69">
        <v>1</v>
      </c>
      <c r="N69">
        <v>1</v>
      </c>
      <c r="O69">
        <v>2</v>
      </c>
      <c r="P69">
        <v>1</v>
      </c>
      <c r="Q69">
        <v>0.5</v>
      </c>
      <c r="R69">
        <v>1</v>
      </c>
      <c r="S69" s="6">
        <v>0.5</v>
      </c>
    </row>
    <row r="70" spans="1:19" x14ac:dyDescent="0.25">
      <c r="A70" s="58" t="s">
        <v>396</v>
      </c>
      <c r="B70" s="5">
        <v>1</v>
      </c>
      <c r="C70">
        <v>0.5</v>
      </c>
      <c r="D70">
        <v>0.5</v>
      </c>
      <c r="E70">
        <v>1</v>
      </c>
      <c r="F70">
        <v>0.5</v>
      </c>
      <c r="G70">
        <v>2</v>
      </c>
      <c r="H70">
        <v>1</v>
      </c>
      <c r="I70">
        <v>1</v>
      </c>
      <c r="J70">
        <v>1</v>
      </c>
      <c r="K70">
        <v>1</v>
      </c>
      <c r="L70">
        <v>1</v>
      </c>
      <c r="M70">
        <v>1</v>
      </c>
      <c r="N70">
        <v>2</v>
      </c>
      <c r="O70">
        <v>1</v>
      </c>
      <c r="P70">
        <v>1</v>
      </c>
      <c r="Q70">
        <v>1</v>
      </c>
      <c r="R70">
        <v>0.5</v>
      </c>
      <c r="S70" s="6">
        <v>2</v>
      </c>
    </row>
    <row r="71" spans="1:19" ht="15.75" thickBot="1" x14ac:dyDescent="0.3">
      <c r="A71" s="59" t="s">
        <v>397</v>
      </c>
      <c r="B71" s="7">
        <v>1</v>
      </c>
      <c r="C71" s="14">
        <v>0.5</v>
      </c>
      <c r="D71" s="14">
        <v>1</v>
      </c>
      <c r="E71" s="14">
        <v>1</v>
      </c>
      <c r="F71" s="14">
        <v>1</v>
      </c>
      <c r="G71" s="14">
        <v>1</v>
      </c>
      <c r="H71" s="14">
        <v>2</v>
      </c>
      <c r="I71" s="14">
        <v>0.5</v>
      </c>
      <c r="J71" s="14">
        <v>1</v>
      </c>
      <c r="K71" s="14">
        <v>1</v>
      </c>
      <c r="L71" s="14">
        <v>1</v>
      </c>
      <c r="M71" s="14">
        <v>1</v>
      </c>
      <c r="N71" s="14">
        <v>1</v>
      </c>
      <c r="O71" s="14">
        <v>1</v>
      </c>
      <c r="P71" s="14">
        <v>2</v>
      </c>
      <c r="Q71" s="14">
        <v>2</v>
      </c>
      <c r="R71" s="14">
        <v>0.5</v>
      </c>
      <c r="S71" s="8">
        <v>1</v>
      </c>
    </row>
  </sheetData>
  <sortState xmlns:xlrd2="http://schemas.microsoft.com/office/spreadsheetml/2017/richdata2" columnSort="1" ref="A6:D24">
    <sortCondition ref="B6"/>
  </sortState>
  <mergeCells count="6">
    <mergeCell ref="A50:S51"/>
    <mergeCell ref="F26:G27"/>
    <mergeCell ref="A1:I2"/>
    <mergeCell ref="A4:D5"/>
    <mergeCell ref="F4:I5"/>
    <mergeCell ref="A26:B27"/>
  </mergeCells>
  <conditionalFormatting sqref="B54:S71">
    <cfRule type="cellIs" dxfId="12" priority="1" operator="equal">
      <formula>1</formula>
    </cfRule>
    <cfRule type="cellIs" dxfId="11" priority="2" operator="equal">
      <formula>0</formula>
    </cfRule>
    <cfRule type="cellIs" dxfId="10" priority="3" operator="equal">
      <formula>0.5</formula>
    </cfRule>
    <cfRule type="cellIs" dxfId="9" priority="4" operator="equal">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FAEF8-E407-4A65-8028-F64FCB37A46E}">
  <dimension ref="A1:G21"/>
  <sheetViews>
    <sheetView showGridLines="0" workbookViewId="0">
      <selection activeCell="J12" sqref="J12"/>
    </sheetView>
  </sheetViews>
  <sheetFormatPr defaultRowHeight="15" x14ac:dyDescent="0.25"/>
  <cols>
    <col min="1" max="1" width="31.140625" customWidth="1"/>
    <col min="2" max="2" width="15.5703125" customWidth="1"/>
    <col min="3" max="3" width="18.140625" customWidth="1"/>
    <col min="4" max="4" width="16" customWidth="1"/>
    <col min="5" max="5" width="17.42578125" customWidth="1"/>
    <col min="6" max="6" width="14.85546875" customWidth="1"/>
  </cols>
  <sheetData>
    <row r="1" spans="1:7" ht="15" customHeight="1" x14ac:dyDescent="0.25">
      <c r="A1" s="178" t="s">
        <v>353</v>
      </c>
      <c r="B1" s="179"/>
      <c r="C1" s="179"/>
      <c r="D1" s="179"/>
      <c r="E1" s="179"/>
      <c r="F1" s="179"/>
      <c r="G1" s="180"/>
    </row>
    <row r="2" spans="1:7" x14ac:dyDescent="0.25">
      <c r="A2" s="181"/>
      <c r="B2" s="182"/>
      <c r="C2" s="182"/>
      <c r="D2" s="182"/>
      <c r="E2" s="182"/>
      <c r="F2" s="182"/>
      <c r="G2" s="183"/>
    </row>
    <row r="3" spans="1:7" ht="15.75" thickBot="1" x14ac:dyDescent="0.3">
      <c r="A3" s="184"/>
      <c r="B3" s="185"/>
      <c r="C3" s="185"/>
      <c r="D3" s="185"/>
      <c r="E3" s="185"/>
      <c r="F3" s="185"/>
      <c r="G3" s="186"/>
    </row>
    <row r="4" spans="1:7" ht="15.75" thickBot="1" x14ac:dyDescent="0.3">
      <c r="A4" s="5"/>
      <c r="G4" s="6"/>
    </row>
    <row r="5" spans="1:7" x14ac:dyDescent="0.25">
      <c r="A5" s="36"/>
      <c r="B5" s="35" t="s">
        <v>7</v>
      </c>
      <c r="C5" s="35" t="s">
        <v>8</v>
      </c>
      <c r="D5" s="35" t="s">
        <v>9</v>
      </c>
      <c r="E5" s="35" t="s">
        <v>10</v>
      </c>
      <c r="F5" s="35" t="s">
        <v>11</v>
      </c>
      <c r="G5" s="37" t="s">
        <v>12</v>
      </c>
    </row>
    <row r="6" spans="1:7" x14ac:dyDescent="0.25">
      <c r="A6" s="5" t="s">
        <v>7</v>
      </c>
      <c r="B6">
        <v>1</v>
      </c>
      <c r="C6">
        <f>CORREL('Clean Data'!$H$2:$H$251,'Clean Data'!$I$2:$I$251)</f>
        <v>0.24214005045219078</v>
      </c>
      <c r="D6">
        <f>CORREL('Clean Data'!$H$2:$H$251,'Clean Data'!$J$2:$J$251)</f>
        <v>0.11852373973474528</v>
      </c>
      <c r="E6">
        <f>CORREL('Clean Data'!$H$2:$H$251,'Clean Data'!$K$2:$K$251)</f>
        <v>0.25170131561978148</v>
      </c>
      <c r="F6">
        <f>CORREL('Clean Data'!$H$2:$H$251,'Clean Data'!$L$2:$L$251)</f>
        <v>0.4224905009232448</v>
      </c>
      <c r="G6" s="6">
        <f>CORREL('Clean Data'!$H$2:$H$251,'Clean Data'!$M$2:$M$251)</f>
        <v>2.0284910782447357E-2</v>
      </c>
    </row>
    <row r="7" spans="1:7" x14ac:dyDescent="0.25">
      <c r="A7" s="5" t="s">
        <v>8</v>
      </c>
      <c r="B7">
        <f>CORREL('Clean Data'!$H$2:$H$251,'Clean Data'!$I$2:$I$251)</f>
        <v>0.24214005045219078</v>
      </c>
      <c r="C7">
        <v>1</v>
      </c>
      <c r="D7">
        <f>CORREL('Clean Data'!$I$2:$I$251,'Clean Data'!$J$2:$J$251)</f>
        <v>0.44075080275339223</v>
      </c>
      <c r="E7">
        <f>CORREL('Clean Data'!$I$2:$I$251,'Clean Data'!$K$2:$K$251)</f>
        <v>0.23562393359468198</v>
      </c>
      <c r="F7">
        <f>CORREL('Clean Data'!$I$2:$I$251,'Clean Data'!$L$2:$L$251)</f>
        <v>0.23949516237982071</v>
      </c>
      <c r="G7" s="6">
        <f>CORREL('Clean Data'!$I$2:$I$251,'Clean Data'!$M2:$M$251)</f>
        <v>0.27357637182670791</v>
      </c>
    </row>
    <row r="8" spans="1:7" x14ac:dyDescent="0.25">
      <c r="A8" s="5" t="s">
        <v>9</v>
      </c>
      <c r="B8">
        <v>0.11852373973474528</v>
      </c>
      <c r="C8">
        <v>0.44075080275339223</v>
      </c>
      <c r="D8">
        <v>1</v>
      </c>
      <c r="E8">
        <f>CORREL('Clean Data'!$J$2:$J$251,'Clean Data'!$K$2:$K$251)</f>
        <v>0.13256288683978373</v>
      </c>
      <c r="F8">
        <f>CORREL('Clean Data'!$J$2:$J$251,'Clean Data'!$L$2:$L$251)</f>
        <v>0.3668993385543689</v>
      </c>
      <c r="G8" s="6">
        <f>CORREL('Clean Data'!$J$2:$J$251,'Clean Data'!$M$2:$M$251)</f>
        <v>-3.7476073177183683E-2</v>
      </c>
    </row>
    <row r="9" spans="1:7" x14ac:dyDescent="0.25">
      <c r="A9" s="5" t="s">
        <v>10</v>
      </c>
      <c r="B9">
        <v>0.25170131561978148</v>
      </c>
      <c r="C9">
        <v>0.23562393359468198</v>
      </c>
      <c r="D9">
        <v>0.13256288683978373</v>
      </c>
      <c r="E9">
        <v>1</v>
      </c>
      <c r="F9">
        <f>CORREL('Clean Data'!$K$2:$K$251,'Clean Data'!$L$2:$L$251)</f>
        <v>0.43402129899310454</v>
      </c>
      <c r="G9" s="6">
        <f>CORREL('Clean Data'!$K$2:$K$251,'Clean Data'!$M$2:$M$251)</f>
        <v>0.40917845369101186</v>
      </c>
    </row>
    <row r="10" spans="1:7" x14ac:dyDescent="0.25">
      <c r="A10" s="5" t="s">
        <v>11</v>
      </c>
      <c r="B10">
        <v>0.4224905009232448</v>
      </c>
      <c r="C10">
        <v>0.23949516237982071</v>
      </c>
      <c r="D10">
        <v>0.3668993385543689</v>
      </c>
      <c r="E10">
        <v>0.43402129899310454</v>
      </c>
      <c r="F10">
        <v>1</v>
      </c>
      <c r="G10" s="6">
        <f>CORREL('Clean Data'!$L$2:$L$251,'Clean Data'!$M$2:$M$251)</f>
        <v>0.28858411350666613</v>
      </c>
    </row>
    <row r="11" spans="1:7" ht="15.75" thickBot="1" x14ac:dyDescent="0.3">
      <c r="A11" s="7" t="s">
        <v>12</v>
      </c>
      <c r="B11" s="14">
        <v>2.0284910782447357E-2</v>
      </c>
      <c r="C11" s="14">
        <v>0.27357637182670791</v>
      </c>
      <c r="D11" s="14">
        <v>-3.7476073177183683E-2</v>
      </c>
      <c r="E11" s="14">
        <v>0.40917845369101186</v>
      </c>
      <c r="F11" s="14">
        <v>0.28858411350666613</v>
      </c>
      <c r="G11" s="8">
        <v>1</v>
      </c>
    </row>
    <row r="12" spans="1:7" ht="15.75" thickBot="1" x14ac:dyDescent="0.3">
      <c r="A12" s="5"/>
      <c r="G12" s="6"/>
    </row>
    <row r="13" spans="1:7" ht="15.75" thickBot="1" x14ac:dyDescent="0.3">
      <c r="A13" s="41" t="s">
        <v>331</v>
      </c>
      <c r="B13" s="41" t="s">
        <v>332</v>
      </c>
      <c r="C13" s="41" t="s">
        <v>341</v>
      </c>
      <c r="D13" s="38" t="s">
        <v>333</v>
      </c>
      <c r="E13" s="39"/>
      <c r="F13" s="39"/>
      <c r="G13" s="40"/>
    </row>
    <row r="14" spans="1:7" x14ac:dyDescent="0.25">
      <c r="A14" s="42" t="s">
        <v>334</v>
      </c>
      <c r="B14" s="42">
        <f>INDEX($B$6:$G$11,1,5)</f>
        <v>0.4224905009232448</v>
      </c>
      <c r="C14" s="42" t="s">
        <v>342</v>
      </c>
      <c r="D14" t="s">
        <v>350</v>
      </c>
      <c r="G14" s="6"/>
    </row>
    <row r="15" spans="1:7" x14ac:dyDescent="0.25">
      <c r="A15" s="42" t="s">
        <v>335</v>
      </c>
      <c r="B15" s="42">
        <f>INDEX($B$6:$G$11,2,3)</f>
        <v>0.44075080275339223</v>
      </c>
      <c r="C15" s="42" t="s">
        <v>343</v>
      </c>
      <c r="D15" t="s">
        <v>349</v>
      </c>
      <c r="G15" s="6"/>
    </row>
    <row r="16" spans="1:7" x14ac:dyDescent="0.25">
      <c r="A16" s="42" t="s">
        <v>340</v>
      </c>
      <c r="B16" s="42">
        <f>INDEX($B$6:$G$11,3,5)</f>
        <v>0.3668993385543689</v>
      </c>
      <c r="C16" s="42" t="s">
        <v>344</v>
      </c>
      <c r="D16" t="s">
        <v>351</v>
      </c>
      <c r="G16" s="6"/>
    </row>
    <row r="17" spans="1:7" x14ac:dyDescent="0.25">
      <c r="A17" s="42" t="s">
        <v>336</v>
      </c>
      <c r="B17" s="42">
        <f>INDEX($B$6:$G$11,4,5)</f>
        <v>0.43402129899310454</v>
      </c>
      <c r="C17" s="42" t="s">
        <v>342</v>
      </c>
      <c r="D17" t="s">
        <v>352</v>
      </c>
      <c r="G17" s="6"/>
    </row>
    <row r="18" spans="1:7" x14ac:dyDescent="0.25">
      <c r="A18" s="42" t="s">
        <v>339</v>
      </c>
      <c r="B18" s="42">
        <f>INDEX($B$6:$G$11,4,6)</f>
        <v>0.40917845369101186</v>
      </c>
      <c r="C18" s="42" t="s">
        <v>343</v>
      </c>
      <c r="D18" t="s">
        <v>348</v>
      </c>
      <c r="G18" s="6"/>
    </row>
    <row r="19" spans="1:7" x14ac:dyDescent="0.25">
      <c r="A19" s="42" t="s">
        <v>337</v>
      </c>
      <c r="B19" s="42">
        <f>INDEX($B$6:$G$11,6,3)</f>
        <v>-3.7476073177183683E-2</v>
      </c>
      <c r="C19" s="42" t="s">
        <v>345</v>
      </c>
      <c r="D19" t="s">
        <v>347</v>
      </c>
      <c r="G19" s="6"/>
    </row>
    <row r="20" spans="1:7" x14ac:dyDescent="0.25">
      <c r="A20" s="42" t="s">
        <v>338</v>
      </c>
      <c r="B20" s="42">
        <f>INDEX($B$6:$G$11,1,6)</f>
        <v>2.0284910782447357E-2</v>
      </c>
      <c r="C20" s="42" t="s">
        <v>20</v>
      </c>
      <c r="D20" t="s">
        <v>346</v>
      </c>
      <c r="G20" s="6"/>
    </row>
    <row r="21" spans="1:7" ht="15.75" thickBot="1" x14ac:dyDescent="0.3">
      <c r="A21" s="43"/>
      <c r="B21" s="43"/>
      <c r="C21" s="43"/>
      <c r="D21" s="14"/>
      <c r="E21" s="14"/>
      <c r="F21" s="14"/>
      <c r="G21" s="8"/>
    </row>
  </sheetData>
  <mergeCells count="1">
    <mergeCell ref="A1:G3"/>
  </mergeCells>
  <conditionalFormatting sqref="B6:G1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497C7-C1CC-45D9-A342-EFBB5A0A3859}">
  <dimension ref="A1:S273"/>
  <sheetViews>
    <sheetView topLeftCell="A12" workbookViewId="0">
      <selection activeCell="P20" sqref="P20:Q21"/>
    </sheetView>
  </sheetViews>
  <sheetFormatPr defaultRowHeight="15" x14ac:dyDescent="0.25"/>
  <cols>
    <col min="1" max="1" width="13.42578125" bestFit="1" customWidth="1"/>
    <col min="2" max="2" width="10" bestFit="1" customWidth="1"/>
    <col min="4" max="4" width="13.42578125" bestFit="1" customWidth="1"/>
    <col min="5" max="5" width="13.28515625" bestFit="1" customWidth="1"/>
    <col min="7" max="7" width="13.42578125" bestFit="1" customWidth="1"/>
    <col min="8" max="8" width="15.28515625" bestFit="1" customWidth="1"/>
    <col min="10" max="10" width="13.42578125" bestFit="1" customWidth="1"/>
    <col min="11" max="11" width="20.7109375" bestFit="1" customWidth="1"/>
    <col min="12" max="12" width="16.5703125" bestFit="1" customWidth="1"/>
    <col min="13" max="13" width="13.42578125" bestFit="1" customWidth="1"/>
    <col min="14" max="14" width="22.85546875" bestFit="1" customWidth="1"/>
    <col min="15" max="15" width="14.140625" bestFit="1" customWidth="1"/>
    <col min="16" max="18" width="13.42578125" bestFit="1" customWidth="1"/>
  </cols>
  <sheetData>
    <row r="1" spans="1:19" x14ac:dyDescent="0.25">
      <c r="A1" s="163" t="s">
        <v>354</v>
      </c>
      <c r="B1" s="187"/>
      <c r="C1" s="187"/>
      <c r="D1" s="187"/>
      <c r="E1" s="187"/>
      <c r="F1" s="187"/>
      <c r="G1" s="187"/>
      <c r="H1" s="187"/>
      <c r="I1" s="187"/>
      <c r="J1" s="187"/>
      <c r="K1" s="187"/>
      <c r="L1" s="187"/>
      <c r="M1" s="187"/>
      <c r="N1" s="187"/>
      <c r="O1" s="187"/>
      <c r="P1" s="187"/>
      <c r="Q1" s="187"/>
      <c r="R1" s="187"/>
      <c r="S1" s="188"/>
    </row>
    <row r="2" spans="1:19" ht="15.75" thickBot="1" x14ac:dyDescent="0.3">
      <c r="A2" s="189"/>
      <c r="B2" s="190"/>
      <c r="C2" s="190"/>
      <c r="D2" s="190"/>
      <c r="E2" s="190"/>
      <c r="F2" s="190"/>
      <c r="G2" s="190"/>
      <c r="H2" s="190"/>
      <c r="I2" s="190"/>
      <c r="J2" s="190"/>
      <c r="K2" s="190"/>
      <c r="L2" s="190"/>
      <c r="M2" s="190"/>
      <c r="N2" s="190"/>
      <c r="O2" s="190"/>
      <c r="P2" s="190"/>
      <c r="Q2" s="190"/>
      <c r="R2" s="190"/>
      <c r="S2" s="191"/>
    </row>
    <row r="3" spans="1:19" ht="15.75" thickBot="1" x14ac:dyDescent="0.3">
      <c r="A3" s="62"/>
      <c r="B3" s="63"/>
      <c r="C3" s="63"/>
      <c r="D3" s="63"/>
      <c r="E3" s="63"/>
      <c r="F3" s="63"/>
      <c r="G3" s="63"/>
      <c r="H3" s="63"/>
      <c r="I3" s="63"/>
      <c r="J3" s="63"/>
      <c r="K3" s="63"/>
      <c r="L3" s="63"/>
      <c r="M3" s="63"/>
      <c r="N3" s="63"/>
      <c r="O3" s="63"/>
      <c r="P3" s="63"/>
      <c r="Q3" s="63"/>
      <c r="R3" s="63"/>
      <c r="S3" s="34"/>
    </row>
    <row r="4" spans="1:19" x14ac:dyDescent="0.25">
      <c r="A4" s="192" t="s">
        <v>355</v>
      </c>
      <c r="B4" s="187"/>
      <c r="C4" s="187"/>
      <c r="D4" s="187"/>
      <c r="E4" s="187"/>
      <c r="F4" s="187"/>
      <c r="G4" s="187"/>
      <c r="H4" s="187"/>
      <c r="I4" s="187"/>
      <c r="J4" s="187"/>
      <c r="K4" s="187"/>
      <c r="L4" s="187"/>
      <c r="M4" s="187"/>
      <c r="N4" s="187"/>
      <c r="O4" s="187"/>
      <c r="P4" s="187"/>
      <c r="Q4" s="187"/>
      <c r="R4" s="187"/>
      <c r="S4" s="188"/>
    </row>
    <row r="5" spans="1:19" ht="15.75" thickBot="1" x14ac:dyDescent="0.3">
      <c r="A5" s="189"/>
      <c r="B5" s="190"/>
      <c r="C5" s="190"/>
      <c r="D5" s="190"/>
      <c r="E5" s="190"/>
      <c r="F5" s="190"/>
      <c r="G5" s="190"/>
      <c r="H5" s="190"/>
      <c r="I5" s="190"/>
      <c r="J5" s="190"/>
      <c r="K5" s="190"/>
      <c r="L5" s="190"/>
      <c r="M5" s="190"/>
      <c r="N5" s="190"/>
      <c r="O5" s="190"/>
      <c r="P5" s="190"/>
      <c r="Q5" s="190"/>
      <c r="R5" s="190"/>
      <c r="S5" s="191"/>
    </row>
    <row r="6" spans="1:19" ht="15.75" thickBot="1" x14ac:dyDescent="0.3">
      <c r="A6" s="46" t="s">
        <v>0</v>
      </c>
      <c r="B6" s="47" t="s">
        <v>1</v>
      </c>
      <c r="C6" s="47" t="s">
        <v>2</v>
      </c>
      <c r="D6" s="47" t="s">
        <v>3</v>
      </c>
      <c r="E6" s="47" t="s">
        <v>4</v>
      </c>
      <c r="F6" s="47" t="s">
        <v>5</v>
      </c>
      <c r="G6" s="47" t="s">
        <v>6</v>
      </c>
      <c r="H6" s="47" t="s">
        <v>7</v>
      </c>
      <c r="I6" s="47" t="s">
        <v>8</v>
      </c>
      <c r="J6" s="47" t="s">
        <v>9</v>
      </c>
      <c r="K6" s="47" t="s">
        <v>10</v>
      </c>
      <c r="L6" s="47" t="s">
        <v>11</v>
      </c>
      <c r="M6" s="47" t="s">
        <v>12</v>
      </c>
      <c r="N6" s="47" t="s">
        <v>282</v>
      </c>
      <c r="O6" s="47" t="s">
        <v>283</v>
      </c>
      <c r="P6" s="47" t="s">
        <v>284</v>
      </c>
      <c r="Q6" s="47" t="s">
        <v>285</v>
      </c>
      <c r="R6" s="47" t="s">
        <v>326</v>
      </c>
      <c r="S6" s="40"/>
    </row>
    <row r="7" spans="1:19" x14ac:dyDescent="0.25">
      <c r="A7" s="5">
        <v>150</v>
      </c>
      <c r="B7" t="s">
        <v>180</v>
      </c>
      <c r="C7">
        <v>20</v>
      </c>
      <c r="D7">
        <v>1220</v>
      </c>
      <c r="E7">
        <v>306</v>
      </c>
      <c r="F7" t="s">
        <v>88</v>
      </c>
      <c r="G7" t="s">
        <v>20</v>
      </c>
      <c r="H7">
        <v>106</v>
      </c>
      <c r="I7">
        <v>110</v>
      </c>
      <c r="J7">
        <v>90</v>
      </c>
      <c r="K7">
        <v>154</v>
      </c>
      <c r="L7">
        <v>90</v>
      </c>
      <c r="M7">
        <v>130</v>
      </c>
      <c r="N7">
        <f t="shared" ref="N7:N15" si="0">SUM(H7:M7)</f>
        <v>680</v>
      </c>
      <c r="O7" s="2">
        <f t="shared" ref="O7:O15" si="1">AVERAGE(H7:M7)</f>
        <v>113.33333333333333</v>
      </c>
      <c r="P7" s="3">
        <f t="shared" ref="P7:P15" si="2">D7/C7</f>
        <v>61</v>
      </c>
      <c r="Q7">
        <f t="shared" ref="Q7:Q15" si="3">IF(G7="None", 1,2)</f>
        <v>1</v>
      </c>
      <c r="R7" t="str">
        <f t="shared" ref="R7:R15" si="4">IF(E7&lt;100,"Low",IF(E7&lt;200,"Medium",IF(E7&lt;250,"HIGH",IF(E7&gt;250,"Legendary"))))</f>
        <v>Legendary</v>
      </c>
      <c r="S7" s="6"/>
    </row>
    <row r="8" spans="1:19" x14ac:dyDescent="0.25">
      <c r="A8" s="5">
        <v>249</v>
      </c>
      <c r="B8" t="s">
        <v>280</v>
      </c>
      <c r="C8">
        <v>52</v>
      </c>
      <c r="D8">
        <v>2160</v>
      </c>
      <c r="E8">
        <v>306</v>
      </c>
      <c r="F8" t="s">
        <v>88</v>
      </c>
      <c r="G8" t="s">
        <v>23</v>
      </c>
      <c r="H8">
        <v>106</v>
      </c>
      <c r="I8">
        <v>90</v>
      </c>
      <c r="J8">
        <v>130</v>
      </c>
      <c r="K8">
        <v>90</v>
      </c>
      <c r="L8">
        <v>154</v>
      </c>
      <c r="M8">
        <v>110</v>
      </c>
      <c r="N8">
        <f t="shared" si="0"/>
        <v>680</v>
      </c>
      <c r="O8" s="2">
        <f t="shared" si="1"/>
        <v>113.33333333333333</v>
      </c>
      <c r="P8" s="3">
        <f t="shared" si="2"/>
        <v>41.53846153846154</v>
      </c>
      <c r="Q8">
        <f t="shared" si="3"/>
        <v>2</v>
      </c>
      <c r="R8" t="str">
        <f t="shared" si="4"/>
        <v>Legendary</v>
      </c>
      <c r="S8" s="6"/>
    </row>
    <row r="9" spans="1:19" x14ac:dyDescent="0.25">
      <c r="A9" s="5">
        <v>250</v>
      </c>
      <c r="B9" t="s">
        <v>281</v>
      </c>
      <c r="C9">
        <v>38</v>
      </c>
      <c r="D9">
        <v>1990</v>
      </c>
      <c r="E9">
        <v>306</v>
      </c>
      <c r="F9" t="s">
        <v>19</v>
      </c>
      <c r="G9" t="s">
        <v>23</v>
      </c>
      <c r="H9">
        <v>106</v>
      </c>
      <c r="I9">
        <v>130</v>
      </c>
      <c r="J9">
        <v>90</v>
      </c>
      <c r="K9">
        <v>110</v>
      </c>
      <c r="L9">
        <v>154</v>
      </c>
      <c r="M9">
        <v>90</v>
      </c>
      <c r="N9">
        <f t="shared" si="0"/>
        <v>680</v>
      </c>
      <c r="O9" s="2">
        <f t="shared" si="1"/>
        <v>113.33333333333333</v>
      </c>
      <c r="P9" s="3">
        <f t="shared" si="2"/>
        <v>52.368421052631582</v>
      </c>
      <c r="Q9">
        <f t="shared" si="3"/>
        <v>2</v>
      </c>
      <c r="R9" t="str">
        <f t="shared" si="4"/>
        <v>Legendary</v>
      </c>
      <c r="S9" s="6"/>
    </row>
    <row r="10" spans="1:19" x14ac:dyDescent="0.25">
      <c r="A10" s="5">
        <v>149</v>
      </c>
      <c r="B10" t="s">
        <v>179</v>
      </c>
      <c r="C10">
        <v>22</v>
      </c>
      <c r="D10">
        <v>2100</v>
      </c>
      <c r="E10">
        <v>270</v>
      </c>
      <c r="F10" t="s">
        <v>177</v>
      </c>
      <c r="G10" t="s">
        <v>23</v>
      </c>
      <c r="H10">
        <v>91</v>
      </c>
      <c r="I10">
        <v>134</v>
      </c>
      <c r="J10">
        <v>95</v>
      </c>
      <c r="K10">
        <v>100</v>
      </c>
      <c r="L10">
        <v>100</v>
      </c>
      <c r="M10">
        <v>80</v>
      </c>
      <c r="N10">
        <f t="shared" si="0"/>
        <v>600</v>
      </c>
      <c r="O10" s="2">
        <f t="shared" si="1"/>
        <v>100</v>
      </c>
      <c r="P10" s="3">
        <f t="shared" si="2"/>
        <v>95.454545454545453</v>
      </c>
      <c r="Q10">
        <f t="shared" si="3"/>
        <v>2</v>
      </c>
      <c r="R10" t="str">
        <f t="shared" si="4"/>
        <v>Legendary</v>
      </c>
      <c r="S10" s="6"/>
    </row>
    <row r="11" spans="1:19" x14ac:dyDescent="0.25">
      <c r="A11" s="5">
        <v>151</v>
      </c>
      <c r="B11" t="s">
        <v>181</v>
      </c>
      <c r="C11">
        <v>4</v>
      </c>
      <c r="D11">
        <v>40</v>
      </c>
      <c r="E11">
        <v>270</v>
      </c>
      <c r="F11" t="s">
        <v>88</v>
      </c>
      <c r="G11" t="s">
        <v>20</v>
      </c>
      <c r="H11">
        <v>100</v>
      </c>
      <c r="I11">
        <v>100</v>
      </c>
      <c r="J11">
        <v>100</v>
      </c>
      <c r="K11">
        <v>100</v>
      </c>
      <c r="L11">
        <v>100</v>
      </c>
      <c r="M11">
        <v>100</v>
      </c>
      <c r="N11">
        <f t="shared" si="0"/>
        <v>600</v>
      </c>
      <c r="O11" s="2">
        <f t="shared" si="1"/>
        <v>100</v>
      </c>
      <c r="P11" s="3">
        <f t="shared" si="2"/>
        <v>10</v>
      </c>
      <c r="Q11">
        <f t="shared" si="3"/>
        <v>1</v>
      </c>
      <c r="R11" t="str">
        <f t="shared" si="4"/>
        <v>Legendary</v>
      </c>
      <c r="S11" s="6"/>
    </row>
    <row r="12" spans="1:19" x14ac:dyDescent="0.25">
      <c r="A12" s="5">
        <v>248</v>
      </c>
      <c r="B12" t="s">
        <v>279</v>
      </c>
      <c r="C12">
        <v>20</v>
      </c>
      <c r="D12">
        <v>2020</v>
      </c>
      <c r="E12">
        <v>270</v>
      </c>
      <c r="F12" t="s">
        <v>100</v>
      </c>
      <c r="G12" t="s">
        <v>228</v>
      </c>
      <c r="H12">
        <v>100</v>
      </c>
      <c r="I12">
        <v>134</v>
      </c>
      <c r="J12">
        <v>110</v>
      </c>
      <c r="K12">
        <v>95</v>
      </c>
      <c r="L12">
        <v>100</v>
      </c>
      <c r="M12">
        <v>61</v>
      </c>
      <c r="N12">
        <f t="shared" si="0"/>
        <v>600</v>
      </c>
      <c r="O12" s="2">
        <f t="shared" si="1"/>
        <v>100</v>
      </c>
      <c r="P12" s="3">
        <f t="shared" si="2"/>
        <v>101</v>
      </c>
      <c r="Q12">
        <f t="shared" si="3"/>
        <v>2</v>
      </c>
      <c r="R12" t="str">
        <f t="shared" si="4"/>
        <v>Legendary</v>
      </c>
      <c r="S12" s="6"/>
    </row>
    <row r="13" spans="1:19" x14ac:dyDescent="0.25">
      <c r="A13" s="5">
        <v>144</v>
      </c>
      <c r="B13" t="s">
        <v>173</v>
      </c>
      <c r="C13">
        <v>17</v>
      </c>
      <c r="D13">
        <v>554</v>
      </c>
      <c r="E13">
        <v>261</v>
      </c>
      <c r="F13" t="s">
        <v>115</v>
      </c>
      <c r="G13" t="s">
        <v>23</v>
      </c>
      <c r="H13">
        <v>90</v>
      </c>
      <c r="I13">
        <v>85</v>
      </c>
      <c r="J13">
        <v>100</v>
      </c>
      <c r="K13">
        <v>95</v>
      </c>
      <c r="L13">
        <v>125</v>
      </c>
      <c r="M13">
        <v>85</v>
      </c>
      <c r="N13">
        <f t="shared" si="0"/>
        <v>580</v>
      </c>
      <c r="O13" s="2">
        <f t="shared" si="1"/>
        <v>96.666666666666671</v>
      </c>
      <c r="P13" s="3">
        <f t="shared" si="2"/>
        <v>32.588235294117645</v>
      </c>
      <c r="Q13">
        <f t="shared" si="3"/>
        <v>2</v>
      </c>
      <c r="R13" t="str">
        <f t="shared" si="4"/>
        <v>Legendary</v>
      </c>
      <c r="S13" s="6"/>
    </row>
    <row r="14" spans="1:19" x14ac:dyDescent="0.25">
      <c r="A14" s="5">
        <v>145</v>
      </c>
      <c r="B14" t="s">
        <v>174</v>
      </c>
      <c r="C14">
        <v>16</v>
      </c>
      <c r="D14">
        <v>526</v>
      </c>
      <c r="E14">
        <v>261</v>
      </c>
      <c r="F14" t="s">
        <v>46</v>
      </c>
      <c r="G14" t="s">
        <v>23</v>
      </c>
      <c r="H14">
        <v>90</v>
      </c>
      <c r="I14">
        <v>90</v>
      </c>
      <c r="J14">
        <v>85</v>
      </c>
      <c r="K14">
        <v>125</v>
      </c>
      <c r="L14">
        <v>90</v>
      </c>
      <c r="M14">
        <v>100</v>
      </c>
      <c r="N14">
        <f t="shared" si="0"/>
        <v>580</v>
      </c>
      <c r="O14" s="2">
        <f t="shared" si="1"/>
        <v>96.666666666666671</v>
      </c>
      <c r="P14" s="3">
        <f t="shared" si="2"/>
        <v>32.875</v>
      </c>
      <c r="Q14">
        <f t="shared" si="3"/>
        <v>2</v>
      </c>
      <c r="R14" t="str">
        <f t="shared" si="4"/>
        <v>Legendary</v>
      </c>
      <c r="S14" s="6"/>
    </row>
    <row r="15" spans="1:19" ht="15.75" thickBot="1" x14ac:dyDescent="0.3">
      <c r="A15" s="7">
        <v>146</v>
      </c>
      <c r="B15" s="14" t="s">
        <v>175</v>
      </c>
      <c r="C15" s="14">
        <v>20</v>
      </c>
      <c r="D15" s="14">
        <v>600</v>
      </c>
      <c r="E15" s="14">
        <v>261</v>
      </c>
      <c r="F15" s="14" t="s">
        <v>19</v>
      </c>
      <c r="G15" s="14" t="s">
        <v>23</v>
      </c>
      <c r="H15" s="14">
        <v>90</v>
      </c>
      <c r="I15" s="14">
        <v>100</v>
      </c>
      <c r="J15" s="14">
        <v>90</v>
      </c>
      <c r="K15" s="14">
        <v>125</v>
      </c>
      <c r="L15" s="14">
        <v>85</v>
      </c>
      <c r="M15" s="14">
        <v>90</v>
      </c>
      <c r="N15" s="14">
        <f t="shared" si="0"/>
        <v>580</v>
      </c>
      <c r="O15" s="45">
        <f t="shared" si="1"/>
        <v>96.666666666666671</v>
      </c>
      <c r="P15" s="20">
        <f t="shared" si="2"/>
        <v>30</v>
      </c>
      <c r="Q15" s="14">
        <f t="shared" si="3"/>
        <v>2</v>
      </c>
      <c r="R15" s="14" t="str">
        <f t="shared" si="4"/>
        <v>Legendary</v>
      </c>
      <c r="S15" s="8"/>
    </row>
    <row r="16" spans="1:19" ht="15.75" thickBot="1" x14ac:dyDescent="0.3">
      <c r="A16" s="5"/>
      <c r="S16" s="6"/>
    </row>
    <row r="17" spans="1:19" x14ac:dyDescent="0.25">
      <c r="A17" s="192" t="s">
        <v>356</v>
      </c>
      <c r="B17" s="187"/>
      <c r="C17" s="187"/>
      <c r="D17" s="187"/>
      <c r="E17" s="187"/>
      <c r="F17" s="187"/>
      <c r="G17" s="187"/>
      <c r="H17" s="187"/>
      <c r="I17" s="187"/>
      <c r="J17" s="187"/>
      <c r="K17" s="187"/>
      <c r="L17" s="187"/>
      <c r="M17" s="187"/>
      <c r="N17" s="187"/>
      <c r="O17" s="187"/>
      <c r="P17" s="187"/>
      <c r="Q17" s="187"/>
      <c r="R17" s="187"/>
      <c r="S17" s="188"/>
    </row>
    <row r="18" spans="1:19" ht="15.75" thickBot="1" x14ac:dyDescent="0.3">
      <c r="A18" s="189"/>
      <c r="B18" s="190"/>
      <c r="C18" s="190"/>
      <c r="D18" s="190"/>
      <c r="E18" s="190"/>
      <c r="F18" s="190"/>
      <c r="G18" s="190"/>
      <c r="H18" s="190"/>
      <c r="I18" s="190"/>
      <c r="J18" s="190"/>
      <c r="K18" s="190"/>
      <c r="L18" s="190"/>
      <c r="M18" s="190"/>
      <c r="N18" s="190"/>
      <c r="O18" s="190"/>
      <c r="P18" s="190"/>
      <c r="Q18" s="190"/>
      <c r="R18" s="190"/>
      <c r="S18" s="191"/>
    </row>
    <row r="19" spans="1:19" ht="15.75" thickBot="1" x14ac:dyDescent="0.3">
      <c r="A19" s="5"/>
      <c r="S19" s="6"/>
    </row>
    <row r="20" spans="1:19" x14ac:dyDescent="0.25">
      <c r="A20" s="116" t="s">
        <v>358</v>
      </c>
      <c r="B20" s="117"/>
      <c r="D20" s="116" t="s">
        <v>359</v>
      </c>
      <c r="E20" s="122"/>
      <c r="F20" s="64"/>
      <c r="G20" s="116" t="s">
        <v>360</v>
      </c>
      <c r="H20" s="122"/>
      <c r="I20" s="64"/>
      <c r="J20" s="116" t="s">
        <v>361</v>
      </c>
      <c r="K20" s="122"/>
      <c r="L20" s="64"/>
      <c r="M20" s="116" t="s">
        <v>362</v>
      </c>
      <c r="N20" s="122"/>
      <c r="O20" s="64"/>
      <c r="P20" s="116" t="s">
        <v>363</v>
      </c>
      <c r="Q20" s="122"/>
      <c r="S20" s="6"/>
    </row>
    <row r="21" spans="1:19" ht="15.75" thickBot="1" x14ac:dyDescent="0.3">
      <c r="A21" s="118"/>
      <c r="B21" s="119"/>
      <c r="D21" s="123"/>
      <c r="E21" s="125"/>
      <c r="F21" s="64"/>
      <c r="G21" s="123"/>
      <c r="H21" s="125"/>
      <c r="I21" s="64"/>
      <c r="J21" s="123"/>
      <c r="K21" s="125"/>
      <c r="L21" s="64"/>
      <c r="M21" s="123"/>
      <c r="N21" s="125"/>
      <c r="O21" s="64"/>
      <c r="P21" s="123"/>
      <c r="Q21" s="125"/>
      <c r="S21" s="6"/>
    </row>
    <row r="22" spans="1:19" ht="15.75" thickBot="1" x14ac:dyDescent="0.3">
      <c r="A22" s="48" t="s">
        <v>311</v>
      </c>
      <c r="B22" s="43" t="s">
        <v>357</v>
      </c>
      <c r="D22" s="48" t="s">
        <v>311</v>
      </c>
      <c r="E22" s="43" t="s">
        <v>364</v>
      </c>
      <c r="G22" s="48" t="s">
        <v>311</v>
      </c>
      <c r="H22" s="43" t="s">
        <v>365</v>
      </c>
      <c r="J22" s="48" t="s">
        <v>311</v>
      </c>
      <c r="K22" s="43" t="s">
        <v>366</v>
      </c>
      <c r="M22" s="31" t="s">
        <v>311</v>
      </c>
      <c r="N22" s="50" t="s">
        <v>367</v>
      </c>
      <c r="P22" s="48" t="s">
        <v>311</v>
      </c>
      <c r="Q22" s="43" t="s">
        <v>368</v>
      </c>
      <c r="S22" s="6"/>
    </row>
    <row r="23" spans="1:19" x14ac:dyDescent="0.25">
      <c r="A23" s="28" t="s">
        <v>273</v>
      </c>
      <c r="B23" s="42">
        <v>255</v>
      </c>
      <c r="D23" s="17" t="s">
        <v>279</v>
      </c>
      <c r="E23" s="42">
        <v>134</v>
      </c>
      <c r="G23" s="17" t="s">
        <v>244</v>
      </c>
      <c r="H23" s="42">
        <v>230</v>
      </c>
      <c r="J23" s="17" t="s">
        <v>180</v>
      </c>
      <c r="K23" s="42">
        <v>154</v>
      </c>
      <c r="M23" s="27" t="s">
        <v>244</v>
      </c>
      <c r="N23" s="49">
        <v>230</v>
      </c>
      <c r="P23" s="17" t="s">
        <v>130</v>
      </c>
      <c r="Q23" s="42">
        <v>150</v>
      </c>
      <c r="S23" s="6"/>
    </row>
    <row r="24" spans="1:19" x14ac:dyDescent="0.25">
      <c r="A24" s="28" t="s">
        <v>142</v>
      </c>
      <c r="B24" s="42">
        <v>250</v>
      </c>
      <c r="D24" s="17" t="s">
        <v>179</v>
      </c>
      <c r="E24" s="42">
        <v>134</v>
      </c>
      <c r="G24" s="17" t="s">
        <v>239</v>
      </c>
      <c r="H24" s="42">
        <v>200</v>
      </c>
      <c r="J24" s="17" t="s">
        <v>90</v>
      </c>
      <c r="K24" s="42">
        <v>135</v>
      </c>
      <c r="M24" s="28" t="s">
        <v>280</v>
      </c>
      <c r="N24" s="42">
        <v>154</v>
      </c>
      <c r="P24" s="17" t="s">
        <v>171</v>
      </c>
      <c r="Q24" s="42">
        <v>130</v>
      </c>
      <c r="S24" s="6"/>
    </row>
    <row r="25" spans="1:19" x14ac:dyDescent="0.25">
      <c r="A25" s="28" t="s">
        <v>233</v>
      </c>
      <c r="B25" s="42">
        <v>190</v>
      </c>
      <c r="D25" s="17" t="s">
        <v>141</v>
      </c>
      <c r="E25" s="42">
        <v>130</v>
      </c>
      <c r="G25" s="17" t="s">
        <v>119</v>
      </c>
      <c r="H25" s="42">
        <v>180</v>
      </c>
      <c r="J25" s="17" t="s">
        <v>226</v>
      </c>
      <c r="K25" s="42">
        <v>130</v>
      </c>
      <c r="M25" s="28" t="s">
        <v>281</v>
      </c>
      <c r="N25" s="42">
        <v>154</v>
      </c>
      <c r="P25" s="17" t="s">
        <v>180</v>
      </c>
      <c r="Q25" s="42">
        <v>130</v>
      </c>
      <c r="S25" s="6"/>
    </row>
    <row r="26" spans="1:19" x14ac:dyDescent="0.25">
      <c r="A26" s="28" t="s">
        <v>172</v>
      </c>
      <c r="B26" s="42">
        <v>160</v>
      </c>
      <c r="D26" s="17" t="s">
        <v>165</v>
      </c>
      <c r="E26" s="42">
        <v>130</v>
      </c>
      <c r="G26" s="17" t="s">
        <v>124</v>
      </c>
      <c r="H26" s="42">
        <v>160</v>
      </c>
      <c r="J26" s="17" t="s">
        <v>123</v>
      </c>
      <c r="K26" s="42">
        <v>130</v>
      </c>
      <c r="M26" s="28" t="s">
        <v>257</v>
      </c>
      <c r="N26" s="42">
        <v>140</v>
      </c>
      <c r="P26" s="17" t="s">
        <v>199</v>
      </c>
      <c r="Q26" s="42">
        <v>130</v>
      </c>
      <c r="S26" s="6"/>
    </row>
    <row r="27" spans="1:19" x14ac:dyDescent="0.25">
      <c r="A27" s="28" t="s">
        <v>63</v>
      </c>
      <c r="B27" s="42">
        <v>140</v>
      </c>
      <c r="D27" s="17" t="s">
        <v>243</v>
      </c>
      <c r="E27" s="42">
        <v>130</v>
      </c>
      <c r="G27" s="17" t="s">
        <v>236</v>
      </c>
      <c r="H27" s="42">
        <v>140</v>
      </c>
      <c r="J27" s="17" t="s">
        <v>175</v>
      </c>
      <c r="K27" s="42">
        <v>125</v>
      </c>
      <c r="M27" s="28" t="s">
        <v>273</v>
      </c>
      <c r="N27" s="42">
        <v>135</v>
      </c>
      <c r="P27" s="17" t="s">
        <v>164</v>
      </c>
      <c r="Q27" s="42">
        <v>130</v>
      </c>
      <c r="S27" s="6"/>
    </row>
    <row r="28" spans="1:19" x14ac:dyDescent="0.25">
      <c r="A28" s="28" t="s">
        <v>163</v>
      </c>
      <c r="B28" s="42">
        <v>130</v>
      </c>
      <c r="D28" s="17" t="s">
        <v>248</v>
      </c>
      <c r="E28" s="42">
        <v>130</v>
      </c>
      <c r="G28" s="17" t="s">
        <v>258</v>
      </c>
      <c r="H28" s="42">
        <v>140</v>
      </c>
      <c r="J28" s="17" t="s">
        <v>132</v>
      </c>
      <c r="K28" s="42">
        <v>125</v>
      </c>
      <c r="M28" s="28" t="s">
        <v>227</v>
      </c>
      <c r="N28" s="42">
        <v>130</v>
      </c>
      <c r="P28" s="17" t="s">
        <v>90</v>
      </c>
      <c r="Q28" s="42">
        <v>120</v>
      </c>
      <c r="S28" s="6"/>
    </row>
    <row r="29" spans="1:19" x14ac:dyDescent="0.25">
      <c r="A29" s="28" t="s">
        <v>160</v>
      </c>
      <c r="B29" s="42">
        <v>130</v>
      </c>
      <c r="D29" s="17" t="s">
        <v>281</v>
      </c>
      <c r="E29" s="42">
        <v>130</v>
      </c>
      <c r="G29" s="17" t="s">
        <v>102</v>
      </c>
      <c r="H29" s="42">
        <v>130</v>
      </c>
      <c r="J29" s="17" t="s">
        <v>174</v>
      </c>
      <c r="K29" s="42">
        <v>125</v>
      </c>
      <c r="M29" s="28" t="s">
        <v>173</v>
      </c>
      <c r="N29" s="42">
        <v>125</v>
      </c>
      <c r="P29" s="17" t="s">
        <v>74</v>
      </c>
      <c r="Q29" s="42">
        <v>120</v>
      </c>
      <c r="S29" s="6"/>
    </row>
    <row r="30" spans="1:19" x14ac:dyDescent="0.25">
      <c r="A30" s="28" t="s">
        <v>201</v>
      </c>
      <c r="B30" s="42">
        <v>125</v>
      </c>
      <c r="D30" s="17" t="s">
        <v>93</v>
      </c>
      <c r="E30" s="42">
        <v>130</v>
      </c>
      <c r="G30" s="17" t="s">
        <v>280</v>
      </c>
      <c r="H30" s="42">
        <v>130</v>
      </c>
      <c r="J30" s="17" t="s">
        <v>109</v>
      </c>
      <c r="K30" s="42">
        <v>120</v>
      </c>
      <c r="M30" s="28" t="s">
        <v>98</v>
      </c>
      <c r="N30" s="42">
        <v>120</v>
      </c>
      <c r="P30" s="17" t="s">
        <v>150</v>
      </c>
      <c r="Q30" s="42">
        <v>115</v>
      </c>
      <c r="S30" s="6"/>
    </row>
    <row r="31" spans="1:19" x14ac:dyDescent="0.25">
      <c r="A31" s="28" t="s">
        <v>62</v>
      </c>
      <c r="B31" s="42">
        <v>115</v>
      </c>
      <c r="D31" s="17" t="s">
        <v>128</v>
      </c>
      <c r="E31" s="42">
        <v>130</v>
      </c>
      <c r="G31" s="17" t="s">
        <v>168</v>
      </c>
      <c r="H31" s="42">
        <v>125</v>
      </c>
      <c r="J31" s="17" t="s">
        <v>89</v>
      </c>
      <c r="K31" s="42">
        <v>120</v>
      </c>
      <c r="M31" s="28" t="s">
        <v>151</v>
      </c>
      <c r="N31" s="42">
        <v>120</v>
      </c>
      <c r="P31" s="17" t="s">
        <v>246</v>
      </c>
      <c r="Q31" s="42">
        <v>115</v>
      </c>
      <c r="S31" s="6"/>
    </row>
    <row r="32" spans="1:19" ht="15.75" thickBot="1" x14ac:dyDescent="0.3">
      <c r="A32" s="29" t="s">
        <v>275</v>
      </c>
      <c r="B32" s="42">
        <v>115</v>
      </c>
      <c r="D32" s="17" t="s">
        <v>159</v>
      </c>
      <c r="E32" s="42">
        <v>125</v>
      </c>
      <c r="G32" s="17" t="s">
        <v>139</v>
      </c>
      <c r="H32" s="42">
        <v>120</v>
      </c>
      <c r="J32" s="17" t="s">
        <v>274</v>
      </c>
      <c r="K32" s="42">
        <v>115</v>
      </c>
      <c r="M32" s="28" t="s">
        <v>276</v>
      </c>
      <c r="N32" s="42">
        <v>115</v>
      </c>
      <c r="P32" s="17" t="s">
        <v>274</v>
      </c>
      <c r="Q32" s="42">
        <v>115</v>
      </c>
      <c r="S32" s="6"/>
    </row>
    <row r="33" spans="1:19" ht="15.75" thickBot="1" x14ac:dyDescent="0.3">
      <c r="A33" s="29" t="s">
        <v>312</v>
      </c>
      <c r="B33" s="43">
        <v>1610</v>
      </c>
      <c r="D33" s="17" t="s">
        <v>245</v>
      </c>
      <c r="E33" s="42">
        <v>125</v>
      </c>
      <c r="G33" s="17" t="s">
        <v>141</v>
      </c>
      <c r="H33" s="42">
        <v>120</v>
      </c>
      <c r="J33" s="17" t="s">
        <v>168</v>
      </c>
      <c r="K33" s="42">
        <v>115</v>
      </c>
      <c r="M33" s="29" t="s">
        <v>126</v>
      </c>
      <c r="N33" s="42">
        <v>115</v>
      </c>
      <c r="P33" s="17" t="s">
        <v>76</v>
      </c>
      <c r="Q33" s="42">
        <v>115</v>
      </c>
      <c r="S33" s="6"/>
    </row>
    <row r="34" spans="1:19" ht="15.75" thickBot="1" x14ac:dyDescent="0.3">
      <c r="A34" s="5"/>
      <c r="D34" s="17" t="s">
        <v>156</v>
      </c>
      <c r="E34" s="42">
        <v>125</v>
      </c>
      <c r="G34" s="17" t="s">
        <v>263</v>
      </c>
      <c r="H34" s="42">
        <v>120</v>
      </c>
      <c r="J34" s="17" t="s">
        <v>211</v>
      </c>
      <c r="K34" s="42">
        <v>115</v>
      </c>
      <c r="M34" s="30" t="s">
        <v>312</v>
      </c>
      <c r="N34" s="43">
        <v>1538</v>
      </c>
      <c r="P34" s="29" t="s">
        <v>312</v>
      </c>
      <c r="Q34" s="43">
        <v>1370</v>
      </c>
      <c r="S34" s="6"/>
    </row>
    <row r="35" spans="1:19" ht="15.75" thickBot="1" x14ac:dyDescent="0.3">
      <c r="A35" s="5"/>
      <c r="D35" s="29" t="s">
        <v>312</v>
      </c>
      <c r="E35" s="43">
        <v>1553</v>
      </c>
      <c r="G35" s="17" t="s">
        <v>250</v>
      </c>
      <c r="H35" s="42">
        <v>120</v>
      </c>
      <c r="J35" s="17" t="s">
        <v>122</v>
      </c>
      <c r="K35" s="42">
        <v>115</v>
      </c>
      <c r="S35" s="6"/>
    </row>
    <row r="36" spans="1:19" ht="15.75" thickBot="1" x14ac:dyDescent="0.3">
      <c r="A36" s="5"/>
      <c r="G36" s="29" t="s">
        <v>312</v>
      </c>
      <c r="H36" s="43">
        <v>1915</v>
      </c>
      <c r="J36" s="17" t="s">
        <v>153</v>
      </c>
      <c r="K36" s="42">
        <v>115</v>
      </c>
      <c r="S36" s="6"/>
    </row>
    <row r="37" spans="1:19" ht="15.75" thickBot="1" x14ac:dyDescent="0.3">
      <c r="A37" s="5"/>
      <c r="J37" s="29" t="s">
        <v>312</v>
      </c>
      <c r="K37" s="43">
        <v>1739</v>
      </c>
      <c r="S37" s="6"/>
    </row>
    <row r="38" spans="1:19" ht="15.75" thickBot="1" x14ac:dyDescent="0.3">
      <c r="A38" s="7"/>
      <c r="B38" s="14"/>
      <c r="C38" s="14"/>
      <c r="D38" s="14"/>
      <c r="E38" s="14"/>
      <c r="F38" s="14"/>
      <c r="G38" s="14"/>
      <c r="H38" s="14"/>
      <c r="I38" s="14"/>
      <c r="J38" s="14"/>
      <c r="K38" s="14"/>
      <c r="L38" s="14"/>
      <c r="M38" s="14"/>
      <c r="N38" s="14"/>
      <c r="O38" s="14"/>
      <c r="P38" s="14"/>
      <c r="Q38" s="14"/>
      <c r="R38" s="14"/>
      <c r="S38" s="8"/>
    </row>
    <row r="42" spans="1:19" ht="15.75" thickBot="1" x14ac:dyDescent="0.3"/>
    <row r="75" ht="15.75" thickBot="1" x14ac:dyDescent="0.3"/>
    <row r="115" ht="15.75" thickBot="1" x14ac:dyDescent="0.3"/>
    <row r="129" ht="15.75" thickBot="1" x14ac:dyDescent="0.3"/>
    <row r="226" ht="15.75" thickBot="1" x14ac:dyDescent="0.3"/>
    <row r="254" ht="15.75" thickBot="1" x14ac:dyDescent="0.3"/>
    <row r="267" ht="15.75" thickBot="1" x14ac:dyDescent="0.3"/>
    <row r="273" ht="15.75" thickBot="1" x14ac:dyDescent="0.3"/>
  </sheetData>
  <mergeCells count="9">
    <mergeCell ref="A1:S2"/>
    <mergeCell ref="A4:S5"/>
    <mergeCell ref="A17:S18"/>
    <mergeCell ref="A20:B21"/>
    <mergeCell ref="D20:E21"/>
    <mergeCell ref="G20:H21"/>
    <mergeCell ref="J20:K21"/>
    <mergeCell ref="M20:N21"/>
    <mergeCell ref="P20:Q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23621-8E94-47C6-B44D-7008C9A57A2B}">
  <dimension ref="A1:U251"/>
  <sheetViews>
    <sheetView topLeftCell="B1" workbookViewId="0">
      <pane ySplit="1" topLeftCell="A2" activePane="bottomLeft" state="frozen"/>
      <selection pane="bottomLeft" activeCell="O287" sqref="O287"/>
    </sheetView>
  </sheetViews>
  <sheetFormatPr defaultRowHeight="15" x14ac:dyDescent="0.25"/>
  <cols>
    <col min="1" max="1" width="19.7109375" customWidth="1"/>
    <col min="2" max="2" width="19.42578125" customWidth="1"/>
    <col min="3" max="3" width="9.28515625" customWidth="1"/>
    <col min="4" max="4" width="9.5703125" customWidth="1"/>
    <col min="5" max="5" width="19.140625" customWidth="1"/>
    <col min="6" max="7" width="9.42578125" customWidth="1"/>
    <col min="10" max="10" width="10.85546875" customWidth="1"/>
    <col min="11" max="11" width="16.28515625" customWidth="1"/>
    <col min="12" max="12" width="18.140625" customWidth="1"/>
    <col min="13" max="13" width="17.85546875" customWidth="1"/>
    <col min="14" max="14" width="15" customWidth="1"/>
    <col min="15" max="15" width="19.28515625" customWidth="1"/>
    <col min="16" max="16" width="34.28515625" customWidth="1"/>
    <col min="17" max="17" width="13.7109375" customWidth="1"/>
    <col min="18" max="18" width="21.42578125" customWidth="1"/>
    <col min="19" max="19" width="23" customWidth="1"/>
    <col min="20" max="20" width="24" customWidth="1"/>
    <col min="21" max="21" width="14.28515625" bestFit="1" customWidth="1"/>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282</v>
      </c>
      <c r="O1" s="1" t="s">
        <v>283</v>
      </c>
      <c r="P1" s="1" t="s">
        <v>284</v>
      </c>
      <c r="Q1" s="1" t="s">
        <v>285</v>
      </c>
      <c r="R1" s="1" t="s">
        <v>326</v>
      </c>
      <c r="S1" s="52" t="s">
        <v>369</v>
      </c>
      <c r="T1" s="1" t="s">
        <v>370</v>
      </c>
      <c r="U1" s="1" t="s">
        <v>415</v>
      </c>
    </row>
    <row r="2" spans="1:21" x14ac:dyDescent="0.25">
      <c r="A2">
        <v>1</v>
      </c>
      <c r="B2" t="s">
        <v>13</v>
      </c>
      <c r="C2">
        <v>7</v>
      </c>
      <c r="D2">
        <v>69</v>
      </c>
      <c r="E2">
        <v>64</v>
      </c>
      <c r="F2" t="s">
        <v>14</v>
      </c>
      <c r="G2" t="s">
        <v>15</v>
      </c>
      <c r="H2">
        <v>45</v>
      </c>
      <c r="I2">
        <v>49</v>
      </c>
      <c r="J2">
        <v>49</v>
      </c>
      <c r="K2">
        <v>65</v>
      </c>
      <c r="L2">
        <v>65</v>
      </c>
      <c r="M2">
        <v>45</v>
      </c>
      <c r="N2">
        <f t="shared" ref="N2:N65" si="0">SUM(H2:M2)</f>
        <v>318</v>
      </c>
      <c r="O2" s="2">
        <f t="shared" ref="O2:O65" si="1">AVERAGE(H2:M2)</f>
        <v>53</v>
      </c>
      <c r="P2" s="3">
        <f t="shared" ref="P2:P65" si="2">D2/C2</f>
        <v>9.8571428571428577</v>
      </c>
      <c r="Q2">
        <f t="shared" ref="Q2:Q65" si="3">IF(G2="None", 1,2)</f>
        <v>2</v>
      </c>
      <c r="R2" t="str">
        <f t="shared" ref="R2:R65" si="4">IF(E2&lt;100,"Low",IF(E2&lt;200,"Medium",IF(E2&lt;250,"HIGH",IF(E2&gt;250,"Legendary"))))</f>
        <v>Low</v>
      </c>
      <c r="S2" s="3">
        <f t="shared" ref="S2:S65" si="5">I2+K2</f>
        <v>114</v>
      </c>
      <c r="T2">
        <f t="shared" ref="T2:T65" si="6">J2+L2</f>
        <v>114</v>
      </c>
      <c r="U2" t="str">
        <f>IF(A3 &lt;= 151, "Gen 1", IF(A3 &gt; 151, "Gen 2"))</f>
        <v>Gen 1</v>
      </c>
    </row>
    <row r="3" spans="1:21" x14ac:dyDescent="0.25">
      <c r="A3">
        <v>2</v>
      </c>
      <c r="B3" t="s">
        <v>16</v>
      </c>
      <c r="C3">
        <v>10</v>
      </c>
      <c r="D3">
        <v>130</v>
      </c>
      <c r="E3">
        <v>142</v>
      </c>
      <c r="F3" t="s">
        <v>14</v>
      </c>
      <c r="G3" t="s">
        <v>15</v>
      </c>
      <c r="H3">
        <v>60</v>
      </c>
      <c r="I3">
        <v>62</v>
      </c>
      <c r="J3">
        <v>63</v>
      </c>
      <c r="K3">
        <v>80</v>
      </c>
      <c r="L3">
        <v>80</v>
      </c>
      <c r="M3">
        <v>60</v>
      </c>
      <c r="N3">
        <f t="shared" si="0"/>
        <v>405</v>
      </c>
      <c r="O3" s="2">
        <f t="shared" si="1"/>
        <v>67.5</v>
      </c>
      <c r="P3" s="3">
        <f t="shared" si="2"/>
        <v>13</v>
      </c>
      <c r="Q3">
        <f t="shared" si="3"/>
        <v>2</v>
      </c>
      <c r="R3" t="str">
        <f t="shared" si="4"/>
        <v>Medium</v>
      </c>
      <c r="S3" s="3">
        <f t="shared" si="5"/>
        <v>142</v>
      </c>
      <c r="T3">
        <f t="shared" si="6"/>
        <v>143</v>
      </c>
      <c r="U3" t="str">
        <f t="shared" ref="U3:U66" si="7">IF(A4 &lt;= 151, "Gen 1", IF(A4 &gt; 151, "Gen 2"))</f>
        <v>Gen 1</v>
      </c>
    </row>
    <row r="4" spans="1:21" x14ac:dyDescent="0.25">
      <c r="A4">
        <v>3</v>
      </c>
      <c r="B4" t="s">
        <v>17</v>
      </c>
      <c r="C4">
        <v>20</v>
      </c>
      <c r="D4">
        <v>1000</v>
      </c>
      <c r="E4">
        <v>236</v>
      </c>
      <c r="F4" t="s">
        <v>14</v>
      </c>
      <c r="G4" t="s">
        <v>15</v>
      </c>
      <c r="H4">
        <v>80</v>
      </c>
      <c r="I4">
        <v>82</v>
      </c>
      <c r="J4">
        <v>83</v>
      </c>
      <c r="K4">
        <v>100</v>
      </c>
      <c r="L4">
        <v>100</v>
      </c>
      <c r="M4">
        <v>80</v>
      </c>
      <c r="N4">
        <f t="shared" si="0"/>
        <v>525</v>
      </c>
      <c r="O4" s="2">
        <f t="shared" si="1"/>
        <v>87.5</v>
      </c>
      <c r="P4" s="3">
        <f t="shared" si="2"/>
        <v>50</v>
      </c>
      <c r="Q4">
        <f t="shared" si="3"/>
        <v>2</v>
      </c>
      <c r="R4" t="str">
        <f t="shared" si="4"/>
        <v>HIGH</v>
      </c>
      <c r="S4" s="3">
        <f t="shared" si="5"/>
        <v>182</v>
      </c>
      <c r="T4">
        <f t="shared" si="6"/>
        <v>183</v>
      </c>
      <c r="U4" t="str">
        <f t="shared" si="7"/>
        <v>Gen 1</v>
      </c>
    </row>
    <row r="5" spans="1:21" x14ac:dyDescent="0.25">
      <c r="A5">
        <v>4</v>
      </c>
      <c r="B5" t="s">
        <v>18</v>
      </c>
      <c r="C5">
        <v>6</v>
      </c>
      <c r="D5">
        <v>85</v>
      </c>
      <c r="E5">
        <v>62</v>
      </c>
      <c r="F5" t="s">
        <v>19</v>
      </c>
      <c r="G5" t="s">
        <v>20</v>
      </c>
      <c r="H5">
        <v>39</v>
      </c>
      <c r="I5">
        <v>52</v>
      </c>
      <c r="J5">
        <v>43</v>
      </c>
      <c r="K5">
        <v>60</v>
      </c>
      <c r="L5">
        <v>50</v>
      </c>
      <c r="M5">
        <v>65</v>
      </c>
      <c r="N5">
        <f t="shared" si="0"/>
        <v>309</v>
      </c>
      <c r="O5" s="2">
        <f t="shared" si="1"/>
        <v>51.5</v>
      </c>
      <c r="P5" s="3">
        <f t="shared" si="2"/>
        <v>14.166666666666666</v>
      </c>
      <c r="Q5">
        <f t="shared" si="3"/>
        <v>1</v>
      </c>
      <c r="R5" t="str">
        <f t="shared" si="4"/>
        <v>Low</v>
      </c>
      <c r="S5" s="3">
        <f t="shared" si="5"/>
        <v>112</v>
      </c>
      <c r="T5">
        <f t="shared" si="6"/>
        <v>93</v>
      </c>
      <c r="U5" t="str">
        <f t="shared" si="7"/>
        <v>Gen 1</v>
      </c>
    </row>
    <row r="6" spans="1:21" x14ac:dyDescent="0.25">
      <c r="A6">
        <v>5</v>
      </c>
      <c r="B6" t="s">
        <v>21</v>
      </c>
      <c r="C6">
        <v>11</v>
      </c>
      <c r="D6">
        <v>190</v>
      </c>
      <c r="E6">
        <v>142</v>
      </c>
      <c r="F6" t="s">
        <v>19</v>
      </c>
      <c r="G6" t="s">
        <v>20</v>
      </c>
      <c r="H6">
        <v>58</v>
      </c>
      <c r="I6">
        <v>64</v>
      </c>
      <c r="J6">
        <v>58</v>
      </c>
      <c r="K6">
        <v>80</v>
      </c>
      <c r="L6">
        <v>65</v>
      </c>
      <c r="M6">
        <v>80</v>
      </c>
      <c r="N6">
        <f t="shared" si="0"/>
        <v>405</v>
      </c>
      <c r="O6" s="2">
        <f t="shared" si="1"/>
        <v>67.5</v>
      </c>
      <c r="P6" s="3">
        <f t="shared" si="2"/>
        <v>17.272727272727273</v>
      </c>
      <c r="Q6">
        <f t="shared" si="3"/>
        <v>1</v>
      </c>
      <c r="R6" t="str">
        <f t="shared" si="4"/>
        <v>Medium</v>
      </c>
      <c r="S6" s="3">
        <f t="shared" si="5"/>
        <v>144</v>
      </c>
      <c r="T6">
        <f t="shared" si="6"/>
        <v>123</v>
      </c>
      <c r="U6" t="str">
        <f t="shared" si="7"/>
        <v>Gen 1</v>
      </c>
    </row>
    <row r="7" spans="1:21" x14ac:dyDescent="0.25">
      <c r="A7">
        <v>6</v>
      </c>
      <c r="B7" t="s">
        <v>22</v>
      </c>
      <c r="C7">
        <v>17</v>
      </c>
      <c r="D7">
        <v>905</v>
      </c>
      <c r="E7">
        <v>240</v>
      </c>
      <c r="F7" t="s">
        <v>19</v>
      </c>
      <c r="G7" t="s">
        <v>23</v>
      </c>
      <c r="H7">
        <v>78</v>
      </c>
      <c r="I7">
        <v>84</v>
      </c>
      <c r="J7">
        <v>78</v>
      </c>
      <c r="K7">
        <v>109</v>
      </c>
      <c r="L7">
        <v>85</v>
      </c>
      <c r="M7">
        <v>100</v>
      </c>
      <c r="N7">
        <f t="shared" si="0"/>
        <v>534</v>
      </c>
      <c r="O7" s="2">
        <f t="shared" si="1"/>
        <v>89</v>
      </c>
      <c r="P7" s="3">
        <f t="shared" si="2"/>
        <v>53.235294117647058</v>
      </c>
      <c r="Q7">
        <f t="shared" si="3"/>
        <v>2</v>
      </c>
      <c r="R7" t="str">
        <f t="shared" si="4"/>
        <v>HIGH</v>
      </c>
      <c r="S7" s="3">
        <f t="shared" si="5"/>
        <v>193</v>
      </c>
      <c r="T7">
        <f t="shared" si="6"/>
        <v>163</v>
      </c>
      <c r="U7" t="str">
        <f t="shared" si="7"/>
        <v>Gen 1</v>
      </c>
    </row>
    <row r="8" spans="1:21" x14ac:dyDescent="0.25">
      <c r="A8">
        <v>7</v>
      </c>
      <c r="B8" t="s">
        <v>24</v>
      </c>
      <c r="C8">
        <v>5</v>
      </c>
      <c r="D8">
        <v>90</v>
      </c>
      <c r="E8">
        <v>63</v>
      </c>
      <c r="F8" t="s">
        <v>25</v>
      </c>
      <c r="G8" t="s">
        <v>20</v>
      </c>
      <c r="H8">
        <v>44</v>
      </c>
      <c r="I8">
        <v>48</v>
      </c>
      <c r="J8">
        <v>65</v>
      </c>
      <c r="K8">
        <v>50</v>
      </c>
      <c r="L8">
        <v>64</v>
      </c>
      <c r="M8">
        <v>43</v>
      </c>
      <c r="N8">
        <f t="shared" si="0"/>
        <v>314</v>
      </c>
      <c r="O8" s="2">
        <f t="shared" si="1"/>
        <v>52.333333333333336</v>
      </c>
      <c r="P8" s="3">
        <f t="shared" si="2"/>
        <v>18</v>
      </c>
      <c r="Q8">
        <f t="shared" si="3"/>
        <v>1</v>
      </c>
      <c r="R8" t="str">
        <f t="shared" si="4"/>
        <v>Low</v>
      </c>
      <c r="S8" s="3">
        <f t="shared" si="5"/>
        <v>98</v>
      </c>
      <c r="T8">
        <f t="shared" si="6"/>
        <v>129</v>
      </c>
      <c r="U8" t="str">
        <f t="shared" si="7"/>
        <v>Gen 1</v>
      </c>
    </row>
    <row r="9" spans="1:21" x14ac:dyDescent="0.25">
      <c r="A9">
        <v>8</v>
      </c>
      <c r="B9" t="s">
        <v>26</v>
      </c>
      <c r="C9">
        <v>10</v>
      </c>
      <c r="D9">
        <v>225</v>
      </c>
      <c r="E9">
        <v>142</v>
      </c>
      <c r="F9" t="s">
        <v>25</v>
      </c>
      <c r="G9" t="s">
        <v>20</v>
      </c>
      <c r="H9">
        <v>59</v>
      </c>
      <c r="I9">
        <v>63</v>
      </c>
      <c r="J9">
        <v>80</v>
      </c>
      <c r="K9">
        <v>65</v>
      </c>
      <c r="L9">
        <v>80</v>
      </c>
      <c r="M9">
        <v>58</v>
      </c>
      <c r="N9">
        <f t="shared" si="0"/>
        <v>405</v>
      </c>
      <c r="O9" s="2">
        <f t="shared" si="1"/>
        <v>67.5</v>
      </c>
      <c r="P9" s="3">
        <f t="shared" si="2"/>
        <v>22.5</v>
      </c>
      <c r="Q9">
        <f t="shared" si="3"/>
        <v>1</v>
      </c>
      <c r="R9" t="str">
        <f t="shared" si="4"/>
        <v>Medium</v>
      </c>
      <c r="S9" s="3">
        <f t="shared" si="5"/>
        <v>128</v>
      </c>
      <c r="T9">
        <f t="shared" si="6"/>
        <v>160</v>
      </c>
      <c r="U9" t="str">
        <f t="shared" si="7"/>
        <v>Gen 1</v>
      </c>
    </row>
    <row r="10" spans="1:21" x14ac:dyDescent="0.25">
      <c r="A10">
        <v>9</v>
      </c>
      <c r="B10" t="s">
        <v>27</v>
      </c>
      <c r="C10">
        <v>16</v>
      </c>
      <c r="D10">
        <v>855</v>
      </c>
      <c r="E10">
        <v>239</v>
      </c>
      <c r="F10" t="s">
        <v>25</v>
      </c>
      <c r="G10" t="s">
        <v>20</v>
      </c>
      <c r="H10">
        <v>79</v>
      </c>
      <c r="I10">
        <v>83</v>
      </c>
      <c r="J10">
        <v>100</v>
      </c>
      <c r="K10">
        <v>85</v>
      </c>
      <c r="L10">
        <v>105</v>
      </c>
      <c r="M10">
        <v>78</v>
      </c>
      <c r="N10">
        <f t="shared" si="0"/>
        <v>530</v>
      </c>
      <c r="O10" s="2">
        <f t="shared" si="1"/>
        <v>88.333333333333329</v>
      </c>
      <c r="P10" s="3">
        <f t="shared" si="2"/>
        <v>53.4375</v>
      </c>
      <c r="Q10">
        <f t="shared" si="3"/>
        <v>1</v>
      </c>
      <c r="R10" t="str">
        <f t="shared" si="4"/>
        <v>HIGH</v>
      </c>
      <c r="S10" s="3">
        <f t="shared" si="5"/>
        <v>168</v>
      </c>
      <c r="T10">
        <f t="shared" si="6"/>
        <v>205</v>
      </c>
      <c r="U10" t="str">
        <f t="shared" si="7"/>
        <v>Gen 1</v>
      </c>
    </row>
    <row r="11" spans="1:21" x14ac:dyDescent="0.25">
      <c r="A11">
        <v>10</v>
      </c>
      <c r="B11" t="s">
        <v>28</v>
      </c>
      <c r="C11">
        <v>3</v>
      </c>
      <c r="D11">
        <v>29</v>
      </c>
      <c r="E11">
        <v>39</v>
      </c>
      <c r="F11" t="s">
        <v>29</v>
      </c>
      <c r="G11" t="s">
        <v>20</v>
      </c>
      <c r="H11">
        <v>45</v>
      </c>
      <c r="I11">
        <v>30</v>
      </c>
      <c r="J11">
        <v>35</v>
      </c>
      <c r="K11">
        <v>20</v>
      </c>
      <c r="L11">
        <v>20</v>
      </c>
      <c r="M11">
        <v>45</v>
      </c>
      <c r="N11">
        <f t="shared" si="0"/>
        <v>195</v>
      </c>
      <c r="O11" s="2">
        <f t="shared" si="1"/>
        <v>32.5</v>
      </c>
      <c r="P11" s="3">
        <f t="shared" si="2"/>
        <v>9.6666666666666661</v>
      </c>
      <c r="Q11">
        <f t="shared" si="3"/>
        <v>1</v>
      </c>
      <c r="R11" t="str">
        <f t="shared" si="4"/>
        <v>Low</v>
      </c>
      <c r="S11" s="3">
        <f t="shared" si="5"/>
        <v>50</v>
      </c>
      <c r="T11">
        <f t="shared" si="6"/>
        <v>55</v>
      </c>
      <c r="U11" t="str">
        <f t="shared" si="7"/>
        <v>Gen 1</v>
      </c>
    </row>
    <row r="12" spans="1:21" x14ac:dyDescent="0.25">
      <c r="A12">
        <v>11</v>
      </c>
      <c r="B12" t="s">
        <v>30</v>
      </c>
      <c r="C12">
        <v>7</v>
      </c>
      <c r="D12">
        <v>99</v>
      </c>
      <c r="E12">
        <v>72</v>
      </c>
      <c r="F12" t="s">
        <v>29</v>
      </c>
      <c r="G12" t="s">
        <v>20</v>
      </c>
      <c r="H12">
        <v>50</v>
      </c>
      <c r="I12">
        <v>20</v>
      </c>
      <c r="J12">
        <v>55</v>
      </c>
      <c r="K12">
        <v>25</v>
      </c>
      <c r="L12">
        <v>25</v>
      </c>
      <c r="M12">
        <v>30</v>
      </c>
      <c r="N12">
        <f t="shared" si="0"/>
        <v>205</v>
      </c>
      <c r="O12" s="2">
        <f t="shared" si="1"/>
        <v>34.166666666666664</v>
      </c>
      <c r="P12" s="3">
        <f t="shared" si="2"/>
        <v>14.142857142857142</v>
      </c>
      <c r="Q12">
        <f t="shared" si="3"/>
        <v>1</v>
      </c>
      <c r="R12" t="str">
        <f t="shared" si="4"/>
        <v>Low</v>
      </c>
      <c r="S12" s="3">
        <f t="shared" si="5"/>
        <v>45</v>
      </c>
      <c r="T12">
        <f t="shared" si="6"/>
        <v>80</v>
      </c>
      <c r="U12" t="str">
        <f t="shared" si="7"/>
        <v>Gen 1</v>
      </c>
    </row>
    <row r="13" spans="1:21" x14ac:dyDescent="0.25">
      <c r="A13">
        <v>12</v>
      </c>
      <c r="B13" t="s">
        <v>31</v>
      </c>
      <c r="C13">
        <v>11</v>
      </c>
      <c r="D13">
        <v>320</v>
      </c>
      <c r="E13">
        <v>178</v>
      </c>
      <c r="F13" t="s">
        <v>29</v>
      </c>
      <c r="G13" t="s">
        <v>23</v>
      </c>
      <c r="H13">
        <v>60</v>
      </c>
      <c r="I13">
        <v>45</v>
      </c>
      <c r="J13">
        <v>50</v>
      </c>
      <c r="K13">
        <v>90</v>
      </c>
      <c r="L13">
        <v>80</v>
      </c>
      <c r="M13">
        <v>70</v>
      </c>
      <c r="N13">
        <f t="shared" si="0"/>
        <v>395</v>
      </c>
      <c r="O13" s="2">
        <f t="shared" si="1"/>
        <v>65.833333333333329</v>
      </c>
      <c r="P13" s="3">
        <f t="shared" si="2"/>
        <v>29.09090909090909</v>
      </c>
      <c r="Q13">
        <f t="shared" si="3"/>
        <v>2</v>
      </c>
      <c r="R13" t="str">
        <f t="shared" si="4"/>
        <v>Medium</v>
      </c>
      <c r="S13" s="3">
        <f t="shared" si="5"/>
        <v>135</v>
      </c>
      <c r="T13">
        <f t="shared" si="6"/>
        <v>130</v>
      </c>
      <c r="U13" t="str">
        <f t="shared" si="7"/>
        <v>Gen 1</v>
      </c>
    </row>
    <row r="14" spans="1:21" x14ac:dyDescent="0.25">
      <c r="A14">
        <v>13</v>
      </c>
      <c r="B14" t="s">
        <v>32</v>
      </c>
      <c r="C14">
        <v>3</v>
      </c>
      <c r="D14">
        <v>32</v>
      </c>
      <c r="E14">
        <v>39</v>
      </c>
      <c r="F14" t="s">
        <v>29</v>
      </c>
      <c r="G14" t="s">
        <v>15</v>
      </c>
      <c r="H14">
        <v>40</v>
      </c>
      <c r="I14">
        <v>35</v>
      </c>
      <c r="J14">
        <v>30</v>
      </c>
      <c r="K14">
        <v>20</v>
      </c>
      <c r="L14">
        <v>20</v>
      </c>
      <c r="M14">
        <v>50</v>
      </c>
      <c r="N14">
        <f t="shared" si="0"/>
        <v>195</v>
      </c>
      <c r="O14" s="2">
        <f t="shared" si="1"/>
        <v>32.5</v>
      </c>
      <c r="P14" s="3">
        <f t="shared" si="2"/>
        <v>10.666666666666666</v>
      </c>
      <c r="Q14">
        <f t="shared" si="3"/>
        <v>2</v>
      </c>
      <c r="R14" t="str">
        <f t="shared" si="4"/>
        <v>Low</v>
      </c>
      <c r="S14" s="3">
        <f t="shared" si="5"/>
        <v>55</v>
      </c>
      <c r="T14">
        <f t="shared" si="6"/>
        <v>50</v>
      </c>
      <c r="U14" t="str">
        <f t="shared" si="7"/>
        <v>Gen 1</v>
      </c>
    </row>
    <row r="15" spans="1:21" x14ac:dyDescent="0.25">
      <c r="A15">
        <v>14</v>
      </c>
      <c r="B15" t="s">
        <v>33</v>
      </c>
      <c r="C15">
        <v>6</v>
      </c>
      <c r="D15">
        <v>100</v>
      </c>
      <c r="E15">
        <v>72</v>
      </c>
      <c r="F15" t="s">
        <v>29</v>
      </c>
      <c r="G15" t="s">
        <v>15</v>
      </c>
      <c r="H15">
        <v>45</v>
      </c>
      <c r="I15">
        <v>25</v>
      </c>
      <c r="J15">
        <v>50</v>
      </c>
      <c r="K15">
        <v>25</v>
      </c>
      <c r="L15">
        <v>25</v>
      </c>
      <c r="M15">
        <v>35</v>
      </c>
      <c r="N15">
        <f t="shared" si="0"/>
        <v>205</v>
      </c>
      <c r="O15" s="2">
        <f t="shared" si="1"/>
        <v>34.166666666666664</v>
      </c>
      <c r="P15" s="3">
        <f t="shared" si="2"/>
        <v>16.666666666666668</v>
      </c>
      <c r="Q15">
        <f t="shared" si="3"/>
        <v>2</v>
      </c>
      <c r="R15" t="str">
        <f t="shared" si="4"/>
        <v>Low</v>
      </c>
      <c r="S15" s="3">
        <f t="shared" si="5"/>
        <v>50</v>
      </c>
      <c r="T15">
        <f t="shared" si="6"/>
        <v>75</v>
      </c>
      <c r="U15" t="str">
        <f t="shared" si="7"/>
        <v>Gen 1</v>
      </c>
    </row>
    <row r="16" spans="1:21" x14ac:dyDescent="0.25">
      <c r="A16">
        <v>15</v>
      </c>
      <c r="B16" t="s">
        <v>34</v>
      </c>
      <c r="C16">
        <v>10</v>
      </c>
      <c r="D16">
        <v>295</v>
      </c>
      <c r="E16">
        <v>178</v>
      </c>
      <c r="F16" t="s">
        <v>29</v>
      </c>
      <c r="G16" t="s">
        <v>15</v>
      </c>
      <c r="H16">
        <v>65</v>
      </c>
      <c r="I16">
        <v>90</v>
      </c>
      <c r="J16">
        <v>40</v>
      </c>
      <c r="K16">
        <v>45</v>
      </c>
      <c r="L16">
        <v>80</v>
      </c>
      <c r="M16">
        <v>75</v>
      </c>
      <c r="N16">
        <f t="shared" si="0"/>
        <v>395</v>
      </c>
      <c r="O16" s="2">
        <f t="shared" si="1"/>
        <v>65.833333333333329</v>
      </c>
      <c r="P16" s="3">
        <f t="shared" si="2"/>
        <v>29.5</v>
      </c>
      <c r="Q16">
        <f t="shared" si="3"/>
        <v>2</v>
      </c>
      <c r="R16" t="str">
        <f t="shared" si="4"/>
        <v>Medium</v>
      </c>
      <c r="S16" s="3">
        <f t="shared" si="5"/>
        <v>135</v>
      </c>
      <c r="T16">
        <f t="shared" si="6"/>
        <v>120</v>
      </c>
      <c r="U16" t="str">
        <f t="shared" si="7"/>
        <v>Gen 1</v>
      </c>
    </row>
    <row r="17" spans="1:21" x14ac:dyDescent="0.25">
      <c r="A17">
        <v>16</v>
      </c>
      <c r="B17" t="s">
        <v>35</v>
      </c>
      <c r="C17">
        <v>3</v>
      </c>
      <c r="D17">
        <v>18</v>
      </c>
      <c r="E17">
        <v>50</v>
      </c>
      <c r="F17" t="s">
        <v>36</v>
      </c>
      <c r="G17" t="s">
        <v>23</v>
      </c>
      <c r="H17">
        <v>40</v>
      </c>
      <c r="I17">
        <v>45</v>
      </c>
      <c r="J17">
        <v>40</v>
      </c>
      <c r="K17">
        <v>35</v>
      </c>
      <c r="L17">
        <v>35</v>
      </c>
      <c r="M17">
        <v>56</v>
      </c>
      <c r="N17">
        <f t="shared" si="0"/>
        <v>251</v>
      </c>
      <c r="O17" s="2">
        <f t="shared" si="1"/>
        <v>41.833333333333336</v>
      </c>
      <c r="P17" s="3">
        <f t="shared" si="2"/>
        <v>6</v>
      </c>
      <c r="Q17">
        <f t="shared" si="3"/>
        <v>2</v>
      </c>
      <c r="R17" t="str">
        <f t="shared" si="4"/>
        <v>Low</v>
      </c>
      <c r="S17" s="3">
        <f t="shared" si="5"/>
        <v>80</v>
      </c>
      <c r="T17">
        <f t="shared" si="6"/>
        <v>75</v>
      </c>
      <c r="U17" t="str">
        <f t="shared" si="7"/>
        <v>Gen 1</v>
      </c>
    </row>
    <row r="18" spans="1:21" x14ac:dyDescent="0.25">
      <c r="A18">
        <v>17</v>
      </c>
      <c r="B18" t="s">
        <v>37</v>
      </c>
      <c r="C18">
        <v>11</v>
      </c>
      <c r="D18">
        <v>300</v>
      </c>
      <c r="E18">
        <v>122</v>
      </c>
      <c r="F18" t="s">
        <v>36</v>
      </c>
      <c r="G18" t="s">
        <v>23</v>
      </c>
      <c r="H18">
        <v>63</v>
      </c>
      <c r="I18">
        <v>60</v>
      </c>
      <c r="J18">
        <v>55</v>
      </c>
      <c r="K18">
        <v>50</v>
      </c>
      <c r="L18">
        <v>50</v>
      </c>
      <c r="M18">
        <v>71</v>
      </c>
      <c r="N18">
        <f t="shared" si="0"/>
        <v>349</v>
      </c>
      <c r="O18" s="2">
        <f t="shared" si="1"/>
        <v>58.166666666666664</v>
      </c>
      <c r="P18" s="3">
        <f t="shared" si="2"/>
        <v>27.272727272727273</v>
      </c>
      <c r="Q18">
        <f t="shared" si="3"/>
        <v>2</v>
      </c>
      <c r="R18" t="str">
        <f t="shared" si="4"/>
        <v>Medium</v>
      </c>
      <c r="S18" s="3">
        <f t="shared" si="5"/>
        <v>110</v>
      </c>
      <c r="T18">
        <f t="shared" si="6"/>
        <v>105</v>
      </c>
      <c r="U18" t="str">
        <f t="shared" si="7"/>
        <v>Gen 1</v>
      </c>
    </row>
    <row r="19" spans="1:21" x14ac:dyDescent="0.25">
      <c r="A19">
        <v>18</v>
      </c>
      <c r="B19" t="s">
        <v>38</v>
      </c>
      <c r="C19">
        <v>15</v>
      </c>
      <c r="D19">
        <v>395</v>
      </c>
      <c r="E19">
        <v>216</v>
      </c>
      <c r="F19" t="s">
        <v>36</v>
      </c>
      <c r="G19" t="s">
        <v>23</v>
      </c>
      <c r="H19">
        <v>83</v>
      </c>
      <c r="I19">
        <v>80</v>
      </c>
      <c r="J19">
        <v>75</v>
      </c>
      <c r="K19">
        <v>70</v>
      </c>
      <c r="L19">
        <v>70</v>
      </c>
      <c r="M19">
        <v>101</v>
      </c>
      <c r="N19">
        <f t="shared" si="0"/>
        <v>479</v>
      </c>
      <c r="O19" s="2">
        <f t="shared" si="1"/>
        <v>79.833333333333329</v>
      </c>
      <c r="P19" s="3">
        <f t="shared" si="2"/>
        <v>26.333333333333332</v>
      </c>
      <c r="Q19">
        <f t="shared" si="3"/>
        <v>2</v>
      </c>
      <c r="R19" t="str">
        <f t="shared" si="4"/>
        <v>HIGH</v>
      </c>
      <c r="S19" s="3">
        <f t="shared" si="5"/>
        <v>150</v>
      </c>
      <c r="T19">
        <f t="shared" si="6"/>
        <v>145</v>
      </c>
      <c r="U19" t="str">
        <f t="shared" si="7"/>
        <v>Gen 1</v>
      </c>
    </row>
    <row r="20" spans="1:21" x14ac:dyDescent="0.25">
      <c r="A20">
        <v>19</v>
      </c>
      <c r="B20" t="s">
        <v>39</v>
      </c>
      <c r="C20">
        <v>3</v>
      </c>
      <c r="D20">
        <v>35</v>
      </c>
      <c r="E20">
        <v>51</v>
      </c>
      <c r="F20" t="s">
        <v>36</v>
      </c>
      <c r="G20" t="s">
        <v>20</v>
      </c>
      <c r="H20">
        <v>30</v>
      </c>
      <c r="I20">
        <v>56</v>
      </c>
      <c r="J20">
        <v>35</v>
      </c>
      <c r="K20">
        <v>25</v>
      </c>
      <c r="L20">
        <v>35</v>
      </c>
      <c r="M20">
        <v>72</v>
      </c>
      <c r="N20">
        <f t="shared" si="0"/>
        <v>253</v>
      </c>
      <c r="O20" s="2">
        <f t="shared" si="1"/>
        <v>42.166666666666664</v>
      </c>
      <c r="P20" s="3">
        <f t="shared" si="2"/>
        <v>11.666666666666666</v>
      </c>
      <c r="Q20">
        <f t="shared" si="3"/>
        <v>1</v>
      </c>
      <c r="R20" t="str">
        <f t="shared" si="4"/>
        <v>Low</v>
      </c>
      <c r="S20" s="3">
        <f t="shared" si="5"/>
        <v>81</v>
      </c>
      <c r="T20">
        <f t="shared" si="6"/>
        <v>70</v>
      </c>
      <c r="U20" t="str">
        <f t="shared" si="7"/>
        <v>Gen 1</v>
      </c>
    </row>
    <row r="21" spans="1:21" x14ac:dyDescent="0.25">
      <c r="A21">
        <v>20</v>
      </c>
      <c r="B21" t="s">
        <v>40</v>
      </c>
      <c r="C21">
        <v>7</v>
      </c>
      <c r="D21">
        <v>185</v>
      </c>
      <c r="E21">
        <v>145</v>
      </c>
      <c r="F21" t="s">
        <v>36</v>
      </c>
      <c r="G21" t="s">
        <v>20</v>
      </c>
      <c r="H21">
        <v>55</v>
      </c>
      <c r="I21">
        <v>81</v>
      </c>
      <c r="J21">
        <v>60</v>
      </c>
      <c r="K21">
        <v>50</v>
      </c>
      <c r="L21">
        <v>70</v>
      </c>
      <c r="M21">
        <v>97</v>
      </c>
      <c r="N21">
        <f t="shared" si="0"/>
        <v>413</v>
      </c>
      <c r="O21" s="2">
        <f t="shared" si="1"/>
        <v>68.833333333333329</v>
      </c>
      <c r="P21" s="3">
        <f t="shared" si="2"/>
        <v>26.428571428571427</v>
      </c>
      <c r="Q21">
        <f t="shared" si="3"/>
        <v>1</v>
      </c>
      <c r="R21" t="str">
        <f t="shared" si="4"/>
        <v>Medium</v>
      </c>
      <c r="S21" s="3">
        <f t="shared" si="5"/>
        <v>131</v>
      </c>
      <c r="T21">
        <f t="shared" si="6"/>
        <v>130</v>
      </c>
      <c r="U21" t="str">
        <f t="shared" si="7"/>
        <v>Gen 1</v>
      </c>
    </row>
    <row r="22" spans="1:21" x14ac:dyDescent="0.25">
      <c r="A22">
        <v>21</v>
      </c>
      <c r="B22" t="s">
        <v>41</v>
      </c>
      <c r="C22">
        <v>3</v>
      </c>
      <c r="D22">
        <v>20</v>
      </c>
      <c r="E22">
        <v>52</v>
      </c>
      <c r="F22" t="s">
        <v>36</v>
      </c>
      <c r="G22" t="s">
        <v>23</v>
      </c>
      <c r="H22">
        <v>40</v>
      </c>
      <c r="I22">
        <v>60</v>
      </c>
      <c r="J22">
        <v>30</v>
      </c>
      <c r="K22">
        <v>31</v>
      </c>
      <c r="L22">
        <v>31</v>
      </c>
      <c r="M22">
        <v>70</v>
      </c>
      <c r="N22">
        <f t="shared" si="0"/>
        <v>262</v>
      </c>
      <c r="O22" s="2">
        <f t="shared" si="1"/>
        <v>43.666666666666664</v>
      </c>
      <c r="P22" s="3">
        <f t="shared" si="2"/>
        <v>6.666666666666667</v>
      </c>
      <c r="Q22">
        <f t="shared" si="3"/>
        <v>2</v>
      </c>
      <c r="R22" t="str">
        <f t="shared" si="4"/>
        <v>Low</v>
      </c>
      <c r="S22" s="3">
        <f t="shared" si="5"/>
        <v>91</v>
      </c>
      <c r="T22">
        <f t="shared" si="6"/>
        <v>61</v>
      </c>
      <c r="U22" t="str">
        <f t="shared" si="7"/>
        <v>Gen 1</v>
      </c>
    </row>
    <row r="23" spans="1:21" x14ac:dyDescent="0.25">
      <c r="A23">
        <v>22</v>
      </c>
      <c r="B23" t="s">
        <v>42</v>
      </c>
      <c r="C23">
        <v>12</v>
      </c>
      <c r="D23">
        <v>380</v>
      </c>
      <c r="E23">
        <v>155</v>
      </c>
      <c r="F23" t="s">
        <v>36</v>
      </c>
      <c r="G23" t="s">
        <v>23</v>
      </c>
      <c r="H23">
        <v>65</v>
      </c>
      <c r="I23">
        <v>90</v>
      </c>
      <c r="J23">
        <v>65</v>
      </c>
      <c r="K23">
        <v>61</v>
      </c>
      <c r="L23">
        <v>61</v>
      </c>
      <c r="M23">
        <v>100</v>
      </c>
      <c r="N23">
        <f t="shared" si="0"/>
        <v>442</v>
      </c>
      <c r="O23" s="2">
        <f t="shared" si="1"/>
        <v>73.666666666666671</v>
      </c>
      <c r="P23" s="3">
        <f t="shared" si="2"/>
        <v>31.666666666666668</v>
      </c>
      <c r="Q23">
        <f t="shared" si="3"/>
        <v>2</v>
      </c>
      <c r="R23" t="str">
        <f t="shared" si="4"/>
        <v>Medium</v>
      </c>
      <c r="S23" s="3">
        <f t="shared" si="5"/>
        <v>151</v>
      </c>
      <c r="T23">
        <f t="shared" si="6"/>
        <v>126</v>
      </c>
      <c r="U23" t="str">
        <f t="shared" si="7"/>
        <v>Gen 1</v>
      </c>
    </row>
    <row r="24" spans="1:21" x14ac:dyDescent="0.25">
      <c r="A24">
        <v>23</v>
      </c>
      <c r="B24" t="s">
        <v>43</v>
      </c>
      <c r="C24">
        <v>20</v>
      </c>
      <c r="D24">
        <v>69</v>
      </c>
      <c r="E24">
        <v>58</v>
      </c>
      <c r="F24" t="s">
        <v>15</v>
      </c>
      <c r="G24" t="s">
        <v>20</v>
      </c>
      <c r="H24">
        <v>35</v>
      </c>
      <c r="I24">
        <v>60</v>
      </c>
      <c r="J24">
        <v>44</v>
      </c>
      <c r="K24">
        <v>40</v>
      </c>
      <c r="L24">
        <v>54</v>
      </c>
      <c r="M24">
        <v>55</v>
      </c>
      <c r="N24">
        <f t="shared" si="0"/>
        <v>288</v>
      </c>
      <c r="O24" s="2">
        <f t="shared" si="1"/>
        <v>48</v>
      </c>
      <c r="P24" s="3">
        <f t="shared" si="2"/>
        <v>3.45</v>
      </c>
      <c r="Q24">
        <f t="shared" si="3"/>
        <v>1</v>
      </c>
      <c r="R24" t="str">
        <f t="shared" si="4"/>
        <v>Low</v>
      </c>
      <c r="S24" s="3">
        <f t="shared" si="5"/>
        <v>100</v>
      </c>
      <c r="T24">
        <f t="shared" si="6"/>
        <v>98</v>
      </c>
      <c r="U24" t="str">
        <f t="shared" si="7"/>
        <v>Gen 1</v>
      </c>
    </row>
    <row r="25" spans="1:21" x14ac:dyDescent="0.25">
      <c r="A25">
        <v>24</v>
      </c>
      <c r="B25" t="s">
        <v>44</v>
      </c>
      <c r="C25">
        <v>35</v>
      </c>
      <c r="D25">
        <v>650</v>
      </c>
      <c r="E25">
        <v>157</v>
      </c>
      <c r="F25" t="s">
        <v>15</v>
      </c>
      <c r="G25" t="s">
        <v>20</v>
      </c>
      <c r="H25">
        <v>60</v>
      </c>
      <c r="I25">
        <v>95</v>
      </c>
      <c r="J25">
        <v>69</v>
      </c>
      <c r="K25">
        <v>65</v>
      </c>
      <c r="L25">
        <v>79</v>
      </c>
      <c r="M25">
        <v>80</v>
      </c>
      <c r="N25">
        <f t="shared" si="0"/>
        <v>448</v>
      </c>
      <c r="O25" s="2">
        <f t="shared" si="1"/>
        <v>74.666666666666671</v>
      </c>
      <c r="P25" s="3">
        <f t="shared" si="2"/>
        <v>18.571428571428573</v>
      </c>
      <c r="Q25">
        <f t="shared" si="3"/>
        <v>1</v>
      </c>
      <c r="R25" t="str">
        <f t="shared" si="4"/>
        <v>Medium</v>
      </c>
      <c r="S25" s="3">
        <f t="shared" si="5"/>
        <v>160</v>
      </c>
      <c r="T25">
        <f t="shared" si="6"/>
        <v>148</v>
      </c>
      <c r="U25" t="str">
        <f t="shared" si="7"/>
        <v>Gen 1</v>
      </c>
    </row>
    <row r="26" spans="1:21" x14ac:dyDescent="0.25">
      <c r="A26">
        <v>25</v>
      </c>
      <c r="B26" t="s">
        <v>45</v>
      </c>
      <c r="C26">
        <v>4</v>
      </c>
      <c r="D26">
        <v>60</v>
      </c>
      <c r="E26">
        <v>112</v>
      </c>
      <c r="F26" t="s">
        <v>46</v>
      </c>
      <c r="G26" t="s">
        <v>20</v>
      </c>
      <c r="H26">
        <v>35</v>
      </c>
      <c r="I26">
        <v>55</v>
      </c>
      <c r="J26">
        <v>40</v>
      </c>
      <c r="K26">
        <v>50</v>
      </c>
      <c r="L26">
        <v>50</v>
      </c>
      <c r="M26">
        <v>90</v>
      </c>
      <c r="N26">
        <f t="shared" si="0"/>
        <v>320</v>
      </c>
      <c r="O26" s="2">
        <f t="shared" si="1"/>
        <v>53.333333333333336</v>
      </c>
      <c r="P26" s="3">
        <f t="shared" si="2"/>
        <v>15</v>
      </c>
      <c r="Q26">
        <f t="shared" si="3"/>
        <v>1</v>
      </c>
      <c r="R26" t="str">
        <f t="shared" si="4"/>
        <v>Medium</v>
      </c>
      <c r="S26" s="3">
        <f t="shared" si="5"/>
        <v>105</v>
      </c>
      <c r="T26">
        <f t="shared" si="6"/>
        <v>90</v>
      </c>
      <c r="U26" t="str">
        <f t="shared" si="7"/>
        <v>Gen 1</v>
      </c>
    </row>
    <row r="27" spans="1:21" x14ac:dyDescent="0.25">
      <c r="A27">
        <v>26</v>
      </c>
      <c r="B27" t="s">
        <v>47</v>
      </c>
      <c r="C27">
        <v>8</v>
      </c>
      <c r="D27">
        <v>300</v>
      </c>
      <c r="E27">
        <v>218</v>
      </c>
      <c r="F27" t="s">
        <v>46</v>
      </c>
      <c r="G27" t="s">
        <v>20</v>
      </c>
      <c r="H27">
        <v>60</v>
      </c>
      <c r="I27">
        <v>90</v>
      </c>
      <c r="J27">
        <v>55</v>
      </c>
      <c r="K27">
        <v>90</v>
      </c>
      <c r="L27">
        <v>80</v>
      </c>
      <c r="M27">
        <v>110</v>
      </c>
      <c r="N27">
        <f t="shared" si="0"/>
        <v>485</v>
      </c>
      <c r="O27" s="2">
        <f t="shared" si="1"/>
        <v>80.833333333333329</v>
      </c>
      <c r="P27" s="3">
        <f t="shared" si="2"/>
        <v>37.5</v>
      </c>
      <c r="Q27">
        <f t="shared" si="3"/>
        <v>1</v>
      </c>
      <c r="R27" t="str">
        <f t="shared" si="4"/>
        <v>HIGH</v>
      </c>
      <c r="S27" s="3">
        <f t="shared" si="5"/>
        <v>180</v>
      </c>
      <c r="T27">
        <f t="shared" si="6"/>
        <v>135</v>
      </c>
      <c r="U27" t="str">
        <f t="shared" si="7"/>
        <v>Gen 1</v>
      </c>
    </row>
    <row r="28" spans="1:21" x14ac:dyDescent="0.25">
      <c r="A28">
        <v>27</v>
      </c>
      <c r="B28" t="s">
        <v>48</v>
      </c>
      <c r="C28">
        <v>6</v>
      </c>
      <c r="D28">
        <v>120</v>
      </c>
      <c r="E28">
        <v>60</v>
      </c>
      <c r="F28" t="s">
        <v>49</v>
      </c>
      <c r="G28" t="s">
        <v>20</v>
      </c>
      <c r="H28">
        <v>50</v>
      </c>
      <c r="I28">
        <v>75</v>
      </c>
      <c r="J28">
        <v>85</v>
      </c>
      <c r="K28">
        <v>20</v>
      </c>
      <c r="L28">
        <v>30</v>
      </c>
      <c r="M28">
        <v>40</v>
      </c>
      <c r="N28">
        <f t="shared" si="0"/>
        <v>300</v>
      </c>
      <c r="O28" s="2">
        <f t="shared" si="1"/>
        <v>50</v>
      </c>
      <c r="P28" s="3">
        <f t="shared" si="2"/>
        <v>20</v>
      </c>
      <c r="Q28">
        <f t="shared" si="3"/>
        <v>1</v>
      </c>
      <c r="R28" t="str">
        <f t="shared" si="4"/>
        <v>Low</v>
      </c>
      <c r="S28" s="3">
        <f t="shared" si="5"/>
        <v>95</v>
      </c>
      <c r="T28">
        <f t="shared" si="6"/>
        <v>115</v>
      </c>
      <c r="U28" t="str">
        <f t="shared" si="7"/>
        <v>Gen 1</v>
      </c>
    </row>
    <row r="29" spans="1:21" x14ac:dyDescent="0.25">
      <c r="A29">
        <v>28</v>
      </c>
      <c r="B29" t="s">
        <v>50</v>
      </c>
      <c r="C29">
        <v>10</v>
      </c>
      <c r="D29">
        <v>295</v>
      </c>
      <c r="E29">
        <v>158</v>
      </c>
      <c r="F29" t="s">
        <v>49</v>
      </c>
      <c r="G29" t="s">
        <v>20</v>
      </c>
      <c r="H29">
        <v>75</v>
      </c>
      <c r="I29">
        <v>100</v>
      </c>
      <c r="J29">
        <v>110</v>
      </c>
      <c r="K29">
        <v>45</v>
      </c>
      <c r="L29">
        <v>55</v>
      </c>
      <c r="M29">
        <v>65</v>
      </c>
      <c r="N29">
        <f t="shared" si="0"/>
        <v>450</v>
      </c>
      <c r="O29" s="2">
        <f t="shared" si="1"/>
        <v>75</v>
      </c>
      <c r="P29" s="3">
        <f t="shared" si="2"/>
        <v>29.5</v>
      </c>
      <c r="Q29">
        <f t="shared" si="3"/>
        <v>1</v>
      </c>
      <c r="R29" t="str">
        <f t="shared" si="4"/>
        <v>Medium</v>
      </c>
      <c r="S29" s="3">
        <f t="shared" si="5"/>
        <v>145</v>
      </c>
      <c r="T29">
        <f t="shared" si="6"/>
        <v>165</v>
      </c>
      <c r="U29" t="str">
        <f t="shared" si="7"/>
        <v>Gen 1</v>
      </c>
    </row>
    <row r="30" spans="1:21" x14ac:dyDescent="0.25">
      <c r="A30">
        <v>29</v>
      </c>
      <c r="B30" t="s">
        <v>51</v>
      </c>
      <c r="C30">
        <v>4</v>
      </c>
      <c r="D30">
        <v>70</v>
      </c>
      <c r="E30">
        <v>55</v>
      </c>
      <c r="F30" t="s">
        <v>15</v>
      </c>
      <c r="G30" t="s">
        <v>20</v>
      </c>
      <c r="H30">
        <v>55</v>
      </c>
      <c r="I30">
        <v>47</v>
      </c>
      <c r="J30">
        <v>52</v>
      </c>
      <c r="K30">
        <v>40</v>
      </c>
      <c r="L30">
        <v>40</v>
      </c>
      <c r="M30">
        <v>41</v>
      </c>
      <c r="N30">
        <f t="shared" si="0"/>
        <v>275</v>
      </c>
      <c r="O30" s="2">
        <f t="shared" si="1"/>
        <v>45.833333333333336</v>
      </c>
      <c r="P30" s="3">
        <f t="shared" si="2"/>
        <v>17.5</v>
      </c>
      <c r="Q30">
        <f t="shared" si="3"/>
        <v>1</v>
      </c>
      <c r="R30" t="str">
        <f t="shared" si="4"/>
        <v>Low</v>
      </c>
      <c r="S30" s="3">
        <f t="shared" si="5"/>
        <v>87</v>
      </c>
      <c r="T30">
        <f t="shared" si="6"/>
        <v>92</v>
      </c>
      <c r="U30" t="str">
        <f t="shared" si="7"/>
        <v>Gen 1</v>
      </c>
    </row>
    <row r="31" spans="1:21" x14ac:dyDescent="0.25">
      <c r="A31">
        <v>30</v>
      </c>
      <c r="B31" t="s">
        <v>52</v>
      </c>
      <c r="C31">
        <v>8</v>
      </c>
      <c r="D31">
        <v>200</v>
      </c>
      <c r="E31">
        <v>128</v>
      </c>
      <c r="F31" t="s">
        <v>15</v>
      </c>
      <c r="G31" t="s">
        <v>20</v>
      </c>
      <c r="H31">
        <v>70</v>
      </c>
      <c r="I31">
        <v>62</v>
      </c>
      <c r="J31">
        <v>67</v>
      </c>
      <c r="K31">
        <v>55</v>
      </c>
      <c r="L31">
        <v>55</v>
      </c>
      <c r="M31">
        <v>56</v>
      </c>
      <c r="N31">
        <f t="shared" si="0"/>
        <v>365</v>
      </c>
      <c r="O31" s="2">
        <f t="shared" si="1"/>
        <v>60.833333333333336</v>
      </c>
      <c r="P31" s="3">
        <f t="shared" si="2"/>
        <v>25</v>
      </c>
      <c r="Q31">
        <f t="shared" si="3"/>
        <v>1</v>
      </c>
      <c r="R31" t="str">
        <f t="shared" si="4"/>
        <v>Medium</v>
      </c>
      <c r="S31" s="3">
        <f t="shared" si="5"/>
        <v>117</v>
      </c>
      <c r="T31">
        <f t="shared" si="6"/>
        <v>122</v>
      </c>
      <c r="U31" t="str">
        <f t="shared" si="7"/>
        <v>Gen 1</v>
      </c>
    </row>
    <row r="32" spans="1:21" x14ac:dyDescent="0.25">
      <c r="A32">
        <v>31</v>
      </c>
      <c r="B32" t="s">
        <v>53</v>
      </c>
      <c r="C32">
        <v>13</v>
      </c>
      <c r="D32">
        <v>600</v>
      </c>
      <c r="E32">
        <v>227</v>
      </c>
      <c r="F32" t="s">
        <v>15</v>
      </c>
      <c r="G32" t="s">
        <v>49</v>
      </c>
      <c r="H32">
        <v>90</v>
      </c>
      <c r="I32">
        <v>92</v>
      </c>
      <c r="J32">
        <v>87</v>
      </c>
      <c r="K32">
        <v>75</v>
      </c>
      <c r="L32">
        <v>85</v>
      </c>
      <c r="M32">
        <v>76</v>
      </c>
      <c r="N32">
        <f t="shared" si="0"/>
        <v>505</v>
      </c>
      <c r="O32" s="2">
        <f t="shared" si="1"/>
        <v>84.166666666666671</v>
      </c>
      <c r="P32" s="3">
        <f t="shared" si="2"/>
        <v>46.153846153846153</v>
      </c>
      <c r="Q32">
        <f t="shared" si="3"/>
        <v>2</v>
      </c>
      <c r="R32" t="str">
        <f t="shared" si="4"/>
        <v>HIGH</v>
      </c>
      <c r="S32" s="3">
        <f t="shared" si="5"/>
        <v>167</v>
      </c>
      <c r="T32">
        <f t="shared" si="6"/>
        <v>172</v>
      </c>
      <c r="U32" t="str">
        <f t="shared" si="7"/>
        <v>Gen 1</v>
      </c>
    </row>
    <row r="33" spans="1:21" x14ac:dyDescent="0.25">
      <c r="A33">
        <v>32</v>
      </c>
      <c r="B33" t="s">
        <v>54</v>
      </c>
      <c r="C33">
        <v>5</v>
      </c>
      <c r="D33">
        <v>90</v>
      </c>
      <c r="E33">
        <v>55</v>
      </c>
      <c r="F33" t="s">
        <v>15</v>
      </c>
      <c r="G33" t="s">
        <v>20</v>
      </c>
      <c r="H33">
        <v>46</v>
      </c>
      <c r="I33">
        <v>57</v>
      </c>
      <c r="J33">
        <v>40</v>
      </c>
      <c r="K33">
        <v>40</v>
      </c>
      <c r="L33">
        <v>40</v>
      </c>
      <c r="M33">
        <v>50</v>
      </c>
      <c r="N33">
        <f t="shared" si="0"/>
        <v>273</v>
      </c>
      <c r="O33" s="2">
        <f t="shared" si="1"/>
        <v>45.5</v>
      </c>
      <c r="P33" s="3">
        <f t="shared" si="2"/>
        <v>18</v>
      </c>
      <c r="Q33">
        <f t="shared" si="3"/>
        <v>1</v>
      </c>
      <c r="R33" t="str">
        <f t="shared" si="4"/>
        <v>Low</v>
      </c>
      <c r="S33" s="3">
        <f t="shared" si="5"/>
        <v>97</v>
      </c>
      <c r="T33">
        <f t="shared" si="6"/>
        <v>80</v>
      </c>
      <c r="U33" t="str">
        <f t="shared" si="7"/>
        <v>Gen 1</v>
      </c>
    </row>
    <row r="34" spans="1:21" x14ac:dyDescent="0.25">
      <c r="A34">
        <v>33</v>
      </c>
      <c r="B34" t="s">
        <v>55</v>
      </c>
      <c r="C34">
        <v>9</v>
      </c>
      <c r="D34">
        <v>195</v>
      </c>
      <c r="E34">
        <v>128</v>
      </c>
      <c r="F34" t="s">
        <v>15</v>
      </c>
      <c r="G34" t="s">
        <v>20</v>
      </c>
      <c r="H34">
        <v>61</v>
      </c>
      <c r="I34">
        <v>72</v>
      </c>
      <c r="J34">
        <v>57</v>
      </c>
      <c r="K34">
        <v>55</v>
      </c>
      <c r="L34">
        <v>55</v>
      </c>
      <c r="M34">
        <v>65</v>
      </c>
      <c r="N34">
        <f t="shared" si="0"/>
        <v>365</v>
      </c>
      <c r="O34" s="2">
        <f t="shared" si="1"/>
        <v>60.833333333333336</v>
      </c>
      <c r="P34" s="3">
        <f t="shared" si="2"/>
        <v>21.666666666666668</v>
      </c>
      <c r="Q34">
        <f t="shared" si="3"/>
        <v>1</v>
      </c>
      <c r="R34" t="str">
        <f t="shared" si="4"/>
        <v>Medium</v>
      </c>
      <c r="S34" s="3">
        <f t="shared" si="5"/>
        <v>127</v>
      </c>
      <c r="T34">
        <f t="shared" si="6"/>
        <v>112</v>
      </c>
      <c r="U34" t="str">
        <f t="shared" si="7"/>
        <v>Gen 1</v>
      </c>
    </row>
    <row r="35" spans="1:21" x14ac:dyDescent="0.25">
      <c r="A35">
        <v>34</v>
      </c>
      <c r="B35" t="s">
        <v>56</v>
      </c>
      <c r="C35">
        <v>14</v>
      </c>
      <c r="D35">
        <v>620</v>
      </c>
      <c r="E35">
        <v>227</v>
      </c>
      <c r="F35" t="s">
        <v>15</v>
      </c>
      <c r="G35" t="s">
        <v>49</v>
      </c>
      <c r="H35">
        <v>81</v>
      </c>
      <c r="I35">
        <v>102</v>
      </c>
      <c r="J35">
        <v>77</v>
      </c>
      <c r="K35">
        <v>85</v>
      </c>
      <c r="L35">
        <v>75</v>
      </c>
      <c r="M35">
        <v>85</v>
      </c>
      <c r="N35">
        <f t="shared" si="0"/>
        <v>505</v>
      </c>
      <c r="O35" s="2">
        <f t="shared" si="1"/>
        <v>84.166666666666671</v>
      </c>
      <c r="P35" s="3">
        <f t="shared" si="2"/>
        <v>44.285714285714285</v>
      </c>
      <c r="Q35">
        <f t="shared" si="3"/>
        <v>2</v>
      </c>
      <c r="R35" t="str">
        <f t="shared" si="4"/>
        <v>HIGH</v>
      </c>
      <c r="S35" s="3">
        <f t="shared" si="5"/>
        <v>187</v>
      </c>
      <c r="T35">
        <f t="shared" si="6"/>
        <v>152</v>
      </c>
      <c r="U35" t="str">
        <f t="shared" si="7"/>
        <v>Gen 1</v>
      </c>
    </row>
    <row r="36" spans="1:21" x14ac:dyDescent="0.25">
      <c r="A36">
        <v>35</v>
      </c>
      <c r="B36" t="s">
        <v>57</v>
      </c>
      <c r="C36">
        <v>6</v>
      </c>
      <c r="D36">
        <v>75</v>
      </c>
      <c r="E36">
        <v>113</v>
      </c>
      <c r="F36" t="s">
        <v>58</v>
      </c>
      <c r="G36" t="s">
        <v>20</v>
      </c>
      <c r="H36">
        <v>70</v>
      </c>
      <c r="I36">
        <v>45</v>
      </c>
      <c r="J36">
        <v>48</v>
      </c>
      <c r="K36">
        <v>60</v>
      </c>
      <c r="L36">
        <v>65</v>
      </c>
      <c r="M36">
        <v>35</v>
      </c>
      <c r="N36">
        <f t="shared" si="0"/>
        <v>323</v>
      </c>
      <c r="O36" s="2">
        <f t="shared" si="1"/>
        <v>53.833333333333336</v>
      </c>
      <c r="P36" s="3">
        <f t="shared" si="2"/>
        <v>12.5</v>
      </c>
      <c r="Q36">
        <f t="shared" si="3"/>
        <v>1</v>
      </c>
      <c r="R36" t="str">
        <f t="shared" si="4"/>
        <v>Medium</v>
      </c>
      <c r="S36" s="3">
        <f t="shared" si="5"/>
        <v>105</v>
      </c>
      <c r="T36">
        <f t="shared" si="6"/>
        <v>113</v>
      </c>
      <c r="U36" t="str">
        <f t="shared" si="7"/>
        <v>Gen 1</v>
      </c>
    </row>
    <row r="37" spans="1:21" x14ac:dyDescent="0.25">
      <c r="A37">
        <v>36</v>
      </c>
      <c r="B37" t="s">
        <v>59</v>
      </c>
      <c r="C37">
        <v>13</v>
      </c>
      <c r="D37">
        <v>400</v>
      </c>
      <c r="E37">
        <v>217</v>
      </c>
      <c r="F37" t="s">
        <v>58</v>
      </c>
      <c r="G37" t="s">
        <v>20</v>
      </c>
      <c r="H37">
        <v>95</v>
      </c>
      <c r="I37">
        <v>70</v>
      </c>
      <c r="J37">
        <v>73</v>
      </c>
      <c r="K37">
        <v>95</v>
      </c>
      <c r="L37">
        <v>90</v>
      </c>
      <c r="M37">
        <v>60</v>
      </c>
      <c r="N37">
        <f t="shared" si="0"/>
        <v>483</v>
      </c>
      <c r="O37" s="2">
        <f t="shared" si="1"/>
        <v>80.5</v>
      </c>
      <c r="P37" s="3">
        <f t="shared" si="2"/>
        <v>30.76923076923077</v>
      </c>
      <c r="Q37">
        <f t="shared" si="3"/>
        <v>1</v>
      </c>
      <c r="R37" t="str">
        <f t="shared" si="4"/>
        <v>HIGH</v>
      </c>
      <c r="S37" s="3">
        <f t="shared" si="5"/>
        <v>165</v>
      </c>
      <c r="T37">
        <f t="shared" si="6"/>
        <v>163</v>
      </c>
      <c r="U37" t="str">
        <f t="shared" si="7"/>
        <v>Gen 1</v>
      </c>
    </row>
    <row r="38" spans="1:21" x14ac:dyDescent="0.25">
      <c r="A38">
        <v>37</v>
      </c>
      <c r="B38" t="s">
        <v>60</v>
      </c>
      <c r="C38">
        <v>6</v>
      </c>
      <c r="D38">
        <v>99</v>
      </c>
      <c r="E38">
        <v>60</v>
      </c>
      <c r="F38" t="s">
        <v>19</v>
      </c>
      <c r="G38" t="s">
        <v>20</v>
      </c>
      <c r="H38">
        <v>38</v>
      </c>
      <c r="I38">
        <v>41</v>
      </c>
      <c r="J38">
        <v>40</v>
      </c>
      <c r="K38">
        <v>50</v>
      </c>
      <c r="L38">
        <v>65</v>
      </c>
      <c r="M38">
        <v>65</v>
      </c>
      <c r="N38">
        <f t="shared" si="0"/>
        <v>299</v>
      </c>
      <c r="O38" s="2">
        <f t="shared" si="1"/>
        <v>49.833333333333336</v>
      </c>
      <c r="P38" s="3">
        <f t="shared" si="2"/>
        <v>16.5</v>
      </c>
      <c r="Q38">
        <f t="shared" si="3"/>
        <v>1</v>
      </c>
      <c r="R38" t="str">
        <f t="shared" si="4"/>
        <v>Low</v>
      </c>
      <c r="S38" s="3">
        <f t="shared" si="5"/>
        <v>91</v>
      </c>
      <c r="T38">
        <f t="shared" si="6"/>
        <v>105</v>
      </c>
      <c r="U38" t="str">
        <f t="shared" si="7"/>
        <v>Gen 1</v>
      </c>
    </row>
    <row r="39" spans="1:21" x14ac:dyDescent="0.25">
      <c r="A39">
        <v>38</v>
      </c>
      <c r="B39" t="s">
        <v>61</v>
      </c>
      <c r="C39">
        <v>11</v>
      </c>
      <c r="D39">
        <v>199</v>
      </c>
      <c r="E39">
        <v>177</v>
      </c>
      <c r="F39" t="s">
        <v>19</v>
      </c>
      <c r="G39" t="s">
        <v>20</v>
      </c>
      <c r="H39">
        <v>73</v>
      </c>
      <c r="I39">
        <v>76</v>
      </c>
      <c r="J39">
        <v>75</v>
      </c>
      <c r="K39">
        <v>81</v>
      </c>
      <c r="L39">
        <v>100</v>
      </c>
      <c r="M39">
        <v>100</v>
      </c>
      <c r="N39">
        <f t="shared" si="0"/>
        <v>505</v>
      </c>
      <c r="O39" s="2">
        <f t="shared" si="1"/>
        <v>84.166666666666671</v>
      </c>
      <c r="P39" s="3">
        <f t="shared" si="2"/>
        <v>18.09090909090909</v>
      </c>
      <c r="Q39">
        <f t="shared" si="3"/>
        <v>1</v>
      </c>
      <c r="R39" t="str">
        <f t="shared" si="4"/>
        <v>Medium</v>
      </c>
      <c r="S39" s="3">
        <f t="shared" si="5"/>
        <v>157</v>
      </c>
      <c r="T39">
        <f t="shared" si="6"/>
        <v>175</v>
      </c>
      <c r="U39" t="str">
        <f t="shared" si="7"/>
        <v>Gen 1</v>
      </c>
    </row>
    <row r="40" spans="1:21" x14ac:dyDescent="0.25">
      <c r="A40">
        <v>39</v>
      </c>
      <c r="B40" t="s">
        <v>62</v>
      </c>
      <c r="C40">
        <v>5</v>
      </c>
      <c r="D40">
        <v>55</v>
      </c>
      <c r="E40">
        <v>95</v>
      </c>
      <c r="F40" t="s">
        <v>36</v>
      </c>
      <c r="G40" t="s">
        <v>58</v>
      </c>
      <c r="H40">
        <v>115</v>
      </c>
      <c r="I40">
        <v>45</v>
      </c>
      <c r="J40">
        <v>20</v>
      </c>
      <c r="K40">
        <v>45</v>
      </c>
      <c r="L40">
        <v>25</v>
      </c>
      <c r="M40">
        <v>20</v>
      </c>
      <c r="N40">
        <f t="shared" si="0"/>
        <v>270</v>
      </c>
      <c r="O40" s="2">
        <f t="shared" si="1"/>
        <v>45</v>
      </c>
      <c r="P40" s="3">
        <f t="shared" si="2"/>
        <v>11</v>
      </c>
      <c r="Q40">
        <f t="shared" si="3"/>
        <v>2</v>
      </c>
      <c r="R40" t="str">
        <f t="shared" si="4"/>
        <v>Low</v>
      </c>
      <c r="S40" s="3">
        <f t="shared" si="5"/>
        <v>90</v>
      </c>
      <c r="T40">
        <f t="shared" si="6"/>
        <v>45</v>
      </c>
      <c r="U40" t="str">
        <f t="shared" si="7"/>
        <v>Gen 1</v>
      </c>
    </row>
    <row r="41" spans="1:21" x14ac:dyDescent="0.25">
      <c r="A41">
        <v>40</v>
      </c>
      <c r="B41" t="s">
        <v>63</v>
      </c>
      <c r="C41">
        <v>10</v>
      </c>
      <c r="D41">
        <v>120</v>
      </c>
      <c r="E41">
        <v>196</v>
      </c>
      <c r="F41" t="s">
        <v>36</v>
      </c>
      <c r="G41" t="s">
        <v>58</v>
      </c>
      <c r="H41">
        <v>140</v>
      </c>
      <c r="I41">
        <v>70</v>
      </c>
      <c r="J41">
        <v>45</v>
      </c>
      <c r="K41">
        <v>85</v>
      </c>
      <c r="L41">
        <v>50</v>
      </c>
      <c r="M41">
        <v>45</v>
      </c>
      <c r="N41">
        <f t="shared" si="0"/>
        <v>435</v>
      </c>
      <c r="O41" s="2">
        <f t="shared" si="1"/>
        <v>72.5</v>
      </c>
      <c r="P41" s="3">
        <f t="shared" si="2"/>
        <v>12</v>
      </c>
      <c r="Q41">
        <f t="shared" si="3"/>
        <v>2</v>
      </c>
      <c r="R41" t="str">
        <f t="shared" si="4"/>
        <v>Medium</v>
      </c>
      <c r="S41" s="3">
        <f t="shared" si="5"/>
        <v>155</v>
      </c>
      <c r="T41">
        <f t="shared" si="6"/>
        <v>95</v>
      </c>
      <c r="U41" t="str">
        <f t="shared" si="7"/>
        <v>Gen 1</v>
      </c>
    </row>
    <row r="42" spans="1:21" x14ac:dyDescent="0.25">
      <c r="A42">
        <v>41</v>
      </c>
      <c r="B42" t="s">
        <v>64</v>
      </c>
      <c r="C42">
        <v>8</v>
      </c>
      <c r="D42">
        <v>75</v>
      </c>
      <c r="E42">
        <v>49</v>
      </c>
      <c r="F42" t="s">
        <v>15</v>
      </c>
      <c r="G42" t="s">
        <v>23</v>
      </c>
      <c r="H42">
        <v>40</v>
      </c>
      <c r="I42">
        <v>45</v>
      </c>
      <c r="J42">
        <v>35</v>
      </c>
      <c r="K42">
        <v>30</v>
      </c>
      <c r="L42">
        <v>40</v>
      </c>
      <c r="M42">
        <v>55</v>
      </c>
      <c r="N42">
        <f t="shared" si="0"/>
        <v>245</v>
      </c>
      <c r="O42" s="2">
        <f t="shared" si="1"/>
        <v>40.833333333333336</v>
      </c>
      <c r="P42" s="3">
        <f t="shared" si="2"/>
        <v>9.375</v>
      </c>
      <c r="Q42">
        <f t="shared" si="3"/>
        <v>2</v>
      </c>
      <c r="R42" t="str">
        <f t="shared" si="4"/>
        <v>Low</v>
      </c>
      <c r="S42" s="3">
        <f t="shared" si="5"/>
        <v>75</v>
      </c>
      <c r="T42">
        <f t="shared" si="6"/>
        <v>75</v>
      </c>
      <c r="U42" t="str">
        <f t="shared" si="7"/>
        <v>Gen 1</v>
      </c>
    </row>
    <row r="43" spans="1:21" x14ac:dyDescent="0.25">
      <c r="A43">
        <v>42</v>
      </c>
      <c r="B43" t="s">
        <v>65</v>
      </c>
      <c r="C43">
        <v>16</v>
      </c>
      <c r="D43">
        <v>550</v>
      </c>
      <c r="E43">
        <v>159</v>
      </c>
      <c r="F43" t="s">
        <v>15</v>
      </c>
      <c r="G43" t="s">
        <v>23</v>
      </c>
      <c r="H43">
        <v>75</v>
      </c>
      <c r="I43">
        <v>80</v>
      </c>
      <c r="J43">
        <v>70</v>
      </c>
      <c r="K43">
        <v>65</v>
      </c>
      <c r="L43">
        <v>75</v>
      </c>
      <c r="M43">
        <v>90</v>
      </c>
      <c r="N43">
        <f t="shared" si="0"/>
        <v>455</v>
      </c>
      <c r="O43" s="2">
        <f t="shared" si="1"/>
        <v>75.833333333333329</v>
      </c>
      <c r="P43" s="3">
        <f t="shared" si="2"/>
        <v>34.375</v>
      </c>
      <c r="Q43">
        <f t="shared" si="3"/>
        <v>2</v>
      </c>
      <c r="R43" t="str">
        <f t="shared" si="4"/>
        <v>Medium</v>
      </c>
      <c r="S43" s="3">
        <f t="shared" si="5"/>
        <v>145</v>
      </c>
      <c r="T43">
        <f t="shared" si="6"/>
        <v>145</v>
      </c>
      <c r="U43" t="str">
        <f t="shared" si="7"/>
        <v>Gen 1</v>
      </c>
    </row>
    <row r="44" spans="1:21" x14ac:dyDescent="0.25">
      <c r="A44">
        <v>43</v>
      </c>
      <c r="B44" t="s">
        <v>66</v>
      </c>
      <c r="C44">
        <v>5</v>
      </c>
      <c r="D44">
        <v>54</v>
      </c>
      <c r="E44">
        <v>64</v>
      </c>
      <c r="F44" t="s">
        <v>14</v>
      </c>
      <c r="G44" t="s">
        <v>15</v>
      </c>
      <c r="H44">
        <v>45</v>
      </c>
      <c r="I44">
        <v>50</v>
      </c>
      <c r="J44">
        <v>55</v>
      </c>
      <c r="K44">
        <v>75</v>
      </c>
      <c r="L44">
        <v>65</v>
      </c>
      <c r="M44">
        <v>30</v>
      </c>
      <c r="N44">
        <f t="shared" si="0"/>
        <v>320</v>
      </c>
      <c r="O44" s="2">
        <f t="shared" si="1"/>
        <v>53.333333333333336</v>
      </c>
      <c r="P44" s="3">
        <f t="shared" si="2"/>
        <v>10.8</v>
      </c>
      <c r="Q44">
        <f t="shared" si="3"/>
        <v>2</v>
      </c>
      <c r="R44" t="str">
        <f t="shared" si="4"/>
        <v>Low</v>
      </c>
      <c r="S44" s="3">
        <f t="shared" si="5"/>
        <v>125</v>
      </c>
      <c r="T44">
        <f t="shared" si="6"/>
        <v>120</v>
      </c>
      <c r="U44" t="str">
        <f t="shared" si="7"/>
        <v>Gen 1</v>
      </c>
    </row>
    <row r="45" spans="1:21" x14ac:dyDescent="0.25">
      <c r="A45">
        <v>44</v>
      </c>
      <c r="B45" t="s">
        <v>67</v>
      </c>
      <c r="C45">
        <v>8</v>
      </c>
      <c r="D45">
        <v>86</v>
      </c>
      <c r="E45">
        <v>138</v>
      </c>
      <c r="F45" t="s">
        <v>14</v>
      </c>
      <c r="G45" t="s">
        <v>15</v>
      </c>
      <c r="H45">
        <v>60</v>
      </c>
      <c r="I45">
        <v>65</v>
      </c>
      <c r="J45">
        <v>70</v>
      </c>
      <c r="K45">
        <v>85</v>
      </c>
      <c r="L45">
        <v>75</v>
      </c>
      <c r="M45">
        <v>40</v>
      </c>
      <c r="N45">
        <f t="shared" si="0"/>
        <v>395</v>
      </c>
      <c r="O45" s="2">
        <f t="shared" si="1"/>
        <v>65.833333333333329</v>
      </c>
      <c r="P45" s="3">
        <f t="shared" si="2"/>
        <v>10.75</v>
      </c>
      <c r="Q45">
        <f t="shared" si="3"/>
        <v>2</v>
      </c>
      <c r="R45" t="str">
        <f t="shared" si="4"/>
        <v>Medium</v>
      </c>
      <c r="S45" s="3">
        <f t="shared" si="5"/>
        <v>150</v>
      </c>
      <c r="T45">
        <f t="shared" si="6"/>
        <v>145</v>
      </c>
      <c r="U45" t="str">
        <f t="shared" si="7"/>
        <v>Gen 1</v>
      </c>
    </row>
    <row r="46" spans="1:21" x14ac:dyDescent="0.25">
      <c r="A46">
        <v>45</v>
      </c>
      <c r="B46" t="s">
        <v>68</v>
      </c>
      <c r="C46">
        <v>12</v>
      </c>
      <c r="D46">
        <v>186</v>
      </c>
      <c r="E46">
        <v>221</v>
      </c>
      <c r="F46" t="s">
        <v>14</v>
      </c>
      <c r="G46" t="s">
        <v>15</v>
      </c>
      <c r="H46">
        <v>75</v>
      </c>
      <c r="I46">
        <v>80</v>
      </c>
      <c r="J46">
        <v>85</v>
      </c>
      <c r="K46">
        <v>110</v>
      </c>
      <c r="L46">
        <v>90</v>
      </c>
      <c r="M46">
        <v>50</v>
      </c>
      <c r="N46">
        <f t="shared" si="0"/>
        <v>490</v>
      </c>
      <c r="O46" s="2">
        <f t="shared" si="1"/>
        <v>81.666666666666671</v>
      </c>
      <c r="P46" s="3">
        <f t="shared" si="2"/>
        <v>15.5</v>
      </c>
      <c r="Q46">
        <f t="shared" si="3"/>
        <v>2</v>
      </c>
      <c r="R46" t="str">
        <f t="shared" si="4"/>
        <v>HIGH</v>
      </c>
      <c r="S46" s="3">
        <f t="shared" si="5"/>
        <v>190</v>
      </c>
      <c r="T46">
        <f t="shared" si="6"/>
        <v>175</v>
      </c>
      <c r="U46" t="str">
        <f t="shared" si="7"/>
        <v>Gen 1</v>
      </c>
    </row>
    <row r="47" spans="1:21" x14ac:dyDescent="0.25">
      <c r="A47">
        <v>46</v>
      </c>
      <c r="B47" t="s">
        <v>69</v>
      </c>
      <c r="C47">
        <v>3</v>
      </c>
      <c r="D47">
        <v>54</v>
      </c>
      <c r="E47">
        <v>57</v>
      </c>
      <c r="F47" t="s">
        <v>29</v>
      </c>
      <c r="G47" t="s">
        <v>14</v>
      </c>
      <c r="H47">
        <v>35</v>
      </c>
      <c r="I47">
        <v>70</v>
      </c>
      <c r="J47">
        <v>55</v>
      </c>
      <c r="K47">
        <v>45</v>
      </c>
      <c r="L47">
        <v>55</v>
      </c>
      <c r="M47">
        <v>25</v>
      </c>
      <c r="N47">
        <f t="shared" si="0"/>
        <v>285</v>
      </c>
      <c r="O47" s="2">
        <f t="shared" si="1"/>
        <v>47.5</v>
      </c>
      <c r="P47" s="3">
        <f t="shared" si="2"/>
        <v>18</v>
      </c>
      <c r="Q47">
        <f t="shared" si="3"/>
        <v>2</v>
      </c>
      <c r="R47" t="str">
        <f t="shared" si="4"/>
        <v>Low</v>
      </c>
      <c r="S47" s="3">
        <f t="shared" si="5"/>
        <v>115</v>
      </c>
      <c r="T47">
        <f t="shared" si="6"/>
        <v>110</v>
      </c>
      <c r="U47" t="str">
        <f t="shared" si="7"/>
        <v>Gen 1</v>
      </c>
    </row>
    <row r="48" spans="1:21" x14ac:dyDescent="0.25">
      <c r="A48">
        <v>47</v>
      </c>
      <c r="B48" t="s">
        <v>70</v>
      </c>
      <c r="C48">
        <v>10</v>
      </c>
      <c r="D48">
        <v>295</v>
      </c>
      <c r="E48">
        <v>142</v>
      </c>
      <c r="F48" t="s">
        <v>29</v>
      </c>
      <c r="G48" t="s">
        <v>14</v>
      </c>
      <c r="H48">
        <v>60</v>
      </c>
      <c r="I48">
        <v>95</v>
      </c>
      <c r="J48">
        <v>80</v>
      </c>
      <c r="K48">
        <v>60</v>
      </c>
      <c r="L48">
        <v>80</v>
      </c>
      <c r="M48">
        <v>30</v>
      </c>
      <c r="N48">
        <f t="shared" si="0"/>
        <v>405</v>
      </c>
      <c r="O48" s="2">
        <f t="shared" si="1"/>
        <v>67.5</v>
      </c>
      <c r="P48" s="3">
        <f t="shared" si="2"/>
        <v>29.5</v>
      </c>
      <c r="Q48">
        <f t="shared" si="3"/>
        <v>2</v>
      </c>
      <c r="R48" t="str">
        <f t="shared" si="4"/>
        <v>Medium</v>
      </c>
      <c r="S48" s="3">
        <f t="shared" si="5"/>
        <v>155</v>
      </c>
      <c r="T48">
        <f t="shared" si="6"/>
        <v>160</v>
      </c>
      <c r="U48" t="str">
        <f t="shared" si="7"/>
        <v>Gen 1</v>
      </c>
    </row>
    <row r="49" spans="1:21" x14ac:dyDescent="0.25">
      <c r="A49">
        <v>48</v>
      </c>
      <c r="B49" t="s">
        <v>71</v>
      </c>
      <c r="C49">
        <v>10</v>
      </c>
      <c r="D49">
        <v>300</v>
      </c>
      <c r="E49">
        <v>61</v>
      </c>
      <c r="F49" t="s">
        <v>29</v>
      </c>
      <c r="G49" t="s">
        <v>15</v>
      </c>
      <c r="H49">
        <v>60</v>
      </c>
      <c r="I49">
        <v>55</v>
      </c>
      <c r="J49">
        <v>50</v>
      </c>
      <c r="K49">
        <v>40</v>
      </c>
      <c r="L49">
        <v>55</v>
      </c>
      <c r="M49">
        <v>45</v>
      </c>
      <c r="N49">
        <f t="shared" si="0"/>
        <v>305</v>
      </c>
      <c r="O49" s="2">
        <f t="shared" si="1"/>
        <v>50.833333333333336</v>
      </c>
      <c r="P49" s="3">
        <f t="shared" si="2"/>
        <v>30</v>
      </c>
      <c r="Q49">
        <f t="shared" si="3"/>
        <v>2</v>
      </c>
      <c r="R49" t="str">
        <f t="shared" si="4"/>
        <v>Low</v>
      </c>
      <c r="S49" s="3">
        <f t="shared" si="5"/>
        <v>95</v>
      </c>
      <c r="T49">
        <f t="shared" si="6"/>
        <v>105</v>
      </c>
      <c r="U49" t="str">
        <f t="shared" si="7"/>
        <v>Gen 1</v>
      </c>
    </row>
    <row r="50" spans="1:21" x14ac:dyDescent="0.25">
      <c r="A50">
        <v>49</v>
      </c>
      <c r="B50" t="s">
        <v>72</v>
      </c>
      <c r="C50">
        <v>15</v>
      </c>
      <c r="D50">
        <v>125</v>
      </c>
      <c r="E50">
        <v>158</v>
      </c>
      <c r="F50" t="s">
        <v>29</v>
      </c>
      <c r="G50" t="s">
        <v>15</v>
      </c>
      <c r="H50">
        <v>70</v>
      </c>
      <c r="I50">
        <v>65</v>
      </c>
      <c r="J50">
        <v>60</v>
      </c>
      <c r="K50">
        <v>90</v>
      </c>
      <c r="L50">
        <v>75</v>
      </c>
      <c r="M50">
        <v>90</v>
      </c>
      <c r="N50">
        <f t="shared" si="0"/>
        <v>450</v>
      </c>
      <c r="O50" s="2">
        <f t="shared" si="1"/>
        <v>75</v>
      </c>
      <c r="P50" s="3">
        <f t="shared" si="2"/>
        <v>8.3333333333333339</v>
      </c>
      <c r="Q50">
        <f t="shared" si="3"/>
        <v>2</v>
      </c>
      <c r="R50" t="str">
        <f t="shared" si="4"/>
        <v>Medium</v>
      </c>
      <c r="S50" s="3">
        <f t="shared" si="5"/>
        <v>155</v>
      </c>
      <c r="T50">
        <f t="shared" si="6"/>
        <v>135</v>
      </c>
      <c r="U50" t="str">
        <f t="shared" si="7"/>
        <v>Gen 1</v>
      </c>
    </row>
    <row r="51" spans="1:21" x14ac:dyDescent="0.25">
      <c r="A51">
        <v>50</v>
      </c>
      <c r="B51" t="s">
        <v>73</v>
      </c>
      <c r="C51">
        <v>2</v>
      </c>
      <c r="D51">
        <v>8</v>
      </c>
      <c r="E51">
        <v>53</v>
      </c>
      <c r="F51" t="s">
        <v>49</v>
      </c>
      <c r="G51" t="s">
        <v>20</v>
      </c>
      <c r="H51">
        <v>10</v>
      </c>
      <c r="I51">
        <v>55</v>
      </c>
      <c r="J51">
        <v>25</v>
      </c>
      <c r="K51">
        <v>35</v>
      </c>
      <c r="L51">
        <v>45</v>
      </c>
      <c r="M51">
        <v>95</v>
      </c>
      <c r="N51">
        <f t="shared" si="0"/>
        <v>265</v>
      </c>
      <c r="O51" s="2">
        <f t="shared" si="1"/>
        <v>44.166666666666664</v>
      </c>
      <c r="P51" s="3">
        <f t="shared" si="2"/>
        <v>4</v>
      </c>
      <c r="Q51">
        <f t="shared" si="3"/>
        <v>1</v>
      </c>
      <c r="R51" t="str">
        <f t="shared" si="4"/>
        <v>Low</v>
      </c>
      <c r="S51" s="3">
        <f t="shared" si="5"/>
        <v>90</v>
      </c>
      <c r="T51">
        <f t="shared" si="6"/>
        <v>70</v>
      </c>
      <c r="U51" t="str">
        <f t="shared" si="7"/>
        <v>Gen 1</v>
      </c>
    </row>
    <row r="52" spans="1:21" x14ac:dyDescent="0.25">
      <c r="A52">
        <v>51</v>
      </c>
      <c r="B52" t="s">
        <v>74</v>
      </c>
      <c r="C52">
        <v>7</v>
      </c>
      <c r="D52">
        <v>333</v>
      </c>
      <c r="E52">
        <v>149</v>
      </c>
      <c r="F52" t="s">
        <v>49</v>
      </c>
      <c r="G52" t="s">
        <v>20</v>
      </c>
      <c r="H52">
        <v>35</v>
      </c>
      <c r="I52">
        <v>100</v>
      </c>
      <c r="J52">
        <v>50</v>
      </c>
      <c r="K52">
        <v>50</v>
      </c>
      <c r="L52">
        <v>70</v>
      </c>
      <c r="M52">
        <v>120</v>
      </c>
      <c r="N52">
        <f t="shared" si="0"/>
        <v>425</v>
      </c>
      <c r="O52" s="2">
        <f t="shared" si="1"/>
        <v>70.833333333333329</v>
      </c>
      <c r="P52" s="3">
        <f t="shared" si="2"/>
        <v>47.571428571428569</v>
      </c>
      <c r="Q52">
        <f t="shared" si="3"/>
        <v>1</v>
      </c>
      <c r="R52" t="str">
        <f t="shared" si="4"/>
        <v>Medium</v>
      </c>
      <c r="S52" s="3">
        <f t="shared" si="5"/>
        <v>150</v>
      </c>
      <c r="T52">
        <f t="shared" si="6"/>
        <v>120</v>
      </c>
      <c r="U52" t="str">
        <f t="shared" si="7"/>
        <v>Gen 1</v>
      </c>
    </row>
    <row r="53" spans="1:21" x14ac:dyDescent="0.25">
      <c r="A53">
        <v>52</v>
      </c>
      <c r="B53" t="s">
        <v>75</v>
      </c>
      <c r="C53">
        <v>4</v>
      </c>
      <c r="D53">
        <v>42</v>
      </c>
      <c r="E53">
        <v>58</v>
      </c>
      <c r="F53" t="s">
        <v>36</v>
      </c>
      <c r="G53" t="s">
        <v>20</v>
      </c>
      <c r="H53">
        <v>40</v>
      </c>
      <c r="I53">
        <v>45</v>
      </c>
      <c r="J53">
        <v>35</v>
      </c>
      <c r="K53">
        <v>40</v>
      </c>
      <c r="L53">
        <v>40</v>
      </c>
      <c r="M53">
        <v>90</v>
      </c>
      <c r="N53">
        <f t="shared" si="0"/>
        <v>290</v>
      </c>
      <c r="O53" s="2">
        <f t="shared" si="1"/>
        <v>48.333333333333336</v>
      </c>
      <c r="P53" s="3">
        <f t="shared" si="2"/>
        <v>10.5</v>
      </c>
      <c r="Q53">
        <f t="shared" si="3"/>
        <v>1</v>
      </c>
      <c r="R53" t="str">
        <f t="shared" si="4"/>
        <v>Low</v>
      </c>
      <c r="S53" s="3">
        <f t="shared" si="5"/>
        <v>85</v>
      </c>
      <c r="T53">
        <f t="shared" si="6"/>
        <v>75</v>
      </c>
      <c r="U53" t="str">
        <f t="shared" si="7"/>
        <v>Gen 1</v>
      </c>
    </row>
    <row r="54" spans="1:21" x14ac:dyDescent="0.25">
      <c r="A54">
        <v>53</v>
      </c>
      <c r="B54" t="s">
        <v>76</v>
      </c>
      <c r="C54">
        <v>10</v>
      </c>
      <c r="D54">
        <v>320</v>
      </c>
      <c r="E54">
        <v>154</v>
      </c>
      <c r="F54" t="s">
        <v>36</v>
      </c>
      <c r="G54" t="s">
        <v>20</v>
      </c>
      <c r="H54">
        <v>65</v>
      </c>
      <c r="I54">
        <v>70</v>
      </c>
      <c r="J54">
        <v>60</v>
      </c>
      <c r="K54">
        <v>65</v>
      </c>
      <c r="L54">
        <v>65</v>
      </c>
      <c r="M54">
        <v>115</v>
      </c>
      <c r="N54">
        <f t="shared" si="0"/>
        <v>440</v>
      </c>
      <c r="O54" s="2">
        <f t="shared" si="1"/>
        <v>73.333333333333329</v>
      </c>
      <c r="P54" s="3">
        <f t="shared" si="2"/>
        <v>32</v>
      </c>
      <c r="Q54">
        <f t="shared" si="3"/>
        <v>1</v>
      </c>
      <c r="R54" t="str">
        <f t="shared" si="4"/>
        <v>Medium</v>
      </c>
      <c r="S54" s="3">
        <f t="shared" si="5"/>
        <v>135</v>
      </c>
      <c r="T54">
        <f t="shared" si="6"/>
        <v>125</v>
      </c>
      <c r="U54" t="str">
        <f t="shared" si="7"/>
        <v>Gen 1</v>
      </c>
    </row>
    <row r="55" spans="1:21" x14ac:dyDescent="0.25">
      <c r="A55">
        <v>54</v>
      </c>
      <c r="B55" t="s">
        <v>77</v>
      </c>
      <c r="C55">
        <v>8</v>
      </c>
      <c r="D55">
        <v>196</v>
      </c>
      <c r="E55">
        <v>64</v>
      </c>
      <c r="F55" t="s">
        <v>25</v>
      </c>
      <c r="G55" t="s">
        <v>20</v>
      </c>
      <c r="H55">
        <v>50</v>
      </c>
      <c r="I55">
        <v>52</v>
      </c>
      <c r="J55">
        <v>48</v>
      </c>
      <c r="K55">
        <v>65</v>
      </c>
      <c r="L55">
        <v>50</v>
      </c>
      <c r="M55">
        <v>55</v>
      </c>
      <c r="N55">
        <f t="shared" si="0"/>
        <v>320</v>
      </c>
      <c r="O55" s="2">
        <f t="shared" si="1"/>
        <v>53.333333333333336</v>
      </c>
      <c r="P55" s="3">
        <f t="shared" si="2"/>
        <v>24.5</v>
      </c>
      <c r="Q55">
        <f t="shared" si="3"/>
        <v>1</v>
      </c>
      <c r="R55" t="str">
        <f t="shared" si="4"/>
        <v>Low</v>
      </c>
      <c r="S55" s="3">
        <f t="shared" si="5"/>
        <v>117</v>
      </c>
      <c r="T55">
        <f t="shared" si="6"/>
        <v>98</v>
      </c>
      <c r="U55" t="str">
        <f t="shared" si="7"/>
        <v>Gen 1</v>
      </c>
    </row>
    <row r="56" spans="1:21" x14ac:dyDescent="0.25">
      <c r="A56">
        <v>55</v>
      </c>
      <c r="B56" t="s">
        <v>78</v>
      </c>
      <c r="C56">
        <v>17</v>
      </c>
      <c r="D56">
        <v>766</v>
      </c>
      <c r="E56">
        <v>175</v>
      </c>
      <c r="F56" t="s">
        <v>25</v>
      </c>
      <c r="G56" t="s">
        <v>20</v>
      </c>
      <c r="H56">
        <v>80</v>
      </c>
      <c r="I56">
        <v>82</v>
      </c>
      <c r="J56">
        <v>78</v>
      </c>
      <c r="K56">
        <v>95</v>
      </c>
      <c r="L56">
        <v>80</v>
      </c>
      <c r="M56">
        <v>85</v>
      </c>
      <c r="N56">
        <f t="shared" si="0"/>
        <v>500</v>
      </c>
      <c r="O56" s="2">
        <f t="shared" si="1"/>
        <v>83.333333333333329</v>
      </c>
      <c r="P56" s="3">
        <f t="shared" si="2"/>
        <v>45.058823529411768</v>
      </c>
      <c r="Q56">
        <f t="shared" si="3"/>
        <v>1</v>
      </c>
      <c r="R56" t="str">
        <f t="shared" si="4"/>
        <v>Medium</v>
      </c>
      <c r="S56" s="3">
        <f t="shared" si="5"/>
        <v>177</v>
      </c>
      <c r="T56">
        <f t="shared" si="6"/>
        <v>158</v>
      </c>
      <c r="U56" t="str">
        <f t="shared" si="7"/>
        <v>Gen 1</v>
      </c>
    </row>
    <row r="57" spans="1:21" x14ac:dyDescent="0.25">
      <c r="A57">
        <v>56</v>
      </c>
      <c r="B57" t="s">
        <v>79</v>
      </c>
      <c r="C57">
        <v>5</v>
      </c>
      <c r="D57">
        <v>280</v>
      </c>
      <c r="E57">
        <v>61</v>
      </c>
      <c r="F57" t="s">
        <v>80</v>
      </c>
      <c r="G57" t="s">
        <v>20</v>
      </c>
      <c r="H57">
        <v>40</v>
      </c>
      <c r="I57">
        <v>80</v>
      </c>
      <c r="J57">
        <v>35</v>
      </c>
      <c r="K57">
        <v>35</v>
      </c>
      <c r="L57">
        <v>45</v>
      </c>
      <c r="M57">
        <v>70</v>
      </c>
      <c r="N57">
        <f t="shared" si="0"/>
        <v>305</v>
      </c>
      <c r="O57" s="2">
        <f t="shared" si="1"/>
        <v>50.833333333333336</v>
      </c>
      <c r="P57" s="3">
        <f t="shared" si="2"/>
        <v>56</v>
      </c>
      <c r="Q57">
        <f t="shared" si="3"/>
        <v>1</v>
      </c>
      <c r="R57" t="str">
        <f t="shared" si="4"/>
        <v>Low</v>
      </c>
      <c r="S57" s="3">
        <f t="shared" si="5"/>
        <v>115</v>
      </c>
      <c r="T57">
        <f t="shared" si="6"/>
        <v>80</v>
      </c>
      <c r="U57" t="str">
        <f t="shared" si="7"/>
        <v>Gen 1</v>
      </c>
    </row>
    <row r="58" spans="1:21" x14ac:dyDescent="0.25">
      <c r="A58">
        <v>57</v>
      </c>
      <c r="B58" t="s">
        <v>81</v>
      </c>
      <c r="C58">
        <v>10</v>
      </c>
      <c r="D58">
        <v>320</v>
      </c>
      <c r="E58">
        <v>159</v>
      </c>
      <c r="F58" t="s">
        <v>80</v>
      </c>
      <c r="G58" t="s">
        <v>20</v>
      </c>
      <c r="H58">
        <v>65</v>
      </c>
      <c r="I58">
        <v>105</v>
      </c>
      <c r="J58">
        <v>60</v>
      </c>
      <c r="K58">
        <v>60</v>
      </c>
      <c r="L58">
        <v>70</v>
      </c>
      <c r="M58">
        <v>95</v>
      </c>
      <c r="N58">
        <f t="shared" si="0"/>
        <v>455</v>
      </c>
      <c r="O58" s="2">
        <f t="shared" si="1"/>
        <v>75.833333333333329</v>
      </c>
      <c r="P58" s="3">
        <f t="shared" si="2"/>
        <v>32</v>
      </c>
      <c r="Q58">
        <f t="shared" si="3"/>
        <v>1</v>
      </c>
      <c r="R58" t="str">
        <f t="shared" si="4"/>
        <v>Medium</v>
      </c>
      <c r="S58" s="3">
        <f t="shared" si="5"/>
        <v>165</v>
      </c>
      <c r="T58">
        <f t="shared" si="6"/>
        <v>130</v>
      </c>
      <c r="U58" t="str">
        <f t="shared" si="7"/>
        <v>Gen 1</v>
      </c>
    </row>
    <row r="59" spans="1:21" x14ac:dyDescent="0.25">
      <c r="A59">
        <v>58</v>
      </c>
      <c r="B59" t="s">
        <v>82</v>
      </c>
      <c r="C59">
        <v>7</v>
      </c>
      <c r="D59">
        <v>190</v>
      </c>
      <c r="E59">
        <v>70</v>
      </c>
      <c r="F59" t="s">
        <v>19</v>
      </c>
      <c r="G59" t="s">
        <v>20</v>
      </c>
      <c r="H59">
        <v>55</v>
      </c>
      <c r="I59">
        <v>70</v>
      </c>
      <c r="J59">
        <v>45</v>
      </c>
      <c r="K59">
        <v>70</v>
      </c>
      <c r="L59">
        <v>50</v>
      </c>
      <c r="M59">
        <v>60</v>
      </c>
      <c r="N59">
        <f t="shared" si="0"/>
        <v>350</v>
      </c>
      <c r="O59" s="2">
        <f t="shared" si="1"/>
        <v>58.333333333333336</v>
      </c>
      <c r="P59" s="3">
        <f t="shared" si="2"/>
        <v>27.142857142857142</v>
      </c>
      <c r="Q59">
        <f t="shared" si="3"/>
        <v>1</v>
      </c>
      <c r="R59" t="str">
        <f t="shared" si="4"/>
        <v>Low</v>
      </c>
      <c r="S59" s="3">
        <f t="shared" si="5"/>
        <v>140</v>
      </c>
      <c r="T59">
        <f t="shared" si="6"/>
        <v>95</v>
      </c>
      <c r="U59" t="str">
        <f t="shared" si="7"/>
        <v>Gen 1</v>
      </c>
    </row>
    <row r="60" spans="1:21" x14ac:dyDescent="0.25">
      <c r="A60">
        <v>59</v>
      </c>
      <c r="B60" t="s">
        <v>83</v>
      </c>
      <c r="C60">
        <v>19</v>
      </c>
      <c r="D60">
        <v>1550</v>
      </c>
      <c r="E60">
        <v>194</v>
      </c>
      <c r="F60" t="s">
        <v>19</v>
      </c>
      <c r="G60" t="s">
        <v>20</v>
      </c>
      <c r="H60">
        <v>90</v>
      </c>
      <c r="I60">
        <v>110</v>
      </c>
      <c r="J60">
        <v>80</v>
      </c>
      <c r="K60">
        <v>100</v>
      </c>
      <c r="L60">
        <v>80</v>
      </c>
      <c r="M60">
        <v>95</v>
      </c>
      <c r="N60">
        <f t="shared" si="0"/>
        <v>555</v>
      </c>
      <c r="O60" s="2">
        <f t="shared" si="1"/>
        <v>92.5</v>
      </c>
      <c r="P60" s="3">
        <f t="shared" si="2"/>
        <v>81.578947368421055</v>
      </c>
      <c r="Q60">
        <f t="shared" si="3"/>
        <v>1</v>
      </c>
      <c r="R60" t="str">
        <f t="shared" si="4"/>
        <v>Medium</v>
      </c>
      <c r="S60" s="3">
        <f t="shared" si="5"/>
        <v>210</v>
      </c>
      <c r="T60">
        <f t="shared" si="6"/>
        <v>160</v>
      </c>
      <c r="U60" t="str">
        <f t="shared" si="7"/>
        <v>Gen 1</v>
      </c>
    </row>
    <row r="61" spans="1:21" x14ac:dyDescent="0.25">
      <c r="A61">
        <v>60</v>
      </c>
      <c r="B61" t="s">
        <v>84</v>
      </c>
      <c r="C61">
        <v>6</v>
      </c>
      <c r="D61">
        <v>124</v>
      </c>
      <c r="E61">
        <v>60</v>
      </c>
      <c r="F61" t="s">
        <v>25</v>
      </c>
      <c r="G61" t="s">
        <v>20</v>
      </c>
      <c r="H61">
        <v>40</v>
      </c>
      <c r="I61">
        <v>50</v>
      </c>
      <c r="J61">
        <v>40</v>
      </c>
      <c r="K61">
        <v>40</v>
      </c>
      <c r="L61">
        <v>40</v>
      </c>
      <c r="M61">
        <v>90</v>
      </c>
      <c r="N61">
        <f t="shared" si="0"/>
        <v>300</v>
      </c>
      <c r="O61" s="2">
        <f t="shared" si="1"/>
        <v>50</v>
      </c>
      <c r="P61" s="3">
        <f t="shared" si="2"/>
        <v>20.666666666666668</v>
      </c>
      <c r="Q61">
        <f t="shared" si="3"/>
        <v>1</v>
      </c>
      <c r="R61" t="str">
        <f t="shared" si="4"/>
        <v>Low</v>
      </c>
      <c r="S61" s="3">
        <f t="shared" si="5"/>
        <v>90</v>
      </c>
      <c r="T61">
        <f t="shared" si="6"/>
        <v>80</v>
      </c>
      <c r="U61" t="str">
        <f t="shared" si="7"/>
        <v>Gen 1</v>
      </c>
    </row>
    <row r="62" spans="1:21" x14ac:dyDescent="0.25">
      <c r="A62">
        <v>61</v>
      </c>
      <c r="B62" t="s">
        <v>85</v>
      </c>
      <c r="C62">
        <v>10</v>
      </c>
      <c r="D62">
        <v>200</v>
      </c>
      <c r="E62">
        <v>135</v>
      </c>
      <c r="F62" t="s">
        <v>25</v>
      </c>
      <c r="G62" t="s">
        <v>20</v>
      </c>
      <c r="H62">
        <v>65</v>
      </c>
      <c r="I62">
        <v>65</v>
      </c>
      <c r="J62">
        <v>65</v>
      </c>
      <c r="K62">
        <v>50</v>
      </c>
      <c r="L62">
        <v>50</v>
      </c>
      <c r="M62">
        <v>90</v>
      </c>
      <c r="N62">
        <f t="shared" si="0"/>
        <v>385</v>
      </c>
      <c r="O62" s="2">
        <f t="shared" si="1"/>
        <v>64.166666666666671</v>
      </c>
      <c r="P62" s="3">
        <f t="shared" si="2"/>
        <v>20</v>
      </c>
      <c r="Q62">
        <f t="shared" si="3"/>
        <v>1</v>
      </c>
      <c r="R62" t="str">
        <f t="shared" si="4"/>
        <v>Medium</v>
      </c>
      <c r="S62" s="3">
        <f t="shared" si="5"/>
        <v>115</v>
      </c>
      <c r="T62">
        <f t="shared" si="6"/>
        <v>115</v>
      </c>
      <c r="U62" t="str">
        <f t="shared" si="7"/>
        <v>Gen 1</v>
      </c>
    </row>
    <row r="63" spans="1:21" x14ac:dyDescent="0.25">
      <c r="A63">
        <v>62</v>
      </c>
      <c r="B63" t="s">
        <v>86</v>
      </c>
      <c r="C63">
        <v>13</v>
      </c>
      <c r="D63">
        <v>540</v>
      </c>
      <c r="E63">
        <v>230</v>
      </c>
      <c r="F63" t="s">
        <v>25</v>
      </c>
      <c r="G63" t="s">
        <v>80</v>
      </c>
      <c r="H63">
        <v>90</v>
      </c>
      <c r="I63">
        <v>95</v>
      </c>
      <c r="J63">
        <v>95</v>
      </c>
      <c r="K63">
        <v>70</v>
      </c>
      <c r="L63">
        <v>90</v>
      </c>
      <c r="M63">
        <v>70</v>
      </c>
      <c r="N63">
        <f t="shared" si="0"/>
        <v>510</v>
      </c>
      <c r="O63" s="2">
        <f t="shared" si="1"/>
        <v>85</v>
      </c>
      <c r="P63" s="3">
        <f t="shared" si="2"/>
        <v>41.53846153846154</v>
      </c>
      <c r="Q63">
        <f t="shared" si="3"/>
        <v>2</v>
      </c>
      <c r="R63" t="str">
        <f t="shared" si="4"/>
        <v>HIGH</v>
      </c>
      <c r="S63" s="3">
        <f t="shared" si="5"/>
        <v>165</v>
      </c>
      <c r="T63">
        <f t="shared" si="6"/>
        <v>185</v>
      </c>
      <c r="U63" t="str">
        <f t="shared" si="7"/>
        <v>Gen 1</v>
      </c>
    </row>
    <row r="64" spans="1:21" x14ac:dyDescent="0.25">
      <c r="A64">
        <v>63</v>
      </c>
      <c r="B64" t="s">
        <v>87</v>
      </c>
      <c r="C64">
        <v>9</v>
      </c>
      <c r="D64">
        <v>195</v>
      </c>
      <c r="E64">
        <v>62</v>
      </c>
      <c r="F64" t="s">
        <v>88</v>
      </c>
      <c r="G64" t="s">
        <v>20</v>
      </c>
      <c r="H64">
        <v>25</v>
      </c>
      <c r="I64">
        <v>20</v>
      </c>
      <c r="J64">
        <v>15</v>
      </c>
      <c r="K64">
        <v>105</v>
      </c>
      <c r="L64">
        <v>55</v>
      </c>
      <c r="M64">
        <v>90</v>
      </c>
      <c r="N64">
        <f t="shared" si="0"/>
        <v>310</v>
      </c>
      <c r="O64" s="2">
        <f t="shared" si="1"/>
        <v>51.666666666666664</v>
      </c>
      <c r="P64" s="3">
        <f t="shared" si="2"/>
        <v>21.666666666666668</v>
      </c>
      <c r="Q64">
        <f t="shared" si="3"/>
        <v>1</v>
      </c>
      <c r="R64" t="str">
        <f t="shared" si="4"/>
        <v>Low</v>
      </c>
      <c r="S64" s="3">
        <f t="shared" si="5"/>
        <v>125</v>
      </c>
      <c r="T64">
        <f t="shared" si="6"/>
        <v>70</v>
      </c>
      <c r="U64" t="str">
        <f t="shared" si="7"/>
        <v>Gen 1</v>
      </c>
    </row>
    <row r="65" spans="1:21" x14ac:dyDescent="0.25">
      <c r="A65">
        <v>64</v>
      </c>
      <c r="B65" t="s">
        <v>89</v>
      </c>
      <c r="C65">
        <v>13</v>
      </c>
      <c r="D65">
        <v>565</v>
      </c>
      <c r="E65">
        <v>140</v>
      </c>
      <c r="F65" t="s">
        <v>88</v>
      </c>
      <c r="G65" t="s">
        <v>20</v>
      </c>
      <c r="H65">
        <v>40</v>
      </c>
      <c r="I65">
        <v>35</v>
      </c>
      <c r="J65">
        <v>30</v>
      </c>
      <c r="K65">
        <v>120</v>
      </c>
      <c r="L65">
        <v>70</v>
      </c>
      <c r="M65">
        <v>105</v>
      </c>
      <c r="N65">
        <f t="shared" si="0"/>
        <v>400</v>
      </c>
      <c r="O65" s="2">
        <f t="shared" si="1"/>
        <v>66.666666666666671</v>
      </c>
      <c r="P65" s="3">
        <f t="shared" si="2"/>
        <v>43.46153846153846</v>
      </c>
      <c r="Q65">
        <f t="shared" si="3"/>
        <v>1</v>
      </c>
      <c r="R65" t="str">
        <f t="shared" si="4"/>
        <v>Medium</v>
      </c>
      <c r="S65" s="3">
        <f t="shared" si="5"/>
        <v>155</v>
      </c>
      <c r="T65">
        <f t="shared" si="6"/>
        <v>100</v>
      </c>
      <c r="U65" t="str">
        <f t="shared" si="7"/>
        <v>Gen 1</v>
      </c>
    </row>
    <row r="66" spans="1:21" x14ac:dyDescent="0.25">
      <c r="A66">
        <v>65</v>
      </c>
      <c r="B66" t="s">
        <v>90</v>
      </c>
      <c r="C66">
        <v>15</v>
      </c>
      <c r="D66">
        <v>480</v>
      </c>
      <c r="E66">
        <v>225</v>
      </c>
      <c r="F66" t="s">
        <v>88</v>
      </c>
      <c r="G66" t="s">
        <v>20</v>
      </c>
      <c r="H66">
        <v>55</v>
      </c>
      <c r="I66">
        <v>50</v>
      </c>
      <c r="J66">
        <v>45</v>
      </c>
      <c r="K66">
        <v>135</v>
      </c>
      <c r="L66">
        <v>95</v>
      </c>
      <c r="M66">
        <v>120</v>
      </c>
      <c r="N66">
        <f t="shared" ref="N66:N129" si="8">SUM(H66:M66)</f>
        <v>500</v>
      </c>
      <c r="O66" s="2">
        <f t="shared" ref="O66:O129" si="9">AVERAGE(H66:M66)</f>
        <v>83.333333333333329</v>
      </c>
      <c r="P66" s="3">
        <f t="shared" ref="P66:P129" si="10">D66/C66</f>
        <v>32</v>
      </c>
      <c r="Q66">
        <f t="shared" ref="Q66:Q129" si="11">IF(G66="None", 1,2)</f>
        <v>1</v>
      </c>
      <c r="R66" t="str">
        <f t="shared" ref="R66:R129" si="12">IF(E66&lt;100,"Low",IF(E66&lt;200,"Medium",IF(E66&lt;250,"HIGH",IF(E66&gt;250,"Legendary"))))</f>
        <v>HIGH</v>
      </c>
      <c r="S66" s="3">
        <f t="shared" ref="S66:S129" si="13">I66+K66</f>
        <v>185</v>
      </c>
      <c r="T66">
        <f t="shared" ref="T66:T129" si="14">J66+L66</f>
        <v>140</v>
      </c>
      <c r="U66" t="str">
        <f t="shared" si="7"/>
        <v>Gen 1</v>
      </c>
    </row>
    <row r="67" spans="1:21" x14ac:dyDescent="0.25">
      <c r="A67">
        <v>66</v>
      </c>
      <c r="B67" t="s">
        <v>91</v>
      </c>
      <c r="C67">
        <v>8</v>
      </c>
      <c r="D67">
        <v>195</v>
      </c>
      <c r="E67">
        <v>61</v>
      </c>
      <c r="F67" t="s">
        <v>80</v>
      </c>
      <c r="G67" t="s">
        <v>20</v>
      </c>
      <c r="H67">
        <v>70</v>
      </c>
      <c r="I67">
        <v>80</v>
      </c>
      <c r="J67">
        <v>50</v>
      </c>
      <c r="K67">
        <v>35</v>
      </c>
      <c r="L67">
        <v>35</v>
      </c>
      <c r="M67">
        <v>35</v>
      </c>
      <c r="N67">
        <f t="shared" si="8"/>
        <v>305</v>
      </c>
      <c r="O67" s="2">
        <f t="shared" si="9"/>
        <v>50.833333333333336</v>
      </c>
      <c r="P67" s="3">
        <f t="shared" si="10"/>
        <v>24.375</v>
      </c>
      <c r="Q67">
        <f t="shared" si="11"/>
        <v>1</v>
      </c>
      <c r="R67" t="str">
        <f t="shared" si="12"/>
        <v>Low</v>
      </c>
      <c r="S67" s="3">
        <f t="shared" si="13"/>
        <v>115</v>
      </c>
      <c r="T67">
        <f t="shared" si="14"/>
        <v>85</v>
      </c>
      <c r="U67" t="str">
        <f t="shared" ref="U67:U130" si="15">IF(A68 &lt;= 151, "Gen 1", IF(A68 &gt; 151, "Gen 2"))</f>
        <v>Gen 1</v>
      </c>
    </row>
    <row r="68" spans="1:21" x14ac:dyDescent="0.25">
      <c r="A68">
        <v>67</v>
      </c>
      <c r="B68" t="s">
        <v>92</v>
      </c>
      <c r="C68">
        <v>15</v>
      </c>
      <c r="D68">
        <v>705</v>
      </c>
      <c r="E68">
        <v>142</v>
      </c>
      <c r="F68" t="s">
        <v>80</v>
      </c>
      <c r="G68" t="s">
        <v>20</v>
      </c>
      <c r="H68">
        <v>80</v>
      </c>
      <c r="I68">
        <v>100</v>
      </c>
      <c r="J68">
        <v>70</v>
      </c>
      <c r="K68">
        <v>50</v>
      </c>
      <c r="L68">
        <v>60</v>
      </c>
      <c r="M68">
        <v>45</v>
      </c>
      <c r="N68">
        <f t="shared" si="8"/>
        <v>405</v>
      </c>
      <c r="O68" s="2">
        <f t="shared" si="9"/>
        <v>67.5</v>
      </c>
      <c r="P68" s="3">
        <f t="shared" si="10"/>
        <v>47</v>
      </c>
      <c r="Q68">
        <f t="shared" si="11"/>
        <v>1</v>
      </c>
      <c r="R68" t="str">
        <f t="shared" si="12"/>
        <v>Medium</v>
      </c>
      <c r="S68" s="3">
        <f t="shared" si="13"/>
        <v>150</v>
      </c>
      <c r="T68">
        <f t="shared" si="14"/>
        <v>130</v>
      </c>
      <c r="U68" t="str">
        <f t="shared" si="15"/>
        <v>Gen 1</v>
      </c>
    </row>
    <row r="69" spans="1:21" x14ac:dyDescent="0.25">
      <c r="A69">
        <v>68</v>
      </c>
      <c r="B69" t="s">
        <v>93</v>
      </c>
      <c r="C69">
        <v>16</v>
      </c>
      <c r="D69">
        <v>1300</v>
      </c>
      <c r="E69">
        <v>227</v>
      </c>
      <c r="F69" t="s">
        <v>80</v>
      </c>
      <c r="G69" t="s">
        <v>20</v>
      </c>
      <c r="H69">
        <v>90</v>
      </c>
      <c r="I69">
        <v>130</v>
      </c>
      <c r="J69">
        <v>80</v>
      </c>
      <c r="K69">
        <v>65</v>
      </c>
      <c r="L69">
        <v>85</v>
      </c>
      <c r="M69">
        <v>55</v>
      </c>
      <c r="N69">
        <f t="shared" si="8"/>
        <v>505</v>
      </c>
      <c r="O69" s="2">
        <f t="shared" si="9"/>
        <v>84.166666666666671</v>
      </c>
      <c r="P69" s="3">
        <f t="shared" si="10"/>
        <v>81.25</v>
      </c>
      <c r="Q69">
        <f t="shared" si="11"/>
        <v>1</v>
      </c>
      <c r="R69" t="str">
        <f t="shared" si="12"/>
        <v>HIGH</v>
      </c>
      <c r="S69" s="3">
        <f t="shared" si="13"/>
        <v>195</v>
      </c>
      <c r="T69">
        <f t="shared" si="14"/>
        <v>165</v>
      </c>
      <c r="U69" t="str">
        <f t="shared" si="15"/>
        <v>Gen 1</v>
      </c>
    </row>
    <row r="70" spans="1:21" x14ac:dyDescent="0.25">
      <c r="A70">
        <v>69</v>
      </c>
      <c r="B70" t="s">
        <v>94</v>
      </c>
      <c r="C70">
        <v>7</v>
      </c>
      <c r="D70">
        <v>40</v>
      </c>
      <c r="E70">
        <v>60</v>
      </c>
      <c r="F70" t="s">
        <v>14</v>
      </c>
      <c r="G70" t="s">
        <v>15</v>
      </c>
      <c r="H70">
        <v>50</v>
      </c>
      <c r="I70">
        <v>75</v>
      </c>
      <c r="J70">
        <v>35</v>
      </c>
      <c r="K70">
        <v>70</v>
      </c>
      <c r="L70">
        <v>30</v>
      </c>
      <c r="M70">
        <v>40</v>
      </c>
      <c r="N70">
        <f t="shared" si="8"/>
        <v>300</v>
      </c>
      <c r="O70" s="2">
        <f t="shared" si="9"/>
        <v>50</v>
      </c>
      <c r="P70" s="3">
        <f t="shared" si="10"/>
        <v>5.7142857142857144</v>
      </c>
      <c r="Q70">
        <f t="shared" si="11"/>
        <v>2</v>
      </c>
      <c r="R70" t="str">
        <f t="shared" si="12"/>
        <v>Low</v>
      </c>
      <c r="S70" s="3">
        <f t="shared" si="13"/>
        <v>145</v>
      </c>
      <c r="T70">
        <f t="shared" si="14"/>
        <v>65</v>
      </c>
      <c r="U70" t="str">
        <f t="shared" si="15"/>
        <v>Gen 1</v>
      </c>
    </row>
    <row r="71" spans="1:21" x14ac:dyDescent="0.25">
      <c r="A71">
        <v>70</v>
      </c>
      <c r="B71" t="s">
        <v>95</v>
      </c>
      <c r="C71">
        <v>10</v>
      </c>
      <c r="D71">
        <v>64</v>
      </c>
      <c r="E71">
        <v>137</v>
      </c>
      <c r="F71" t="s">
        <v>14</v>
      </c>
      <c r="G71" t="s">
        <v>15</v>
      </c>
      <c r="H71">
        <v>65</v>
      </c>
      <c r="I71">
        <v>90</v>
      </c>
      <c r="J71">
        <v>50</v>
      </c>
      <c r="K71">
        <v>85</v>
      </c>
      <c r="L71">
        <v>45</v>
      </c>
      <c r="M71">
        <v>55</v>
      </c>
      <c r="N71">
        <f t="shared" si="8"/>
        <v>390</v>
      </c>
      <c r="O71" s="2">
        <f t="shared" si="9"/>
        <v>65</v>
      </c>
      <c r="P71" s="3">
        <f t="shared" si="10"/>
        <v>6.4</v>
      </c>
      <c r="Q71">
        <f t="shared" si="11"/>
        <v>2</v>
      </c>
      <c r="R71" t="str">
        <f t="shared" si="12"/>
        <v>Medium</v>
      </c>
      <c r="S71" s="3">
        <f t="shared" si="13"/>
        <v>175</v>
      </c>
      <c r="T71">
        <f t="shared" si="14"/>
        <v>95</v>
      </c>
      <c r="U71" t="str">
        <f t="shared" si="15"/>
        <v>Gen 1</v>
      </c>
    </row>
    <row r="72" spans="1:21" x14ac:dyDescent="0.25">
      <c r="A72">
        <v>71</v>
      </c>
      <c r="B72" t="s">
        <v>96</v>
      </c>
      <c r="C72">
        <v>17</v>
      </c>
      <c r="D72">
        <v>155</v>
      </c>
      <c r="E72">
        <v>221</v>
      </c>
      <c r="F72" t="s">
        <v>14</v>
      </c>
      <c r="G72" t="s">
        <v>15</v>
      </c>
      <c r="H72">
        <v>80</v>
      </c>
      <c r="I72">
        <v>105</v>
      </c>
      <c r="J72">
        <v>65</v>
      </c>
      <c r="K72">
        <v>100</v>
      </c>
      <c r="L72">
        <v>70</v>
      </c>
      <c r="M72">
        <v>70</v>
      </c>
      <c r="N72">
        <f t="shared" si="8"/>
        <v>490</v>
      </c>
      <c r="O72" s="2">
        <f t="shared" si="9"/>
        <v>81.666666666666671</v>
      </c>
      <c r="P72" s="3">
        <f t="shared" si="10"/>
        <v>9.117647058823529</v>
      </c>
      <c r="Q72">
        <f t="shared" si="11"/>
        <v>2</v>
      </c>
      <c r="R72" t="str">
        <f t="shared" si="12"/>
        <v>HIGH</v>
      </c>
      <c r="S72" s="3">
        <f t="shared" si="13"/>
        <v>205</v>
      </c>
      <c r="T72">
        <f t="shared" si="14"/>
        <v>135</v>
      </c>
      <c r="U72" t="str">
        <f t="shared" si="15"/>
        <v>Gen 1</v>
      </c>
    </row>
    <row r="73" spans="1:21" x14ac:dyDescent="0.25">
      <c r="A73">
        <v>72</v>
      </c>
      <c r="B73" t="s">
        <v>97</v>
      </c>
      <c r="C73">
        <v>9</v>
      </c>
      <c r="D73">
        <v>455</v>
      </c>
      <c r="E73">
        <v>67</v>
      </c>
      <c r="F73" t="s">
        <v>25</v>
      </c>
      <c r="G73" t="s">
        <v>15</v>
      </c>
      <c r="H73">
        <v>40</v>
      </c>
      <c r="I73">
        <v>40</v>
      </c>
      <c r="J73">
        <v>35</v>
      </c>
      <c r="K73">
        <v>50</v>
      </c>
      <c r="L73">
        <v>100</v>
      </c>
      <c r="M73">
        <v>70</v>
      </c>
      <c r="N73">
        <f t="shared" si="8"/>
        <v>335</v>
      </c>
      <c r="O73" s="2">
        <f t="shared" si="9"/>
        <v>55.833333333333336</v>
      </c>
      <c r="P73" s="3">
        <f t="shared" si="10"/>
        <v>50.555555555555557</v>
      </c>
      <c r="Q73">
        <f t="shared" si="11"/>
        <v>2</v>
      </c>
      <c r="R73" t="str">
        <f t="shared" si="12"/>
        <v>Low</v>
      </c>
      <c r="S73" s="3">
        <f t="shared" si="13"/>
        <v>90</v>
      </c>
      <c r="T73">
        <f t="shared" si="14"/>
        <v>135</v>
      </c>
      <c r="U73" t="str">
        <f t="shared" si="15"/>
        <v>Gen 1</v>
      </c>
    </row>
    <row r="74" spans="1:21" x14ac:dyDescent="0.25">
      <c r="A74">
        <v>73</v>
      </c>
      <c r="B74" t="s">
        <v>98</v>
      </c>
      <c r="C74">
        <v>16</v>
      </c>
      <c r="D74">
        <v>550</v>
      </c>
      <c r="E74">
        <v>180</v>
      </c>
      <c r="F74" t="s">
        <v>25</v>
      </c>
      <c r="G74" t="s">
        <v>15</v>
      </c>
      <c r="H74">
        <v>80</v>
      </c>
      <c r="I74">
        <v>70</v>
      </c>
      <c r="J74">
        <v>65</v>
      </c>
      <c r="K74">
        <v>80</v>
      </c>
      <c r="L74">
        <v>120</v>
      </c>
      <c r="M74">
        <v>100</v>
      </c>
      <c r="N74">
        <f t="shared" si="8"/>
        <v>515</v>
      </c>
      <c r="O74" s="2">
        <f t="shared" si="9"/>
        <v>85.833333333333329</v>
      </c>
      <c r="P74" s="3">
        <f t="shared" si="10"/>
        <v>34.375</v>
      </c>
      <c r="Q74">
        <f t="shared" si="11"/>
        <v>2</v>
      </c>
      <c r="R74" t="str">
        <f t="shared" si="12"/>
        <v>Medium</v>
      </c>
      <c r="S74" s="3">
        <f t="shared" si="13"/>
        <v>150</v>
      </c>
      <c r="T74">
        <f t="shared" si="14"/>
        <v>185</v>
      </c>
      <c r="U74" t="str">
        <f t="shared" si="15"/>
        <v>Gen 1</v>
      </c>
    </row>
    <row r="75" spans="1:21" x14ac:dyDescent="0.25">
      <c r="A75">
        <v>74</v>
      </c>
      <c r="B75" t="s">
        <v>99</v>
      </c>
      <c r="C75">
        <v>4</v>
      </c>
      <c r="D75">
        <v>200</v>
      </c>
      <c r="E75">
        <v>60</v>
      </c>
      <c r="F75" t="s">
        <v>100</v>
      </c>
      <c r="G75" t="s">
        <v>49</v>
      </c>
      <c r="H75">
        <v>40</v>
      </c>
      <c r="I75">
        <v>80</v>
      </c>
      <c r="J75">
        <v>100</v>
      </c>
      <c r="K75">
        <v>30</v>
      </c>
      <c r="L75">
        <v>30</v>
      </c>
      <c r="M75">
        <v>20</v>
      </c>
      <c r="N75">
        <f t="shared" si="8"/>
        <v>300</v>
      </c>
      <c r="O75" s="2">
        <f t="shared" si="9"/>
        <v>50</v>
      </c>
      <c r="P75" s="3">
        <f t="shared" si="10"/>
        <v>50</v>
      </c>
      <c r="Q75">
        <f t="shared" si="11"/>
        <v>2</v>
      </c>
      <c r="R75" t="str">
        <f t="shared" si="12"/>
        <v>Low</v>
      </c>
      <c r="S75" s="3">
        <f t="shared" si="13"/>
        <v>110</v>
      </c>
      <c r="T75">
        <f t="shared" si="14"/>
        <v>130</v>
      </c>
      <c r="U75" t="str">
        <f t="shared" si="15"/>
        <v>Gen 1</v>
      </c>
    </row>
    <row r="76" spans="1:21" x14ac:dyDescent="0.25">
      <c r="A76">
        <v>75</v>
      </c>
      <c r="B76" t="s">
        <v>101</v>
      </c>
      <c r="C76">
        <v>10</v>
      </c>
      <c r="D76">
        <v>1050</v>
      </c>
      <c r="E76">
        <v>137</v>
      </c>
      <c r="F76" t="s">
        <v>100</v>
      </c>
      <c r="G76" t="s">
        <v>49</v>
      </c>
      <c r="H76">
        <v>55</v>
      </c>
      <c r="I76">
        <v>95</v>
      </c>
      <c r="J76">
        <v>115</v>
      </c>
      <c r="K76">
        <v>45</v>
      </c>
      <c r="L76">
        <v>45</v>
      </c>
      <c r="M76">
        <v>35</v>
      </c>
      <c r="N76">
        <f t="shared" si="8"/>
        <v>390</v>
      </c>
      <c r="O76" s="2">
        <f t="shared" si="9"/>
        <v>65</v>
      </c>
      <c r="P76" s="3">
        <f t="shared" si="10"/>
        <v>105</v>
      </c>
      <c r="Q76">
        <f t="shared" si="11"/>
        <v>2</v>
      </c>
      <c r="R76" t="str">
        <f t="shared" si="12"/>
        <v>Medium</v>
      </c>
      <c r="S76" s="3">
        <f t="shared" si="13"/>
        <v>140</v>
      </c>
      <c r="T76">
        <f t="shared" si="14"/>
        <v>160</v>
      </c>
      <c r="U76" t="str">
        <f t="shared" si="15"/>
        <v>Gen 1</v>
      </c>
    </row>
    <row r="77" spans="1:21" x14ac:dyDescent="0.25">
      <c r="A77">
        <v>76</v>
      </c>
      <c r="B77" t="s">
        <v>102</v>
      </c>
      <c r="C77">
        <v>14</v>
      </c>
      <c r="D77">
        <v>3000</v>
      </c>
      <c r="E77">
        <v>223</v>
      </c>
      <c r="F77" t="s">
        <v>100</v>
      </c>
      <c r="G77" t="s">
        <v>49</v>
      </c>
      <c r="H77">
        <v>80</v>
      </c>
      <c r="I77">
        <v>120</v>
      </c>
      <c r="J77">
        <v>130</v>
      </c>
      <c r="K77">
        <v>55</v>
      </c>
      <c r="L77">
        <v>65</v>
      </c>
      <c r="M77">
        <v>45</v>
      </c>
      <c r="N77">
        <f t="shared" si="8"/>
        <v>495</v>
      </c>
      <c r="O77" s="2">
        <f t="shared" si="9"/>
        <v>82.5</v>
      </c>
      <c r="P77" s="3">
        <f t="shared" si="10"/>
        <v>214.28571428571428</v>
      </c>
      <c r="Q77">
        <f t="shared" si="11"/>
        <v>2</v>
      </c>
      <c r="R77" t="str">
        <f t="shared" si="12"/>
        <v>HIGH</v>
      </c>
      <c r="S77" s="3">
        <f t="shared" si="13"/>
        <v>175</v>
      </c>
      <c r="T77">
        <f t="shared" si="14"/>
        <v>195</v>
      </c>
      <c r="U77" t="str">
        <f t="shared" si="15"/>
        <v>Gen 1</v>
      </c>
    </row>
    <row r="78" spans="1:21" x14ac:dyDescent="0.25">
      <c r="A78">
        <v>77</v>
      </c>
      <c r="B78" t="s">
        <v>103</v>
      </c>
      <c r="C78">
        <v>10</v>
      </c>
      <c r="D78">
        <v>300</v>
      </c>
      <c r="E78">
        <v>82</v>
      </c>
      <c r="F78" t="s">
        <v>19</v>
      </c>
      <c r="G78" t="s">
        <v>20</v>
      </c>
      <c r="H78">
        <v>50</v>
      </c>
      <c r="I78">
        <v>85</v>
      </c>
      <c r="J78">
        <v>55</v>
      </c>
      <c r="K78">
        <v>65</v>
      </c>
      <c r="L78">
        <v>65</v>
      </c>
      <c r="M78">
        <v>90</v>
      </c>
      <c r="N78">
        <f t="shared" si="8"/>
        <v>410</v>
      </c>
      <c r="O78" s="2">
        <f t="shared" si="9"/>
        <v>68.333333333333329</v>
      </c>
      <c r="P78" s="3">
        <f t="shared" si="10"/>
        <v>30</v>
      </c>
      <c r="Q78">
        <f t="shared" si="11"/>
        <v>1</v>
      </c>
      <c r="R78" t="str">
        <f t="shared" si="12"/>
        <v>Low</v>
      </c>
      <c r="S78" s="3">
        <f t="shared" si="13"/>
        <v>150</v>
      </c>
      <c r="T78">
        <f t="shared" si="14"/>
        <v>120</v>
      </c>
      <c r="U78" t="str">
        <f t="shared" si="15"/>
        <v>Gen 1</v>
      </c>
    </row>
    <row r="79" spans="1:21" x14ac:dyDescent="0.25">
      <c r="A79">
        <v>78</v>
      </c>
      <c r="B79" t="s">
        <v>104</v>
      </c>
      <c r="C79">
        <v>17</v>
      </c>
      <c r="D79">
        <v>950</v>
      </c>
      <c r="E79">
        <v>175</v>
      </c>
      <c r="F79" t="s">
        <v>19</v>
      </c>
      <c r="G79" t="s">
        <v>20</v>
      </c>
      <c r="H79">
        <v>65</v>
      </c>
      <c r="I79">
        <v>100</v>
      </c>
      <c r="J79">
        <v>70</v>
      </c>
      <c r="K79">
        <v>80</v>
      </c>
      <c r="L79">
        <v>80</v>
      </c>
      <c r="M79">
        <v>105</v>
      </c>
      <c r="N79">
        <f t="shared" si="8"/>
        <v>500</v>
      </c>
      <c r="O79" s="2">
        <f t="shared" si="9"/>
        <v>83.333333333333329</v>
      </c>
      <c r="P79" s="3">
        <f t="shared" si="10"/>
        <v>55.882352941176471</v>
      </c>
      <c r="Q79">
        <f t="shared" si="11"/>
        <v>1</v>
      </c>
      <c r="R79" t="str">
        <f t="shared" si="12"/>
        <v>Medium</v>
      </c>
      <c r="S79" s="3">
        <f t="shared" si="13"/>
        <v>180</v>
      </c>
      <c r="T79">
        <f t="shared" si="14"/>
        <v>150</v>
      </c>
      <c r="U79" t="str">
        <f t="shared" si="15"/>
        <v>Gen 1</v>
      </c>
    </row>
    <row r="80" spans="1:21" x14ac:dyDescent="0.25">
      <c r="A80">
        <v>79</v>
      </c>
      <c r="B80" t="s">
        <v>105</v>
      </c>
      <c r="C80">
        <v>12</v>
      </c>
      <c r="D80">
        <v>360</v>
      </c>
      <c r="E80">
        <v>63</v>
      </c>
      <c r="F80" t="s">
        <v>25</v>
      </c>
      <c r="G80" t="s">
        <v>88</v>
      </c>
      <c r="H80">
        <v>90</v>
      </c>
      <c r="I80">
        <v>65</v>
      </c>
      <c r="J80">
        <v>65</v>
      </c>
      <c r="K80">
        <v>40</v>
      </c>
      <c r="L80">
        <v>40</v>
      </c>
      <c r="M80">
        <v>15</v>
      </c>
      <c r="N80">
        <f t="shared" si="8"/>
        <v>315</v>
      </c>
      <c r="O80" s="2">
        <f t="shared" si="9"/>
        <v>52.5</v>
      </c>
      <c r="P80" s="3">
        <f t="shared" si="10"/>
        <v>30</v>
      </c>
      <c r="Q80">
        <f t="shared" si="11"/>
        <v>2</v>
      </c>
      <c r="R80" t="str">
        <f t="shared" si="12"/>
        <v>Low</v>
      </c>
      <c r="S80" s="3">
        <f t="shared" si="13"/>
        <v>105</v>
      </c>
      <c r="T80">
        <f t="shared" si="14"/>
        <v>105</v>
      </c>
      <c r="U80" t="str">
        <f t="shared" si="15"/>
        <v>Gen 1</v>
      </c>
    </row>
    <row r="81" spans="1:21" x14ac:dyDescent="0.25">
      <c r="A81">
        <v>80</v>
      </c>
      <c r="B81" t="s">
        <v>106</v>
      </c>
      <c r="C81">
        <v>16</v>
      </c>
      <c r="D81">
        <v>785</v>
      </c>
      <c r="E81">
        <v>172</v>
      </c>
      <c r="F81" t="s">
        <v>25</v>
      </c>
      <c r="G81" t="s">
        <v>88</v>
      </c>
      <c r="H81">
        <v>95</v>
      </c>
      <c r="I81">
        <v>75</v>
      </c>
      <c r="J81">
        <v>110</v>
      </c>
      <c r="K81">
        <v>100</v>
      </c>
      <c r="L81">
        <v>80</v>
      </c>
      <c r="M81">
        <v>30</v>
      </c>
      <c r="N81">
        <f t="shared" si="8"/>
        <v>490</v>
      </c>
      <c r="O81" s="2">
        <f t="shared" si="9"/>
        <v>81.666666666666671</v>
      </c>
      <c r="P81" s="3">
        <f t="shared" si="10"/>
        <v>49.0625</v>
      </c>
      <c r="Q81">
        <f t="shared" si="11"/>
        <v>2</v>
      </c>
      <c r="R81" t="str">
        <f t="shared" si="12"/>
        <v>Medium</v>
      </c>
      <c r="S81" s="3">
        <f t="shared" si="13"/>
        <v>175</v>
      </c>
      <c r="T81">
        <f t="shared" si="14"/>
        <v>190</v>
      </c>
      <c r="U81" t="str">
        <f t="shared" si="15"/>
        <v>Gen 1</v>
      </c>
    </row>
    <row r="82" spans="1:21" x14ac:dyDescent="0.25">
      <c r="A82">
        <v>81</v>
      </c>
      <c r="B82" t="s">
        <v>107</v>
      </c>
      <c r="C82">
        <v>3</v>
      </c>
      <c r="D82">
        <v>60</v>
      </c>
      <c r="E82">
        <v>65</v>
      </c>
      <c r="F82" t="s">
        <v>46</v>
      </c>
      <c r="G82" t="s">
        <v>108</v>
      </c>
      <c r="H82">
        <v>25</v>
      </c>
      <c r="I82">
        <v>35</v>
      </c>
      <c r="J82">
        <v>70</v>
      </c>
      <c r="K82">
        <v>95</v>
      </c>
      <c r="L82">
        <v>55</v>
      </c>
      <c r="M82">
        <v>45</v>
      </c>
      <c r="N82">
        <f t="shared" si="8"/>
        <v>325</v>
      </c>
      <c r="O82" s="2">
        <f t="shared" si="9"/>
        <v>54.166666666666664</v>
      </c>
      <c r="P82" s="3">
        <f t="shared" si="10"/>
        <v>20</v>
      </c>
      <c r="Q82">
        <f t="shared" si="11"/>
        <v>2</v>
      </c>
      <c r="R82" t="str">
        <f t="shared" si="12"/>
        <v>Low</v>
      </c>
      <c r="S82" s="3">
        <f t="shared" si="13"/>
        <v>130</v>
      </c>
      <c r="T82">
        <f t="shared" si="14"/>
        <v>125</v>
      </c>
      <c r="U82" t="str">
        <f t="shared" si="15"/>
        <v>Gen 1</v>
      </c>
    </row>
    <row r="83" spans="1:21" x14ac:dyDescent="0.25">
      <c r="A83">
        <v>82</v>
      </c>
      <c r="B83" t="s">
        <v>109</v>
      </c>
      <c r="C83">
        <v>10</v>
      </c>
      <c r="D83">
        <v>600</v>
      </c>
      <c r="E83">
        <v>163</v>
      </c>
      <c r="F83" t="s">
        <v>46</v>
      </c>
      <c r="G83" t="s">
        <v>108</v>
      </c>
      <c r="H83">
        <v>50</v>
      </c>
      <c r="I83">
        <v>60</v>
      </c>
      <c r="J83">
        <v>95</v>
      </c>
      <c r="K83">
        <v>120</v>
      </c>
      <c r="L83">
        <v>70</v>
      </c>
      <c r="M83">
        <v>70</v>
      </c>
      <c r="N83">
        <f t="shared" si="8"/>
        <v>465</v>
      </c>
      <c r="O83" s="2">
        <f t="shared" si="9"/>
        <v>77.5</v>
      </c>
      <c r="P83" s="3">
        <f t="shared" si="10"/>
        <v>60</v>
      </c>
      <c r="Q83">
        <f t="shared" si="11"/>
        <v>2</v>
      </c>
      <c r="R83" t="str">
        <f t="shared" si="12"/>
        <v>Medium</v>
      </c>
      <c r="S83" s="3">
        <f t="shared" si="13"/>
        <v>180</v>
      </c>
      <c r="T83">
        <f t="shared" si="14"/>
        <v>165</v>
      </c>
      <c r="U83" t="str">
        <f t="shared" si="15"/>
        <v>Gen 1</v>
      </c>
    </row>
    <row r="84" spans="1:21" x14ac:dyDescent="0.25">
      <c r="A84">
        <v>83</v>
      </c>
      <c r="B84" t="s">
        <v>110</v>
      </c>
      <c r="C84">
        <v>8</v>
      </c>
      <c r="D84">
        <v>150</v>
      </c>
      <c r="E84">
        <v>132</v>
      </c>
      <c r="F84" t="s">
        <v>36</v>
      </c>
      <c r="G84" t="s">
        <v>23</v>
      </c>
      <c r="H84">
        <v>52</v>
      </c>
      <c r="I84">
        <v>90</v>
      </c>
      <c r="J84">
        <v>55</v>
      </c>
      <c r="K84">
        <v>58</v>
      </c>
      <c r="L84">
        <v>62</v>
      </c>
      <c r="M84">
        <v>60</v>
      </c>
      <c r="N84">
        <f t="shared" si="8"/>
        <v>377</v>
      </c>
      <c r="O84" s="2">
        <f t="shared" si="9"/>
        <v>62.833333333333336</v>
      </c>
      <c r="P84" s="3">
        <f t="shared" si="10"/>
        <v>18.75</v>
      </c>
      <c r="Q84">
        <f t="shared" si="11"/>
        <v>2</v>
      </c>
      <c r="R84" t="str">
        <f t="shared" si="12"/>
        <v>Medium</v>
      </c>
      <c r="S84" s="3">
        <f t="shared" si="13"/>
        <v>148</v>
      </c>
      <c r="T84">
        <f t="shared" si="14"/>
        <v>117</v>
      </c>
      <c r="U84" t="str">
        <f t="shared" si="15"/>
        <v>Gen 1</v>
      </c>
    </row>
    <row r="85" spans="1:21" x14ac:dyDescent="0.25">
      <c r="A85">
        <v>84</v>
      </c>
      <c r="B85" t="s">
        <v>111</v>
      </c>
      <c r="C85">
        <v>14</v>
      </c>
      <c r="D85">
        <v>392</v>
      </c>
      <c r="E85">
        <v>62</v>
      </c>
      <c r="F85" t="s">
        <v>36</v>
      </c>
      <c r="G85" t="s">
        <v>23</v>
      </c>
      <c r="H85">
        <v>35</v>
      </c>
      <c r="I85">
        <v>85</v>
      </c>
      <c r="J85">
        <v>45</v>
      </c>
      <c r="K85">
        <v>35</v>
      </c>
      <c r="L85">
        <v>35</v>
      </c>
      <c r="M85">
        <v>75</v>
      </c>
      <c r="N85">
        <f t="shared" si="8"/>
        <v>310</v>
      </c>
      <c r="O85" s="2">
        <f t="shared" si="9"/>
        <v>51.666666666666664</v>
      </c>
      <c r="P85" s="3">
        <f t="shared" si="10"/>
        <v>28</v>
      </c>
      <c r="Q85">
        <f t="shared" si="11"/>
        <v>2</v>
      </c>
      <c r="R85" t="str">
        <f t="shared" si="12"/>
        <v>Low</v>
      </c>
      <c r="S85" s="3">
        <f t="shared" si="13"/>
        <v>120</v>
      </c>
      <c r="T85">
        <f t="shared" si="14"/>
        <v>80</v>
      </c>
      <c r="U85" t="str">
        <f t="shared" si="15"/>
        <v>Gen 1</v>
      </c>
    </row>
    <row r="86" spans="1:21" x14ac:dyDescent="0.25">
      <c r="A86">
        <v>85</v>
      </c>
      <c r="B86" t="s">
        <v>112</v>
      </c>
      <c r="C86">
        <v>18</v>
      </c>
      <c r="D86">
        <v>852</v>
      </c>
      <c r="E86">
        <v>165</v>
      </c>
      <c r="F86" t="s">
        <v>36</v>
      </c>
      <c r="G86" t="s">
        <v>23</v>
      </c>
      <c r="H86">
        <v>60</v>
      </c>
      <c r="I86">
        <v>110</v>
      </c>
      <c r="J86">
        <v>70</v>
      </c>
      <c r="K86">
        <v>60</v>
      </c>
      <c r="L86">
        <v>60</v>
      </c>
      <c r="M86">
        <v>110</v>
      </c>
      <c r="N86">
        <f t="shared" si="8"/>
        <v>470</v>
      </c>
      <c r="O86" s="2">
        <f t="shared" si="9"/>
        <v>78.333333333333329</v>
      </c>
      <c r="P86" s="3">
        <f t="shared" si="10"/>
        <v>47.333333333333336</v>
      </c>
      <c r="Q86">
        <f t="shared" si="11"/>
        <v>2</v>
      </c>
      <c r="R86" t="str">
        <f t="shared" si="12"/>
        <v>Medium</v>
      </c>
      <c r="S86" s="3">
        <f t="shared" si="13"/>
        <v>170</v>
      </c>
      <c r="T86">
        <f t="shared" si="14"/>
        <v>130</v>
      </c>
      <c r="U86" t="str">
        <f t="shared" si="15"/>
        <v>Gen 1</v>
      </c>
    </row>
    <row r="87" spans="1:21" x14ac:dyDescent="0.25">
      <c r="A87">
        <v>86</v>
      </c>
      <c r="B87" t="s">
        <v>113</v>
      </c>
      <c r="C87">
        <v>11</v>
      </c>
      <c r="D87">
        <v>900</v>
      </c>
      <c r="E87">
        <v>65</v>
      </c>
      <c r="F87" t="s">
        <v>25</v>
      </c>
      <c r="G87" t="s">
        <v>20</v>
      </c>
      <c r="H87">
        <v>65</v>
      </c>
      <c r="I87">
        <v>45</v>
      </c>
      <c r="J87">
        <v>55</v>
      </c>
      <c r="K87">
        <v>45</v>
      </c>
      <c r="L87">
        <v>70</v>
      </c>
      <c r="M87">
        <v>45</v>
      </c>
      <c r="N87">
        <f t="shared" si="8"/>
        <v>325</v>
      </c>
      <c r="O87" s="2">
        <f t="shared" si="9"/>
        <v>54.166666666666664</v>
      </c>
      <c r="P87" s="3">
        <f t="shared" si="10"/>
        <v>81.818181818181813</v>
      </c>
      <c r="Q87">
        <f t="shared" si="11"/>
        <v>1</v>
      </c>
      <c r="R87" t="str">
        <f t="shared" si="12"/>
        <v>Low</v>
      </c>
      <c r="S87" s="3">
        <f t="shared" si="13"/>
        <v>90</v>
      </c>
      <c r="T87">
        <f t="shared" si="14"/>
        <v>125</v>
      </c>
      <c r="U87" t="str">
        <f t="shared" si="15"/>
        <v>Gen 1</v>
      </c>
    </row>
    <row r="88" spans="1:21" x14ac:dyDescent="0.25">
      <c r="A88">
        <v>87</v>
      </c>
      <c r="B88" t="s">
        <v>114</v>
      </c>
      <c r="C88">
        <v>17</v>
      </c>
      <c r="D88">
        <v>1200</v>
      </c>
      <c r="E88">
        <v>166</v>
      </c>
      <c r="F88" t="s">
        <v>25</v>
      </c>
      <c r="G88" t="s">
        <v>115</v>
      </c>
      <c r="H88">
        <v>90</v>
      </c>
      <c r="I88">
        <v>70</v>
      </c>
      <c r="J88">
        <v>80</v>
      </c>
      <c r="K88">
        <v>70</v>
      </c>
      <c r="L88">
        <v>95</v>
      </c>
      <c r="M88">
        <v>70</v>
      </c>
      <c r="N88">
        <f t="shared" si="8"/>
        <v>475</v>
      </c>
      <c r="O88" s="2">
        <f t="shared" si="9"/>
        <v>79.166666666666671</v>
      </c>
      <c r="P88" s="3">
        <f t="shared" si="10"/>
        <v>70.588235294117652</v>
      </c>
      <c r="Q88">
        <f t="shared" si="11"/>
        <v>2</v>
      </c>
      <c r="R88" t="str">
        <f t="shared" si="12"/>
        <v>Medium</v>
      </c>
      <c r="S88" s="3">
        <f t="shared" si="13"/>
        <v>140</v>
      </c>
      <c r="T88">
        <f t="shared" si="14"/>
        <v>175</v>
      </c>
      <c r="U88" t="str">
        <f t="shared" si="15"/>
        <v>Gen 1</v>
      </c>
    </row>
    <row r="89" spans="1:21" x14ac:dyDescent="0.25">
      <c r="A89">
        <v>88</v>
      </c>
      <c r="B89" t="s">
        <v>116</v>
      </c>
      <c r="C89">
        <v>9</v>
      </c>
      <c r="D89">
        <v>300</v>
      </c>
      <c r="E89">
        <v>65</v>
      </c>
      <c r="F89" t="s">
        <v>15</v>
      </c>
      <c r="G89" t="s">
        <v>20</v>
      </c>
      <c r="H89">
        <v>80</v>
      </c>
      <c r="I89">
        <v>80</v>
      </c>
      <c r="J89">
        <v>50</v>
      </c>
      <c r="K89">
        <v>40</v>
      </c>
      <c r="L89">
        <v>50</v>
      </c>
      <c r="M89">
        <v>25</v>
      </c>
      <c r="N89">
        <f t="shared" si="8"/>
        <v>325</v>
      </c>
      <c r="O89" s="2">
        <f t="shared" si="9"/>
        <v>54.166666666666664</v>
      </c>
      <c r="P89" s="3">
        <f t="shared" si="10"/>
        <v>33.333333333333336</v>
      </c>
      <c r="Q89">
        <f t="shared" si="11"/>
        <v>1</v>
      </c>
      <c r="R89" t="str">
        <f t="shared" si="12"/>
        <v>Low</v>
      </c>
      <c r="S89" s="3">
        <f t="shared" si="13"/>
        <v>120</v>
      </c>
      <c r="T89">
        <f t="shared" si="14"/>
        <v>100</v>
      </c>
      <c r="U89" t="str">
        <f t="shared" si="15"/>
        <v>Gen 1</v>
      </c>
    </row>
    <row r="90" spans="1:21" x14ac:dyDescent="0.25">
      <c r="A90">
        <v>89</v>
      </c>
      <c r="B90" t="s">
        <v>117</v>
      </c>
      <c r="C90">
        <v>12</v>
      </c>
      <c r="D90">
        <v>300</v>
      </c>
      <c r="E90">
        <v>175</v>
      </c>
      <c r="F90" t="s">
        <v>15</v>
      </c>
      <c r="G90" t="s">
        <v>20</v>
      </c>
      <c r="H90">
        <v>105</v>
      </c>
      <c r="I90">
        <v>105</v>
      </c>
      <c r="J90">
        <v>75</v>
      </c>
      <c r="K90">
        <v>65</v>
      </c>
      <c r="L90">
        <v>100</v>
      </c>
      <c r="M90">
        <v>50</v>
      </c>
      <c r="N90">
        <f t="shared" si="8"/>
        <v>500</v>
      </c>
      <c r="O90" s="2">
        <f t="shared" si="9"/>
        <v>83.333333333333329</v>
      </c>
      <c r="P90" s="3">
        <f t="shared" si="10"/>
        <v>25</v>
      </c>
      <c r="Q90">
        <f t="shared" si="11"/>
        <v>1</v>
      </c>
      <c r="R90" t="str">
        <f t="shared" si="12"/>
        <v>Medium</v>
      </c>
      <c r="S90" s="3">
        <f t="shared" si="13"/>
        <v>170</v>
      </c>
      <c r="T90">
        <f t="shared" si="14"/>
        <v>175</v>
      </c>
      <c r="U90" t="str">
        <f t="shared" si="15"/>
        <v>Gen 1</v>
      </c>
    </row>
    <row r="91" spans="1:21" x14ac:dyDescent="0.25">
      <c r="A91">
        <v>90</v>
      </c>
      <c r="B91" t="s">
        <v>118</v>
      </c>
      <c r="C91">
        <v>3</v>
      </c>
      <c r="D91">
        <v>40</v>
      </c>
      <c r="E91">
        <v>61</v>
      </c>
      <c r="F91" t="s">
        <v>25</v>
      </c>
      <c r="G91" t="s">
        <v>20</v>
      </c>
      <c r="H91">
        <v>30</v>
      </c>
      <c r="I91">
        <v>65</v>
      </c>
      <c r="J91">
        <v>100</v>
      </c>
      <c r="K91">
        <v>45</v>
      </c>
      <c r="L91">
        <v>25</v>
      </c>
      <c r="M91">
        <v>40</v>
      </c>
      <c r="N91">
        <f t="shared" si="8"/>
        <v>305</v>
      </c>
      <c r="O91" s="2">
        <f t="shared" si="9"/>
        <v>50.833333333333336</v>
      </c>
      <c r="P91" s="3">
        <f t="shared" si="10"/>
        <v>13.333333333333334</v>
      </c>
      <c r="Q91">
        <f t="shared" si="11"/>
        <v>1</v>
      </c>
      <c r="R91" t="str">
        <f t="shared" si="12"/>
        <v>Low</v>
      </c>
      <c r="S91" s="3">
        <f t="shared" si="13"/>
        <v>110</v>
      </c>
      <c r="T91">
        <f t="shared" si="14"/>
        <v>125</v>
      </c>
      <c r="U91" t="str">
        <f t="shared" si="15"/>
        <v>Gen 1</v>
      </c>
    </row>
    <row r="92" spans="1:21" x14ac:dyDescent="0.25">
      <c r="A92">
        <v>91</v>
      </c>
      <c r="B92" t="s">
        <v>119</v>
      </c>
      <c r="C92">
        <v>15</v>
      </c>
      <c r="D92">
        <v>1325</v>
      </c>
      <c r="E92">
        <v>184</v>
      </c>
      <c r="F92" t="s">
        <v>25</v>
      </c>
      <c r="G92" t="s">
        <v>115</v>
      </c>
      <c r="H92">
        <v>50</v>
      </c>
      <c r="I92">
        <v>95</v>
      </c>
      <c r="J92">
        <v>180</v>
      </c>
      <c r="K92">
        <v>85</v>
      </c>
      <c r="L92">
        <v>45</v>
      </c>
      <c r="M92">
        <v>70</v>
      </c>
      <c r="N92">
        <f t="shared" si="8"/>
        <v>525</v>
      </c>
      <c r="O92" s="2">
        <f t="shared" si="9"/>
        <v>87.5</v>
      </c>
      <c r="P92" s="3">
        <f t="shared" si="10"/>
        <v>88.333333333333329</v>
      </c>
      <c r="Q92">
        <f t="shared" si="11"/>
        <v>2</v>
      </c>
      <c r="R92" t="str">
        <f t="shared" si="12"/>
        <v>Medium</v>
      </c>
      <c r="S92" s="3">
        <f t="shared" si="13"/>
        <v>180</v>
      </c>
      <c r="T92">
        <f t="shared" si="14"/>
        <v>225</v>
      </c>
      <c r="U92" t="str">
        <f t="shared" si="15"/>
        <v>Gen 1</v>
      </c>
    </row>
    <row r="93" spans="1:21" x14ac:dyDescent="0.25">
      <c r="A93">
        <v>92</v>
      </c>
      <c r="B93" t="s">
        <v>120</v>
      </c>
      <c r="C93">
        <v>13</v>
      </c>
      <c r="D93">
        <v>1</v>
      </c>
      <c r="E93">
        <v>62</v>
      </c>
      <c r="F93" t="s">
        <v>121</v>
      </c>
      <c r="G93" t="s">
        <v>15</v>
      </c>
      <c r="H93">
        <v>30</v>
      </c>
      <c r="I93">
        <v>35</v>
      </c>
      <c r="J93">
        <v>30</v>
      </c>
      <c r="K93">
        <v>100</v>
      </c>
      <c r="L93">
        <v>35</v>
      </c>
      <c r="M93">
        <v>80</v>
      </c>
      <c r="N93">
        <f t="shared" si="8"/>
        <v>310</v>
      </c>
      <c r="O93" s="2">
        <f t="shared" si="9"/>
        <v>51.666666666666664</v>
      </c>
      <c r="P93" s="3">
        <f t="shared" si="10"/>
        <v>7.6923076923076927E-2</v>
      </c>
      <c r="Q93">
        <f t="shared" si="11"/>
        <v>2</v>
      </c>
      <c r="R93" t="str">
        <f t="shared" si="12"/>
        <v>Low</v>
      </c>
      <c r="S93" s="3">
        <f t="shared" si="13"/>
        <v>135</v>
      </c>
      <c r="T93">
        <f t="shared" si="14"/>
        <v>65</v>
      </c>
      <c r="U93" t="str">
        <f t="shared" si="15"/>
        <v>Gen 1</v>
      </c>
    </row>
    <row r="94" spans="1:21" x14ac:dyDescent="0.25">
      <c r="A94">
        <v>93</v>
      </c>
      <c r="B94" t="s">
        <v>122</v>
      </c>
      <c r="C94">
        <v>16</v>
      </c>
      <c r="D94">
        <v>1</v>
      </c>
      <c r="E94">
        <v>142</v>
      </c>
      <c r="F94" t="s">
        <v>121</v>
      </c>
      <c r="G94" t="s">
        <v>15</v>
      </c>
      <c r="H94">
        <v>45</v>
      </c>
      <c r="I94">
        <v>50</v>
      </c>
      <c r="J94">
        <v>45</v>
      </c>
      <c r="K94">
        <v>115</v>
      </c>
      <c r="L94">
        <v>55</v>
      </c>
      <c r="M94">
        <v>95</v>
      </c>
      <c r="N94">
        <f t="shared" si="8"/>
        <v>405</v>
      </c>
      <c r="O94" s="2">
        <f t="shared" si="9"/>
        <v>67.5</v>
      </c>
      <c r="P94" s="3">
        <f t="shared" si="10"/>
        <v>6.25E-2</v>
      </c>
      <c r="Q94">
        <f t="shared" si="11"/>
        <v>2</v>
      </c>
      <c r="R94" t="str">
        <f t="shared" si="12"/>
        <v>Medium</v>
      </c>
      <c r="S94" s="3">
        <f t="shared" si="13"/>
        <v>165</v>
      </c>
      <c r="T94">
        <f t="shared" si="14"/>
        <v>100</v>
      </c>
      <c r="U94" t="str">
        <f t="shared" si="15"/>
        <v>Gen 1</v>
      </c>
    </row>
    <row r="95" spans="1:21" x14ac:dyDescent="0.25">
      <c r="A95">
        <v>94</v>
      </c>
      <c r="B95" t="s">
        <v>123</v>
      </c>
      <c r="C95">
        <v>15</v>
      </c>
      <c r="D95">
        <v>405</v>
      </c>
      <c r="E95">
        <v>225</v>
      </c>
      <c r="F95" t="s">
        <v>121</v>
      </c>
      <c r="G95" t="s">
        <v>15</v>
      </c>
      <c r="H95">
        <v>60</v>
      </c>
      <c r="I95">
        <v>65</v>
      </c>
      <c r="J95">
        <v>60</v>
      </c>
      <c r="K95">
        <v>130</v>
      </c>
      <c r="L95">
        <v>75</v>
      </c>
      <c r="M95">
        <v>110</v>
      </c>
      <c r="N95">
        <f t="shared" si="8"/>
        <v>500</v>
      </c>
      <c r="O95" s="2">
        <f t="shared" si="9"/>
        <v>83.333333333333329</v>
      </c>
      <c r="P95" s="3">
        <f t="shared" si="10"/>
        <v>27</v>
      </c>
      <c r="Q95">
        <f t="shared" si="11"/>
        <v>2</v>
      </c>
      <c r="R95" t="str">
        <f t="shared" si="12"/>
        <v>HIGH</v>
      </c>
      <c r="S95" s="3">
        <f t="shared" si="13"/>
        <v>195</v>
      </c>
      <c r="T95">
        <f t="shared" si="14"/>
        <v>135</v>
      </c>
      <c r="U95" t="str">
        <f t="shared" si="15"/>
        <v>Gen 1</v>
      </c>
    </row>
    <row r="96" spans="1:21" x14ac:dyDescent="0.25">
      <c r="A96">
        <v>95</v>
      </c>
      <c r="B96" t="s">
        <v>124</v>
      </c>
      <c r="C96">
        <v>88</v>
      </c>
      <c r="D96">
        <v>2100</v>
      </c>
      <c r="E96">
        <v>77</v>
      </c>
      <c r="F96" t="s">
        <v>100</v>
      </c>
      <c r="G96" t="s">
        <v>49</v>
      </c>
      <c r="H96">
        <v>35</v>
      </c>
      <c r="I96">
        <v>45</v>
      </c>
      <c r="J96">
        <v>160</v>
      </c>
      <c r="K96">
        <v>30</v>
      </c>
      <c r="L96">
        <v>45</v>
      </c>
      <c r="M96">
        <v>70</v>
      </c>
      <c r="N96">
        <f t="shared" si="8"/>
        <v>385</v>
      </c>
      <c r="O96" s="2">
        <f t="shared" si="9"/>
        <v>64.166666666666671</v>
      </c>
      <c r="P96" s="3">
        <f t="shared" si="10"/>
        <v>23.863636363636363</v>
      </c>
      <c r="Q96">
        <f t="shared" si="11"/>
        <v>2</v>
      </c>
      <c r="R96" t="str">
        <f t="shared" si="12"/>
        <v>Low</v>
      </c>
      <c r="S96" s="3">
        <f t="shared" si="13"/>
        <v>75</v>
      </c>
      <c r="T96">
        <f t="shared" si="14"/>
        <v>205</v>
      </c>
      <c r="U96" t="str">
        <f t="shared" si="15"/>
        <v>Gen 1</v>
      </c>
    </row>
    <row r="97" spans="1:21" x14ac:dyDescent="0.25">
      <c r="A97">
        <v>96</v>
      </c>
      <c r="B97" t="s">
        <v>125</v>
      </c>
      <c r="C97">
        <v>10</v>
      </c>
      <c r="D97">
        <v>324</v>
      </c>
      <c r="E97">
        <v>66</v>
      </c>
      <c r="F97" t="s">
        <v>88</v>
      </c>
      <c r="G97" t="s">
        <v>20</v>
      </c>
      <c r="H97">
        <v>60</v>
      </c>
      <c r="I97">
        <v>48</v>
      </c>
      <c r="J97">
        <v>45</v>
      </c>
      <c r="K97">
        <v>43</v>
      </c>
      <c r="L97">
        <v>90</v>
      </c>
      <c r="M97">
        <v>42</v>
      </c>
      <c r="N97">
        <f t="shared" si="8"/>
        <v>328</v>
      </c>
      <c r="O97" s="2">
        <f t="shared" si="9"/>
        <v>54.666666666666664</v>
      </c>
      <c r="P97" s="3">
        <f t="shared" si="10"/>
        <v>32.4</v>
      </c>
      <c r="Q97">
        <f t="shared" si="11"/>
        <v>1</v>
      </c>
      <c r="R97" t="str">
        <f t="shared" si="12"/>
        <v>Low</v>
      </c>
      <c r="S97" s="3">
        <f t="shared" si="13"/>
        <v>91</v>
      </c>
      <c r="T97">
        <f t="shared" si="14"/>
        <v>135</v>
      </c>
      <c r="U97" t="str">
        <f t="shared" si="15"/>
        <v>Gen 1</v>
      </c>
    </row>
    <row r="98" spans="1:21" x14ac:dyDescent="0.25">
      <c r="A98">
        <v>97</v>
      </c>
      <c r="B98" t="s">
        <v>126</v>
      </c>
      <c r="C98">
        <v>16</v>
      </c>
      <c r="D98">
        <v>756</v>
      </c>
      <c r="E98">
        <v>169</v>
      </c>
      <c r="F98" t="s">
        <v>88</v>
      </c>
      <c r="G98" t="s">
        <v>20</v>
      </c>
      <c r="H98">
        <v>85</v>
      </c>
      <c r="I98">
        <v>73</v>
      </c>
      <c r="J98">
        <v>70</v>
      </c>
      <c r="K98">
        <v>73</v>
      </c>
      <c r="L98">
        <v>115</v>
      </c>
      <c r="M98">
        <v>67</v>
      </c>
      <c r="N98">
        <f t="shared" si="8"/>
        <v>483</v>
      </c>
      <c r="O98" s="2">
        <f t="shared" si="9"/>
        <v>80.5</v>
      </c>
      <c r="P98" s="3">
        <f t="shared" si="10"/>
        <v>47.25</v>
      </c>
      <c r="Q98">
        <f t="shared" si="11"/>
        <v>1</v>
      </c>
      <c r="R98" t="str">
        <f t="shared" si="12"/>
        <v>Medium</v>
      </c>
      <c r="S98" s="3">
        <f t="shared" si="13"/>
        <v>146</v>
      </c>
      <c r="T98">
        <f t="shared" si="14"/>
        <v>185</v>
      </c>
      <c r="U98" t="str">
        <f t="shared" si="15"/>
        <v>Gen 1</v>
      </c>
    </row>
    <row r="99" spans="1:21" x14ac:dyDescent="0.25">
      <c r="A99">
        <v>98</v>
      </c>
      <c r="B99" t="s">
        <v>127</v>
      </c>
      <c r="C99">
        <v>4</v>
      </c>
      <c r="D99">
        <v>65</v>
      </c>
      <c r="E99">
        <v>65</v>
      </c>
      <c r="F99" t="s">
        <v>25</v>
      </c>
      <c r="G99" t="s">
        <v>20</v>
      </c>
      <c r="H99">
        <v>30</v>
      </c>
      <c r="I99">
        <v>105</v>
      </c>
      <c r="J99">
        <v>90</v>
      </c>
      <c r="K99">
        <v>25</v>
      </c>
      <c r="L99">
        <v>25</v>
      </c>
      <c r="M99">
        <v>50</v>
      </c>
      <c r="N99">
        <f t="shared" si="8"/>
        <v>325</v>
      </c>
      <c r="O99" s="2">
        <f t="shared" si="9"/>
        <v>54.166666666666664</v>
      </c>
      <c r="P99" s="3">
        <f t="shared" si="10"/>
        <v>16.25</v>
      </c>
      <c r="Q99">
        <f t="shared" si="11"/>
        <v>1</v>
      </c>
      <c r="R99" t="str">
        <f t="shared" si="12"/>
        <v>Low</v>
      </c>
      <c r="S99" s="3">
        <f t="shared" si="13"/>
        <v>130</v>
      </c>
      <c r="T99">
        <f t="shared" si="14"/>
        <v>115</v>
      </c>
      <c r="U99" t="str">
        <f t="shared" si="15"/>
        <v>Gen 1</v>
      </c>
    </row>
    <row r="100" spans="1:21" x14ac:dyDescent="0.25">
      <c r="A100">
        <v>99</v>
      </c>
      <c r="B100" t="s">
        <v>128</v>
      </c>
      <c r="C100">
        <v>13</v>
      </c>
      <c r="D100">
        <v>600</v>
      </c>
      <c r="E100">
        <v>166</v>
      </c>
      <c r="F100" t="s">
        <v>25</v>
      </c>
      <c r="G100" t="s">
        <v>20</v>
      </c>
      <c r="H100">
        <v>55</v>
      </c>
      <c r="I100">
        <v>130</v>
      </c>
      <c r="J100">
        <v>115</v>
      </c>
      <c r="K100">
        <v>50</v>
      </c>
      <c r="L100">
        <v>50</v>
      </c>
      <c r="M100">
        <v>75</v>
      </c>
      <c r="N100">
        <f t="shared" si="8"/>
        <v>475</v>
      </c>
      <c r="O100" s="2">
        <f t="shared" si="9"/>
        <v>79.166666666666671</v>
      </c>
      <c r="P100" s="3">
        <f t="shared" si="10"/>
        <v>46.153846153846153</v>
      </c>
      <c r="Q100">
        <f t="shared" si="11"/>
        <v>1</v>
      </c>
      <c r="R100" t="str">
        <f t="shared" si="12"/>
        <v>Medium</v>
      </c>
      <c r="S100" s="3">
        <f t="shared" si="13"/>
        <v>180</v>
      </c>
      <c r="T100">
        <f t="shared" si="14"/>
        <v>165</v>
      </c>
      <c r="U100" t="str">
        <f t="shared" si="15"/>
        <v>Gen 1</v>
      </c>
    </row>
    <row r="101" spans="1:21" x14ac:dyDescent="0.25">
      <c r="A101">
        <v>100</v>
      </c>
      <c r="B101" t="s">
        <v>129</v>
      </c>
      <c r="C101">
        <v>5</v>
      </c>
      <c r="D101">
        <v>104</v>
      </c>
      <c r="E101">
        <v>66</v>
      </c>
      <c r="F101" t="s">
        <v>46</v>
      </c>
      <c r="G101" t="s">
        <v>20</v>
      </c>
      <c r="H101">
        <v>40</v>
      </c>
      <c r="I101">
        <v>30</v>
      </c>
      <c r="J101">
        <v>50</v>
      </c>
      <c r="K101">
        <v>55</v>
      </c>
      <c r="L101">
        <v>55</v>
      </c>
      <c r="M101">
        <v>100</v>
      </c>
      <c r="N101">
        <f t="shared" si="8"/>
        <v>330</v>
      </c>
      <c r="O101" s="2">
        <f t="shared" si="9"/>
        <v>55</v>
      </c>
      <c r="P101" s="3">
        <f t="shared" si="10"/>
        <v>20.8</v>
      </c>
      <c r="Q101">
        <f t="shared" si="11"/>
        <v>1</v>
      </c>
      <c r="R101" t="str">
        <f t="shared" si="12"/>
        <v>Low</v>
      </c>
      <c r="S101" s="3">
        <f t="shared" si="13"/>
        <v>85</v>
      </c>
      <c r="T101">
        <f t="shared" si="14"/>
        <v>105</v>
      </c>
      <c r="U101" t="str">
        <f t="shared" si="15"/>
        <v>Gen 1</v>
      </c>
    </row>
    <row r="102" spans="1:21" x14ac:dyDescent="0.25">
      <c r="A102">
        <v>101</v>
      </c>
      <c r="B102" t="s">
        <v>130</v>
      </c>
      <c r="C102">
        <v>12</v>
      </c>
      <c r="D102">
        <v>666</v>
      </c>
      <c r="E102">
        <v>172</v>
      </c>
      <c r="F102" t="s">
        <v>46</v>
      </c>
      <c r="G102" t="s">
        <v>20</v>
      </c>
      <c r="H102">
        <v>60</v>
      </c>
      <c r="I102">
        <v>50</v>
      </c>
      <c r="J102">
        <v>70</v>
      </c>
      <c r="K102">
        <v>80</v>
      </c>
      <c r="L102">
        <v>80</v>
      </c>
      <c r="M102">
        <v>150</v>
      </c>
      <c r="N102">
        <f t="shared" si="8"/>
        <v>490</v>
      </c>
      <c r="O102" s="2">
        <f t="shared" si="9"/>
        <v>81.666666666666671</v>
      </c>
      <c r="P102" s="3">
        <f t="shared" si="10"/>
        <v>55.5</v>
      </c>
      <c r="Q102">
        <f t="shared" si="11"/>
        <v>1</v>
      </c>
      <c r="R102" t="str">
        <f t="shared" si="12"/>
        <v>Medium</v>
      </c>
      <c r="S102" s="3">
        <f t="shared" si="13"/>
        <v>130</v>
      </c>
      <c r="T102">
        <f t="shared" si="14"/>
        <v>150</v>
      </c>
      <c r="U102" t="str">
        <f t="shared" si="15"/>
        <v>Gen 1</v>
      </c>
    </row>
    <row r="103" spans="1:21" x14ac:dyDescent="0.25">
      <c r="A103">
        <v>102</v>
      </c>
      <c r="B103" t="s">
        <v>131</v>
      </c>
      <c r="C103">
        <v>4</v>
      </c>
      <c r="D103">
        <v>25</v>
      </c>
      <c r="E103">
        <v>65</v>
      </c>
      <c r="F103" t="s">
        <v>14</v>
      </c>
      <c r="G103" t="s">
        <v>88</v>
      </c>
      <c r="H103">
        <v>60</v>
      </c>
      <c r="I103">
        <v>40</v>
      </c>
      <c r="J103">
        <v>80</v>
      </c>
      <c r="K103">
        <v>60</v>
      </c>
      <c r="L103">
        <v>45</v>
      </c>
      <c r="M103">
        <v>40</v>
      </c>
      <c r="N103">
        <f t="shared" si="8"/>
        <v>325</v>
      </c>
      <c r="O103" s="2">
        <f t="shared" si="9"/>
        <v>54.166666666666664</v>
      </c>
      <c r="P103" s="3">
        <f t="shared" si="10"/>
        <v>6.25</v>
      </c>
      <c r="Q103">
        <f t="shared" si="11"/>
        <v>2</v>
      </c>
      <c r="R103" t="str">
        <f t="shared" si="12"/>
        <v>Low</v>
      </c>
      <c r="S103" s="3">
        <f t="shared" si="13"/>
        <v>100</v>
      </c>
      <c r="T103">
        <f t="shared" si="14"/>
        <v>125</v>
      </c>
      <c r="U103" t="str">
        <f t="shared" si="15"/>
        <v>Gen 1</v>
      </c>
    </row>
    <row r="104" spans="1:21" x14ac:dyDescent="0.25">
      <c r="A104">
        <v>103</v>
      </c>
      <c r="B104" t="s">
        <v>132</v>
      </c>
      <c r="C104">
        <v>20</v>
      </c>
      <c r="D104">
        <v>1200</v>
      </c>
      <c r="E104">
        <v>186</v>
      </c>
      <c r="F104" t="s">
        <v>14</v>
      </c>
      <c r="G104" t="s">
        <v>88</v>
      </c>
      <c r="H104">
        <v>95</v>
      </c>
      <c r="I104">
        <v>95</v>
      </c>
      <c r="J104">
        <v>85</v>
      </c>
      <c r="K104">
        <v>125</v>
      </c>
      <c r="L104">
        <v>75</v>
      </c>
      <c r="M104">
        <v>55</v>
      </c>
      <c r="N104">
        <f t="shared" si="8"/>
        <v>530</v>
      </c>
      <c r="O104" s="2">
        <f t="shared" si="9"/>
        <v>88.333333333333329</v>
      </c>
      <c r="P104" s="3">
        <f t="shared" si="10"/>
        <v>60</v>
      </c>
      <c r="Q104">
        <f t="shared" si="11"/>
        <v>2</v>
      </c>
      <c r="R104" t="str">
        <f t="shared" si="12"/>
        <v>Medium</v>
      </c>
      <c r="S104" s="3">
        <f t="shared" si="13"/>
        <v>220</v>
      </c>
      <c r="T104">
        <f t="shared" si="14"/>
        <v>160</v>
      </c>
      <c r="U104" t="str">
        <f t="shared" si="15"/>
        <v>Gen 1</v>
      </c>
    </row>
    <row r="105" spans="1:21" x14ac:dyDescent="0.25">
      <c r="A105">
        <v>104</v>
      </c>
      <c r="B105" t="s">
        <v>133</v>
      </c>
      <c r="C105">
        <v>4</v>
      </c>
      <c r="D105">
        <v>65</v>
      </c>
      <c r="E105">
        <v>64</v>
      </c>
      <c r="F105" t="s">
        <v>49</v>
      </c>
      <c r="G105" t="s">
        <v>20</v>
      </c>
      <c r="H105">
        <v>50</v>
      </c>
      <c r="I105">
        <v>50</v>
      </c>
      <c r="J105">
        <v>95</v>
      </c>
      <c r="K105">
        <v>40</v>
      </c>
      <c r="L105">
        <v>50</v>
      </c>
      <c r="M105">
        <v>35</v>
      </c>
      <c r="N105">
        <f t="shared" si="8"/>
        <v>320</v>
      </c>
      <c r="O105" s="2">
        <f t="shared" si="9"/>
        <v>53.333333333333336</v>
      </c>
      <c r="P105" s="3">
        <f t="shared" si="10"/>
        <v>16.25</v>
      </c>
      <c r="Q105">
        <f t="shared" si="11"/>
        <v>1</v>
      </c>
      <c r="R105" t="str">
        <f t="shared" si="12"/>
        <v>Low</v>
      </c>
      <c r="S105" s="3">
        <f t="shared" si="13"/>
        <v>90</v>
      </c>
      <c r="T105">
        <f t="shared" si="14"/>
        <v>145</v>
      </c>
      <c r="U105" t="str">
        <f t="shared" si="15"/>
        <v>Gen 1</v>
      </c>
    </row>
    <row r="106" spans="1:21" x14ac:dyDescent="0.25">
      <c r="A106">
        <v>105</v>
      </c>
      <c r="B106" t="s">
        <v>134</v>
      </c>
      <c r="C106">
        <v>10</v>
      </c>
      <c r="D106">
        <v>450</v>
      </c>
      <c r="E106">
        <v>149</v>
      </c>
      <c r="F106" t="s">
        <v>49</v>
      </c>
      <c r="G106" t="s">
        <v>20</v>
      </c>
      <c r="H106">
        <v>60</v>
      </c>
      <c r="I106">
        <v>80</v>
      </c>
      <c r="J106">
        <v>110</v>
      </c>
      <c r="K106">
        <v>50</v>
      </c>
      <c r="L106">
        <v>80</v>
      </c>
      <c r="M106">
        <v>45</v>
      </c>
      <c r="N106">
        <f t="shared" si="8"/>
        <v>425</v>
      </c>
      <c r="O106" s="2">
        <f t="shared" si="9"/>
        <v>70.833333333333329</v>
      </c>
      <c r="P106" s="3">
        <f t="shared" si="10"/>
        <v>45</v>
      </c>
      <c r="Q106">
        <f t="shared" si="11"/>
        <v>1</v>
      </c>
      <c r="R106" t="str">
        <f t="shared" si="12"/>
        <v>Medium</v>
      </c>
      <c r="S106" s="3">
        <f t="shared" si="13"/>
        <v>130</v>
      </c>
      <c r="T106">
        <f t="shared" si="14"/>
        <v>190</v>
      </c>
      <c r="U106" t="str">
        <f t="shared" si="15"/>
        <v>Gen 1</v>
      </c>
    </row>
    <row r="107" spans="1:21" x14ac:dyDescent="0.25">
      <c r="A107">
        <v>106</v>
      </c>
      <c r="B107" t="s">
        <v>135</v>
      </c>
      <c r="C107">
        <v>15</v>
      </c>
      <c r="D107">
        <v>498</v>
      </c>
      <c r="E107">
        <v>159</v>
      </c>
      <c r="F107" t="s">
        <v>80</v>
      </c>
      <c r="G107" t="s">
        <v>20</v>
      </c>
      <c r="H107">
        <v>50</v>
      </c>
      <c r="I107">
        <v>120</v>
      </c>
      <c r="J107">
        <v>53</v>
      </c>
      <c r="K107">
        <v>35</v>
      </c>
      <c r="L107">
        <v>110</v>
      </c>
      <c r="M107">
        <v>87</v>
      </c>
      <c r="N107">
        <f t="shared" si="8"/>
        <v>455</v>
      </c>
      <c r="O107" s="2">
        <f t="shared" si="9"/>
        <v>75.833333333333329</v>
      </c>
      <c r="P107" s="3">
        <f t="shared" si="10"/>
        <v>33.200000000000003</v>
      </c>
      <c r="Q107">
        <f t="shared" si="11"/>
        <v>1</v>
      </c>
      <c r="R107" t="str">
        <f t="shared" si="12"/>
        <v>Medium</v>
      </c>
      <c r="S107" s="3">
        <f t="shared" si="13"/>
        <v>155</v>
      </c>
      <c r="T107">
        <f t="shared" si="14"/>
        <v>163</v>
      </c>
      <c r="U107" t="str">
        <f t="shared" si="15"/>
        <v>Gen 1</v>
      </c>
    </row>
    <row r="108" spans="1:21" x14ac:dyDescent="0.25">
      <c r="A108">
        <v>107</v>
      </c>
      <c r="B108" t="s">
        <v>136</v>
      </c>
      <c r="C108">
        <v>14</v>
      </c>
      <c r="D108">
        <v>502</v>
      </c>
      <c r="E108">
        <v>159</v>
      </c>
      <c r="F108" t="s">
        <v>80</v>
      </c>
      <c r="G108" t="s">
        <v>20</v>
      </c>
      <c r="H108">
        <v>50</v>
      </c>
      <c r="I108">
        <v>105</v>
      </c>
      <c r="J108">
        <v>79</v>
      </c>
      <c r="K108">
        <v>35</v>
      </c>
      <c r="L108">
        <v>110</v>
      </c>
      <c r="M108">
        <v>76</v>
      </c>
      <c r="N108">
        <f t="shared" si="8"/>
        <v>455</v>
      </c>
      <c r="O108" s="2">
        <f t="shared" si="9"/>
        <v>75.833333333333329</v>
      </c>
      <c r="P108" s="3">
        <f t="shared" si="10"/>
        <v>35.857142857142854</v>
      </c>
      <c r="Q108">
        <f t="shared" si="11"/>
        <v>1</v>
      </c>
      <c r="R108" t="str">
        <f t="shared" si="12"/>
        <v>Medium</v>
      </c>
      <c r="S108" s="3">
        <f t="shared" si="13"/>
        <v>140</v>
      </c>
      <c r="T108">
        <f t="shared" si="14"/>
        <v>189</v>
      </c>
      <c r="U108" t="str">
        <f t="shared" si="15"/>
        <v>Gen 1</v>
      </c>
    </row>
    <row r="109" spans="1:21" x14ac:dyDescent="0.25">
      <c r="A109">
        <v>108</v>
      </c>
      <c r="B109" t="s">
        <v>137</v>
      </c>
      <c r="C109">
        <v>12</v>
      </c>
      <c r="D109">
        <v>655</v>
      </c>
      <c r="E109">
        <v>77</v>
      </c>
      <c r="F109" t="s">
        <v>36</v>
      </c>
      <c r="G109" t="s">
        <v>20</v>
      </c>
      <c r="H109">
        <v>90</v>
      </c>
      <c r="I109">
        <v>55</v>
      </c>
      <c r="J109">
        <v>75</v>
      </c>
      <c r="K109">
        <v>60</v>
      </c>
      <c r="L109">
        <v>75</v>
      </c>
      <c r="M109">
        <v>30</v>
      </c>
      <c r="N109">
        <f t="shared" si="8"/>
        <v>385</v>
      </c>
      <c r="O109" s="2">
        <f t="shared" si="9"/>
        <v>64.166666666666671</v>
      </c>
      <c r="P109" s="3">
        <f t="shared" si="10"/>
        <v>54.583333333333336</v>
      </c>
      <c r="Q109">
        <f t="shared" si="11"/>
        <v>1</v>
      </c>
      <c r="R109" t="str">
        <f t="shared" si="12"/>
        <v>Low</v>
      </c>
      <c r="S109" s="3">
        <f t="shared" si="13"/>
        <v>115</v>
      </c>
      <c r="T109">
        <f t="shared" si="14"/>
        <v>150</v>
      </c>
      <c r="U109" t="str">
        <f t="shared" si="15"/>
        <v>Gen 1</v>
      </c>
    </row>
    <row r="110" spans="1:21" x14ac:dyDescent="0.25">
      <c r="A110">
        <v>109</v>
      </c>
      <c r="B110" t="s">
        <v>138</v>
      </c>
      <c r="C110">
        <v>6</v>
      </c>
      <c r="D110">
        <v>10</v>
      </c>
      <c r="E110">
        <v>68</v>
      </c>
      <c r="F110" t="s">
        <v>15</v>
      </c>
      <c r="G110" t="s">
        <v>20</v>
      </c>
      <c r="H110">
        <v>40</v>
      </c>
      <c r="I110">
        <v>65</v>
      </c>
      <c r="J110">
        <v>95</v>
      </c>
      <c r="K110">
        <v>60</v>
      </c>
      <c r="L110">
        <v>45</v>
      </c>
      <c r="M110">
        <v>35</v>
      </c>
      <c r="N110">
        <f t="shared" si="8"/>
        <v>340</v>
      </c>
      <c r="O110" s="2">
        <f t="shared" si="9"/>
        <v>56.666666666666664</v>
      </c>
      <c r="P110" s="3">
        <f t="shared" si="10"/>
        <v>1.6666666666666667</v>
      </c>
      <c r="Q110">
        <f t="shared" si="11"/>
        <v>1</v>
      </c>
      <c r="R110" t="str">
        <f t="shared" si="12"/>
        <v>Low</v>
      </c>
      <c r="S110" s="3">
        <f t="shared" si="13"/>
        <v>125</v>
      </c>
      <c r="T110">
        <f t="shared" si="14"/>
        <v>140</v>
      </c>
      <c r="U110" t="str">
        <f t="shared" si="15"/>
        <v>Gen 1</v>
      </c>
    </row>
    <row r="111" spans="1:21" x14ac:dyDescent="0.25">
      <c r="A111">
        <v>110</v>
      </c>
      <c r="B111" t="s">
        <v>139</v>
      </c>
      <c r="C111">
        <v>12</v>
      </c>
      <c r="D111">
        <v>95</v>
      </c>
      <c r="E111">
        <v>172</v>
      </c>
      <c r="F111" t="s">
        <v>15</v>
      </c>
      <c r="G111" t="s">
        <v>20</v>
      </c>
      <c r="H111">
        <v>65</v>
      </c>
      <c r="I111">
        <v>90</v>
      </c>
      <c r="J111">
        <v>120</v>
      </c>
      <c r="K111">
        <v>85</v>
      </c>
      <c r="L111">
        <v>70</v>
      </c>
      <c r="M111">
        <v>60</v>
      </c>
      <c r="N111">
        <f t="shared" si="8"/>
        <v>490</v>
      </c>
      <c r="O111" s="2">
        <f t="shared" si="9"/>
        <v>81.666666666666671</v>
      </c>
      <c r="P111" s="3">
        <f t="shared" si="10"/>
        <v>7.916666666666667</v>
      </c>
      <c r="Q111">
        <f t="shared" si="11"/>
        <v>1</v>
      </c>
      <c r="R111" t="str">
        <f t="shared" si="12"/>
        <v>Medium</v>
      </c>
      <c r="S111" s="3">
        <f t="shared" si="13"/>
        <v>175</v>
      </c>
      <c r="T111">
        <f t="shared" si="14"/>
        <v>190</v>
      </c>
      <c r="U111" t="str">
        <f t="shared" si="15"/>
        <v>Gen 1</v>
      </c>
    </row>
    <row r="112" spans="1:21" x14ac:dyDescent="0.25">
      <c r="A112">
        <v>111</v>
      </c>
      <c r="B112" t="s">
        <v>140</v>
      </c>
      <c r="C112">
        <v>10</v>
      </c>
      <c r="D112">
        <v>1150</v>
      </c>
      <c r="E112">
        <v>69</v>
      </c>
      <c r="F112" t="s">
        <v>49</v>
      </c>
      <c r="G112" t="s">
        <v>100</v>
      </c>
      <c r="H112">
        <v>80</v>
      </c>
      <c r="I112">
        <v>85</v>
      </c>
      <c r="J112">
        <v>95</v>
      </c>
      <c r="K112">
        <v>30</v>
      </c>
      <c r="L112">
        <v>30</v>
      </c>
      <c r="M112">
        <v>25</v>
      </c>
      <c r="N112">
        <f t="shared" si="8"/>
        <v>345</v>
      </c>
      <c r="O112" s="2">
        <f t="shared" si="9"/>
        <v>57.5</v>
      </c>
      <c r="P112" s="3">
        <f t="shared" si="10"/>
        <v>115</v>
      </c>
      <c r="Q112">
        <f t="shared" si="11"/>
        <v>2</v>
      </c>
      <c r="R112" t="str">
        <f t="shared" si="12"/>
        <v>Low</v>
      </c>
      <c r="S112" s="3">
        <f t="shared" si="13"/>
        <v>115</v>
      </c>
      <c r="T112">
        <f t="shared" si="14"/>
        <v>125</v>
      </c>
      <c r="U112" t="str">
        <f t="shared" si="15"/>
        <v>Gen 1</v>
      </c>
    </row>
    <row r="113" spans="1:21" x14ac:dyDescent="0.25">
      <c r="A113">
        <v>112</v>
      </c>
      <c r="B113" t="s">
        <v>141</v>
      </c>
      <c r="C113">
        <v>19</v>
      </c>
      <c r="D113">
        <v>1200</v>
      </c>
      <c r="E113">
        <v>170</v>
      </c>
      <c r="F113" t="s">
        <v>49</v>
      </c>
      <c r="G113" t="s">
        <v>100</v>
      </c>
      <c r="H113">
        <v>105</v>
      </c>
      <c r="I113">
        <v>130</v>
      </c>
      <c r="J113">
        <v>120</v>
      </c>
      <c r="K113">
        <v>45</v>
      </c>
      <c r="L113">
        <v>45</v>
      </c>
      <c r="M113">
        <v>40</v>
      </c>
      <c r="N113">
        <f t="shared" si="8"/>
        <v>485</v>
      </c>
      <c r="O113" s="2">
        <f t="shared" si="9"/>
        <v>80.833333333333329</v>
      </c>
      <c r="P113" s="3">
        <f t="shared" si="10"/>
        <v>63.157894736842103</v>
      </c>
      <c r="Q113">
        <f t="shared" si="11"/>
        <v>2</v>
      </c>
      <c r="R113" t="str">
        <f t="shared" si="12"/>
        <v>Medium</v>
      </c>
      <c r="S113" s="3">
        <f t="shared" si="13"/>
        <v>175</v>
      </c>
      <c r="T113">
        <f t="shared" si="14"/>
        <v>165</v>
      </c>
      <c r="U113" t="str">
        <f t="shared" si="15"/>
        <v>Gen 1</v>
      </c>
    </row>
    <row r="114" spans="1:21" x14ac:dyDescent="0.25">
      <c r="A114">
        <v>113</v>
      </c>
      <c r="B114" t="s">
        <v>142</v>
      </c>
      <c r="C114">
        <v>11</v>
      </c>
      <c r="D114">
        <v>346</v>
      </c>
      <c r="E114">
        <v>395</v>
      </c>
      <c r="F114" t="s">
        <v>36</v>
      </c>
      <c r="G114" t="s">
        <v>20</v>
      </c>
      <c r="H114">
        <v>250</v>
      </c>
      <c r="I114">
        <v>5</v>
      </c>
      <c r="J114">
        <v>5</v>
      </c>
      <c r="K114">
        <v>35</v>
      </c>
      <c r="L114">
        <v>105</v>
      </c>
      <c r="M114">
        <v>50</v>
      </c>
      <c r="N114">
        <f t="shared" si="8"/>
        <v>450</v>
      </c>
      <c r="O114" s="2">
        <f t="shared" si="9"/>
        <v>75</v>
      </c>
      <c r="P114" s="3">
        <f t="shared" si="10"/>
        <v>31.454545454545453</v>
      </c>
      <c r="Q114">
        <f t="shared" si="11"/>
        <v>1</v>
      </c>
      <c r="R114" t="str">
        <f t="shared" si="12"/>
        <v>Legendary</v>
      </c>
      <c r="S114" s="3">
        <f t="shared" si="13"/>
        <v>40</v>
      </c>
      <c r="T114">
        <f t="shared" si="14"/>
        <v>110</v>
      </c>
      <c r="U114" t="str">
        <f t="shared" si="15"/>
        <v>Gen 1</v>
      </c>
    </row>
    <row r="115" spans="1:21" x14ac:dyDescent="0.25">
      <c r="A115">
        <v>114</v>
      </c>
      <c r="B115" t="s">
        <v>143</v>
      </c>
      <c r="C115">
        <v>10</v>
      </c>
      <c r="D115">
        <v>350</v>
      </c>
      <c r="E115">
        <v>87</v>
      </c>
      <c r="F115" t="s">
        <v>14</v>
      </c>
      <c r="G115" t="s">
        <v>20</v>
      </c>
      <c r="H115">
        <v>65</v>
      </c>
      <c r="I115">
        <v>55</v>
      </c>
      <c r="J115">
        <v>115</v>
      </c>
      <c r="K115">
        <v>100</v>
      </c>
      <c r="L115">
        <v>40</v>
      </c>
      <c r="M115">
        <v>60</v>
      </c>
      <c r="N115">
        <f t="shared" si="8"/>
        <v>435</v>
      </c>
      <c r="O115" s="2">
        <f t="shared" si="9"/>
        <v>72.5</v>
      </c>
      <c r="P115" s="3">
        <f t="shared" si="10"/>
        <v>35</v>
      </c>
      <c r="Q115">
        <f t="shared" si="11"/>
        <v>1</v>
      </c>
      <c r="R115" t="str">
        <f t="shared" si="12"/>
        <v>Low</v>
      </c>
      <c r="S115" s="3">
        <f t="shared" si="13"/>
        <v>155</v>
      </c>
      <c r="T115">
        <f t="shared" si="14"/>
        <v>155</v>
      </c>
      <c r="U115" t="str">
        <f t="shared" si="15"/>
        <v>Gen 1</v>
      </c>
    </row>
    <row r="116" spans="1:21" x14ac:dyDescent="0.25">
      <c r="A116">
        <v>115</v>
      </c>
      <c r="B116" t="s">
        <v>144</v>
      </c>
      <c r="C116">
        <v>22</v>
      </c>
      <c r="D116">
        <v>800</v>
      </c>
      <c r="E116">
        <v>172</v>
      </c>
      <c r="F116" t="s">
        <v>36</v>
      </c>
      <c r="G116" t="s">
        <v>20</v>
      </c>
      <c r="H116">
        <v>105</v>
      </c>
      <c r="I116">
        <v>95</v>
      </c>
      <c r="J116">
        <v>80</v>
      </c>
      <c r="K116">
        <v>40</v>
      </c>
      <c r="L116">
        <v>80</v>
      </c>
      <c r="M116">
        <v>90</v>
      </c>
      <c r="N116">
        <f t="shared" si="8"/>
        <v>490</v>
      </c>
      <c r="O116" s="2">
        <f t="shared" si="9"/>
        <v>81.666666666666671</v>
      </c>
      <c r="P116" s="3">
        <f t="shared" si="10"/>
        <v>36.363636363636367</v>
      </c>
      <c r="Q116">
        <f t="shared" si="11"/>
        <v>1</v>
      </c>
      <c r="R116" t="str">
        <f t="shared" si="12"/>
        <v>Medium</v>
      </c>
      <c r="S116" s="3">
        <f t="shared" si="13"/>
        <v>135</v>
      </c>
      <c r="T116">
        <f t="shared" si="14"/>
        <v>160</v>
      </c>
      <c r="U116" t="str">
        <f t="shared" si="15"/>
        <v>Gen 1</v>
      </c>
    </row>
    <row r="117" spans="1:21" x14ac:dyDescent="0.25">
      <c r="A117">
        <v>116</v>
      </c>
      <c r="B117" t="s">
        <v>145</v>
      </c>
      <c r="C117">
        <v>4</v>
      </c>
      <c r="D117">
        <v>80</v>
      </c>
      <c r="E117">
        <v>59</v>
      </c>
      <c r="F117" t="s">
        <v>25</v>
      </c>
      <c r="G117" t="s">
        <v>20</v>
      </c>
      <c r="H117">
        <v>30</v>
      </c>
      <c r="I117">
        <v>40</v>
      </c>
      <c r="J117">
        <v>70</v>
      </c>
      <c r="K117">
        <v>70</v>
      </c>
      <c r="L117">
        <v>25</v>
      </c>
      <c r="M117">
        <v>60</v>
      </c>
      <c r="N117">
        <f t="shared" si="8"/>
        <v>295</v>
      </c>
      <c r="O117" s="2">
        <f t="shared" si="9"/>
        <v>49.166666666666664</v>
      </c>
      <c r="P117" s="3">
        <f t="shared" si="10"/>
        <v>20</v>
      </c>
      <c r="Q117">
        <f t="shared" si="11"/>
        <v>1</v>
      </c>
      <c r="R117" t="str">
        <f t="shared" si="12"/>
        <v>Low</v>
      </c>
      <c r="S117" s="3">
        <f t="shared" si="13"/>
        <v>110</v>
      </c>
      <c r="T117">
        <f t="shared" si="14"/>
        <v>95</v>
      </c>
      <c r="U117" t="str">
        <f t="shared" si="15"/>
        <v>Gen 1</v>
      </c>
    </row>
    <row r="118" spans="1:21" x14ac:dyDescent="0.25">
      <c r="A118">
        <v>117</v>
      </c>
      <c r="B118" t="s">
        <v>146</v>
      </c>
      <c r="C118">
        <v>12</v>
      </c>
      <c r="D118">
        <v>250</v>
      </c>
      <c r="E118">
        <v>154</v>
      </c>
      <c r="F118" t="s">
        <v>25</v>
      </c>
      <c r="G118" t="s">
        <v>20</v>
      </c>
      <c r="H118">
        <v>55</v>
      </c>
      <c r="I118">
        <v>65</v>
      </c>
      <c r="J118">
        <v>95</v>
      </c>
      <c r="K118">
        <v>95</v>
      </c>
      <c r="L118">
        <v>45</v>
      </c>
      <c r="M118">
        <v>85</v>
      </c>
      <c r="N118">
        <f t="shared" si="8"/>
        <v>440</v>
      </c>
      <c r="O118" s="2">
        <f t="shared" si="9"/>
        <v>73.333333333333329</v>
      </c>
      <c r="P118" s="3">
        <f t="shared" si="10"/>
        <v>20.833333333333332</v>
      </c>
      <c r="Q118">
        <f t="shared" si="11"/>
        <v>1</v>
      </c>
      <c r="R118" t="str">
        <f t="shared" si="12"/>
        <v>Medium</v>
      </c>
      <c r="S118" s="3">
        <f t="shared" si="13"/>
        <v>160</v>
      </c>
      <c r="T118">
        <f t="shared" si="14"/>
        <v>140</v>
      </c>
      <c r="U118" t="str">
        <f t="shared" si="15"/>
        <v>Gen 1</v>
      </c>
    </row>
    <row r="119" spans="1:21" x14ac:dyDescent="0.25">
      <c r="A119">
        <v>118</v>
      </c>
      <c r="B119" t="s">
        <v>147</v>
      </c>
      <c r="C119">
        <v>6</v>
      </c>
      <c r="D119">
        <v>150</v>
      </c>
      <c r="E119">
        <v>64</v>
      </c>
      <c r="F119" t="s">
        <v>25</v>
      </c>
      <c r="G119" t="s">
        <v>20</v>
      </c>
      <c r="H119">
        <v>45</v>
      </c>
      <c r="I119">
        <v>67</v>
      </c>
      <c r="J119">
        <v>60</v>
      </c>
      <c r="K119">
        <v>35</v>
      </c>
      <c r="L119">
        <v>50</v>
      </c>
      <c r="M119">
        <v>63</v>
      </c>
      <c r="N119">
        <f t="shared" si="8"/>
        <v>320</v>
      </c>
      <c r="O119" s="2">
        <f t="shared" si="9"/>
        <v>53.333333333333336</v>
      </c>
      <c r="P119" s="3">
        <f t="shared" si="10"/>
        <v>25</v>
      </c>
      <c r="Q119">
        <f t="shared" si="11"/>
        <v>1</v>
      </c>
      <c r="R119" t="str">
        <f t="shared" si="12"/>
        <v>Low</v>
      </c>
      <c r="S119" s="3">
        <f t="shared" si="13"/>
        <v>102</v>
      </c>
      <c r="T119">
        <f t="shared" si="14"/>
        <v>110</v>
      </c>
      <c r="U119" t="str">
        <f t="shared" si="15"/>
        <v>Gen 1</v>
      </c>
    </row>
    <row r="120" spans="1:21" x14ac:dyDescent="0.25">
      <c r="A120">
        <v>119</v>
      </c>
      <c r="B120" t="s">
        <v>148</v>
      </c>
      <c r="C120">
        <v>13</v>
      </c>
      <c r="D120">
        <v>390</v>
      </c>
      <c r="E120">
        <v>158</v>
      </c>
      <c r="F120" t="s">
        <v>25</v>
      </c>
      <c r="G120" t="s">
        <v>20</v>
      </c>
      <c r="H120">
        <v>80</v>
      </c>
      <c r="I120">
        <v>92</v>
      </c>
      <c r="J120">
        <v>65</v>
      </c>
      <c r="K120">
        <v>65</v>
      </c>
      <c r="L120">
        <v>80</v>
      </c>
      <c r="M120">
        <v>68</v>
      </c>
      <c r="N120">
        <f t="shared" si="8"/>
        <v>450</v>
      </c>
      <c r="O120" s="2">
        <f t="shared" si="9"/>
        <v>75</v>
      </c>
      <c r="P120" s="3">
        <f t="shared" si="10"/>
        <v>30</v>
      </c>
      <c r="Q120">
        <f t="shared" si="11"/>
        <v>1</v>
      </c>
      <c r="R120" t="str">
        <f t="shared" si="12"/>
        <v>Medium</v>
      </c>
      <c r="S120" s="3">
        <f t="shared" si="13"/>
        <v>157</v>
      </c>
      <c r="T120">
        <f t="shared" si="14"/>
        <v>145</v>
      </c>
      <c r="U120" t="str">
        <f t="shared" si="15"/>
        <v>Gen 1</v>
      </c>
    </row>
    <row r="121" spans="1:21" x14ac:dyDescent="0.25">
      <c r="A121">
        <v>120</v>
      </c>
      <c r="B121" t="s">
        <v>149</v>
      </c>
      <c r="C121">
        <v>8</v>
      </c>
      <c r="D121">
        <v>345</v>
      </c>
      <c r="E121">
        <v>68</v>
      </c>
      <c r="F121" t="s">
        <v>25</v>
      </c>
      <c r="G121" t="s">
        <v>20</v>
      </c>
      <c r="H121">
        <v>30</v>
      </c>
      <c r="I121">
        <v>45</v>
      </c>
      <c r="J121">
        <v>55</v>
      </c>
      <c r="K121">
        <v>70</v>
      </c>
      <c r="L121">
        <v>55</v>
      </c>
      <c r="M121">
        <v>85</v>
      </c>
      <c r="N121">
        <f t="shared" si="8"/>
        <v>340</v>
      </c>
      <c r="O121" s="2">
        <f t="shared" si="9"/>
        <v>56.666666666666664</v>
      </c>
      <c r="P121" s="3">
        <f t="shared" si="10"/>
        <v>43.125</v>
      </c>
      <c r="Q121">
        <f t="shared" si="11"/>
        <v>1</v>
      </c>
      <c r="R121" t="str">
        <f t="shared" si="12"/>
        <v>Low</v>
      </c>
      <c r="S121" s="3">
        <f t="shared" si="13"/>
        <v>115</v>
      </c>
      <c r="T121">
        <f t="shared" si="14"/>
        <v>110</v>
      </c>
      <c r="U121" t="str">
        <f t="shared" si="15"/>
        <v>Gen 1</v>
      </c>
    </row>
    <row r="122" spans="1:21" x14ac:dyDescent="0.25">
      <c r="A122">
        <v>121</v>
      </c>
      <c r="B122" t="s">
        <v>150</v>
      </c>
      <c r="C122">
        <v>11</v>
      </c>
      <c r="D122">
        <v>800</v>
      </c>
      <c r="E122">
        <v>182</v>
      </c>
      <c r="F122" t="s">
        <v>25</v>
      </c>
      <c r="G122" t="s">
        <v>88</v>
      </c>
      <c r="H122">
        <v>60</v>
      </c>
      <c r="I122">
        <v>75</v>
      </c>
      <c r="J122">
        <v>85</v>
      </c>
      <c r="K122">
        <v>100</v>
      </c>
      <c r="L122">
        <v>85</v>
      </c>
      <c r="M122">
        <v>115</v>
      </c>
      <c r="N122">
        <f t="shared" si="8"/>
        <v>520</v>
      </c>
      <c r="O122" s="2">
        <f t="shared" si="9"/>
        <v>86.666666666666671</v>
      </c>
      <c r="P122" s="3">
        <f t="shared" si="10"/>
        <v>72.727272727272734</v>
      </c>
      <c r="Q122">
        <f t="shared" si="11"/>
        <v>2</v>
      </c>
      <c r="R122" t="str">
        <f t="shared" si="12"/>
        <v>Medium</v>
      </c>
      <c r="S122" s="3">
        <f t="shared" si="13"/>
        <v>175</v>
      </c>
      <c r="T122">
        <f t="shared" si="14"/>
        <v>170</v>
      </c>
      <c r="U122" t="str">
        <f t="shared" si="15"/>
        <v>Gen 1</v>
      </c>
    </row>
    <row r="123" spans="1:21" x14ac:dyDescent="0.25">
      <c r="A123">
        <v>122</v>
      </c>
      <c r="B123" t="s">
        <v>151</v>
      </c>
      <c r="C123">
        <v>13</v>
      </c>
      <c r="D123">
        <v>545</v>
      </c>
      <c r="E123">
        <v>161</v>
      </c>
      <c r="F123" t="s">
        <v>88</v>
      </c>
      <c r="G123" t="s">
        <v>58</v>
      </c>
      <c r="H123">
        <v>40</v>
      </c>
      <c r="I123">
        <v>45</v>
      </c>
      <c r="J123">
        <v>65</v>
      </c>
      <c r="K123">
        <v>100</v>
      </c>
      <c r="L123">
        <v>120</v>
      </c>
      <c r="M123">
        <v>90</v>
      </c>
      <c r="N123">
        <f t="shared" si="8"/>
        <v>460</v>
      </c>
      <c r="O123" s="2">
        <f t="shared" si="9"/>
        <v>76.666666666666671</v>
      </c>
      <c r="P123" s="3">
        <f t="shared" si="10"/>
        <v>41.92307692307692</v>
      </c>
      <c r="Q123">
        <f t="shared" si="11"/>
        <v>2</v>
      </c>
      <c r="R123" t="str">
        <f t="shared" si="12"/>
        <v>Medium</v>
      </c>
      <c r="S123" s="3">
        <f t="shared" si="13"/>
        <v>145</v>
      </c>
      <c r="T123">
        <f t="shared" si="14"/>
        <v>185</v>
      </c>
      <c r="U123" t="str">
        <f t="shared" si="15"/>
        <v>Gen 1</v>
      </c>
    </row>
    <row r="124" spans="1:21" x14ac:dyDescent="0.25">
      <c r="A124">
        <v>123</v>
      </c>
      <c r="B124" t="s">
        <v>152</v>
      </c>
      <c r="C124">
        <v>15</v>
      </c>
      <c r="D124">
        <v>560</v>
      </c>
      <c r="E124">
        <v>100</v>
      </c>
      <c r="F124" t="s">
        <v>29</v>
      </c>
      <c r="G124" t="s">
        <v>23</v>
      </c>
      <c r="H124">
        <v>70</v>
      </c>
      <c r="I124">
        <v>110</v>
      </c>
      <c r="J124">
        <v>80</v>
      </c>
      <c r="K124">
        <v>55</v>
      </c>
      <c r="L124">
        <v>80</v>
      </c>
      <c r="M124">
        <v>105</v>
      </c>
      <c r="N124">
        <f t="shared" si="8"/>
        <v>500</v>
      </c>
      <c r="O124" s="2">
        <f t="shared" si="9"/>
        <v>83.333333333333329</v>
      </c>
      <c r="P124" s="3">
        <f t="shared" si="10"/>
        <v>37.333333333333336</v>
      </c>
      <c r="Q124">
        <f t="shared" si="11"/>
        <v>2</v>
      </c>
      <c r="R124" t="str">
        <f t="shared" si="12"/>
        <v>Medium</v>
      </c>
      <c r="S124" s="3">
        <f t="shared" si="13"/>
        <v>165</v>
      </c>
      <c r="T124">
        <f t="shared" si="14"/>
        <v>160</v>
      </c>
      <c r="U124" t="str">
        <f t="shared" si="15"/>
        <v>Gen 1</v>
      </c>
    </row>
    <row r="125" spans="1:21" x14ac:dyDescent="0.25">
      <c r="A125">
        <v>124</v>
      </c>
      <c r="B125" t="s">
        <v>153</v>
      </c>
      <c r="C125">
        <v>14</v>
      </c>
      <c r="D125">
        <v>406</v>
      </c>
      <c r="E125">
        <v>159</v>
      </c>
      <c r="F125" t="s">
        <v>115</v>
      </c>
      <c r="G125" t="s">
        <v>88</v>
      </c>
      <c r="H125">
        <v>65</v>
      </c>
      <c r="I125">
        <v>50</v>
      </c>
      <c r="J125">
        <v>35</v>
      </c>
      <c r="K125">
        <v>115</v>
      </c>
      <c r="L125">
        <v>95</v>
      </c>
      <c r="M125">
        <v>95</v>
      </c>
      <c r="N125">
        <f t="shared" si="8"/>
        <v>455</v>
      </c>
      <c r="O125" s="2">
        <f t="shared" si="9"/>
        <v>75.833333333333329</v>
      </c>
      <c r="P125" s="3">
        <f t="shared" si="10"/>
        <v>29</v>
      </c>
      <c r="Q125">
        <f t="shared" si="11"/>
        <v>2</v>
      </c>
      <c r="R125" t="str">
        <f t="shared" si="12"/>
        <v>Medium</v>
      </c>
      <c r="S125" s="3">
        <f t="shared" si="13"/>
        <v>165</v>
      </c>
      <c r="T125">
        <f t="shared" si="14"/>
        <v>130</v>
      </c>
      <c r="U125" t="str">
        <f t="shared" si="15"/>
        <v>Gen 1</v>
      </c>
    </row>
    <row r="126" spans="1:21" x14ac:dyDescent="0.25">
      <c r="A126">
        <v>125</v>
      </c>
      <c r="B126" t="s">
        <v>154</v>
      </c>
      <c r="C126">
        <v>11</v>
      </c>
      <c r="D126">
        <v>300</v>
      </c>
      <c r="E126">
        <v>172</v>
      </c>
      <c r="F126" t="s">
        <v>46</v>
      </c>
      <c r="G126" t="s">
        <v>20</v>
      </c>
      <c r="H126">
        <v>65</v>
      </c>
      <c r="I126">
        <v>83</v>
      </c>
      <c r="J126">
        <v>57</v>
      </c>
      <c r="K126">
        <v>95</v>
      </c>
      <c r="L126">
        <v>85</v>
      </c>
      <c r="M126">
        <v>105</v>
      </c>
      <c r="N126">
        <f t="shared" si="8"/>
        <v>490</v>
      </c>
      <c r="O126" s="2">
        <f t="shared" si="9"/>
        <v>81.666666666666671</v>
      </c>
      <c r="P126" s="3">
        <f t="shared" si="10"/>
        <v>27.272727272727273</v>
      </c>
      <c r="Q126">
        <f t="shared" si="11"/>
        <v>1</v>
      </c>
      <c r="R126" t="str">
        <f t="shared" si="12"/>
        <v>Medium</v>
      </c>
      <c r="S126" s="3">
        <f t="shared" si="13"/>
        <v>178</v>
      </c>
      <c r="T126">
        <f t="shared" si="14"/>
        <v>142</v>
      </c>
      <c r="U126" t="str">
        <f t="shared" si="15"/>
        <v>Gen 1</v>
      </c>
    </row>
    <row r="127" spans="1:21" x14ac:dyDescent="0.25">
      <c r="A127">
        <v>126</v>
      </c>
      <c r="B127" t="s">
        <v>155</v>
      </c>
      <c r="C127">
        <v>13</v>
      </c>
      <c r="D127">
        <v>445</v>
      </c>
      <c r="E127">
        <v>173</v>
      </c>
      <c r="F127" t="s">
        <v>19</v>
      </c>
      <c r="G127" t="s">
        <v>20</v>
      </c>
      <c r="H127">
        <v>65</v>
      </c>
      <c r="I127">
        <v>95</v>
      </c>
      <c r="J127">
        <v>57</v>
      </c>
      <c r="K127">
        <v>100</v>
      </c>
      <c r="L127">
        <v>85</v>
      </c>
      <c r="M127">
        <v>93</v>
      </c>
      <c r="N127">
        <f t="shared" si="8"/>
        <v>495</v>
      </c>
      <c r="O127" s="2">
        <f t="shared" si="9"/>
        <v>82.5</v>
      </c>
      <c r="P127" s="3">
        <f t="shared" si="10"/>
        <v>34.230769230769234</v>
      </c>
      <c r="Q127">
        <f t="shared" si="11"/>
        <v>1</v>
      </c>
      <c r="R127" t="str">
        <f t="shared" si="12"/>
        <v>Medium</v>
      </c>
      <c r="S127" s="3">
        <f t="shared" si="13"/>
        <v>195</v>
      </c>
      <c r="T127">
        <f t="shared" si="14"/>
        <v>142</v>
      </c>
      <c r="U127" t="str">
        <f t="shared" si="15"/>
        <v>Gen 1</v>
      </c>
    </row>
    <row r="128" spans="1:21" x14ac:dyDescent="0.25">
      <c r="A128">
        <v>127</v>
      </c>
      <c r="B128" t="s">
        <v>156</v>
      </c>
      <c r="C128">
        <v>15</v>
      </c>
      <c r="D128">
        <v>550</v>
      </c>
      <c r="E128">
        <v>175</v>
      </c>
      <c r="F128" t="s">
        <v>29</v>
      </c>
      <c r="G128" t="s">
        <v>20</v>
      </c>
      <c r="H128">
        <v>65</v>
      </c>
      <c r="I128">
        <v>125</v>
      </c>
      <c r="J128">
        <v>100</v>
      </c>
      <c r="K128">
        <v>55</v>
      </c>
      <c r="L128">
        <v>70</v>
      </c>
      <c r="M128">
        <v>85</v>
      </c>
      <c r="N128">
        <f t="shared" si="8"/>
        <v>500</v>
      </c>
      <c r="O128" s="2">
        <f t="shared" si="9"/>
        <v>83.333333333333329</v>
      </c>
      <c r="P128" s="3">
        <f t="shared" si="10"/>
        <v>36.666666666666664</v>
      </c>
      <c r="Q128">
        <f t="shared" si="11"/>
        <v>1</v>
      </c>
      <c r="R128" t="str">
        <f t="shared" si="12"/>
        <v>Medium</v>
      </c>
      <c r="S128" s="3">
        <f t="shared" si="13"/>
        <v>180</v>
      </c>
      <c r="T128">
        <f t="shared" si="14"/>
        <v>170</v>
      </c>
      <c r="U128" t="str">
        <f t="shared" si="15"/>
        <v>Gen 1</v>
      </c>
    </row>
    <row r="129" spans="1:21" x14ac:dyDescent="0.25">
      <c r="A129">
        <v>128</v>
      </c>
      <c r="B129" t="s">
        <v>157</v>
      </c>
      <c r="C129">
        <v>14</v>
      </c>
      <c r="D129">
        <v>884</v>
      </c>
      <c r="E129">
        <v>172</v>
      </c>
      <c r="F129" t="s">
        <v>36</v>
      </c>
      <c r="G129" t="s">
        <v>20</v>
      </c>
      <c r="H129">
        <v>75</v>
      </c>
      <c r="I129">
        <v>100</v>
      </c>
      <c r="J129">
        <v>95</v>
      </c>
      <c r="K129">
        <v>40</v>
      </c>
      <c r="L129">
        <v>70</v>
      </c>
      <c r="M129">
        <v>110</v>
      </c>
      <c r="N129">
        <f t="shared" si="8"/>
        <v>490</v>
      </c>
      <c r="O129" s="2">
        <f t="shared" si="9"/>
        <v>81.666666666666671</v>
      </c>
      <c r="P129" s="3">
        <f t="shared" si="10"/>
        <v>63.142857142857146</v>
      </c>
      <c r="Q129">
        <f t="shared" si="11"/>
        <v>1</v>
      </c>
      <c r="R129" t="str">
        <f t="shared" si="12"/>
        <v>Medium</v>
      </c>
      <c r="S129" s="3">
        <f t="shared" si="13"/>
        <v>140</v>
      </c>
      <c r="T129">
        <f t="shared" si="14"/>
        <v>165</v>
      </c>
      <c r="U129" t="str">
        <f t="shared" si="15"/>
        <v>Gen 1</v>
      </c>
    </row>
    <row r="130" spans="1:21" x14ac:dyDescent="0.25">
      <c r="A130">
        <v>129</v>
      </c>
      <c r="B130" t="s">
        <v>158</v>
      </c>
      <c r="C130">
        <v>9</v>
      </c>
      <c r="D130">
        <v>100</v>
      </c>
      <c r="E130">
        <v>40</v>
      </c>
      <c r="F130" t="s">
        <v>25</v>
      </c>
      <c r="G130" t="s">
        <v>20</v>
      </c>
      <c r="H130">
        <v>20</v>
      </c>
      <c r="I130">
        <v>10</v>
      </c>
      <c r="J130">
        <v>55</v>
      </c>
      <c r="K130">
        <v>15</v>
      </c>
      <c r="L130">
        <v>20</v>
      </c>
      <c r="M130">
        <v>80</v>
      </c>
      <c r="N130">
        <f t="shared" ref="N130:N193" si="16">SUM(H130:M130)</f>
        <v>200</v>
      </c>
      <c r="O130" s="2">
        <f t="shared" ref="O130:O193" si="17">AVERAGE(H130:M130)</f>
        <v>33.333333333333336</v>
      </c>
      <c r="P130" s="3">
        <f t="shared" ref="P130:P193" si="18">D130/C130</f>
        <v>11.111111111111111</v>
      </c>
      <c r="Q130">
        <f t="shared" ref="Q130:Q193" si="19">IF(G130="None", 1,2)</f>
        <v>1</v>
      </c>
      <c r="R130" t="str">
        <f t="shared" ref="R130:R193" si="20">IF(E130&lt;100,"Low",IF(E130&lt;200,"Medium",IF(E130&lt;250,"HIGH",IF(E130&gt;250,"Legendary"))))</f>
        <v>Low</v>
      </c>
      <c r="S130" s="3">
        <f t="shared" ref="S130:S193" si="21">I130+K130</f>
        <v>25</v>
      </c>
      <c r="T130">
        <f t="shared" ref="T130:T193" si="22">J130+L130</f>
        <v>75</v>
      </c>
      <c r="U130" t="str">
        <f t="shared" si="15"/>
        <v>Gen 1</v>
      </c>
    </row>
    <row r="131" spans="1:21" x14ac:dyDescent="0.25">
      <c r="A131">
        <v>130</v>
      </c>
      <c r="B131" t="s">
        <v>159</v>
      </c>
      <c r="C131">
        <v>65</v>
      </c>
      <c r="D131">
        <v>2350</v>
      </c>
      <c r="E131">
        <v>189</v>
      </c>
      <c r="F131" t="s">
        <v>25</v>
      </c>
      <c r="G131" t="s">
        <v>23</v>
      </c>
      <c r="H131">
        <v>95</v>
      </c>
      <c r="I131">
        <v>125</v>
      </c>
      <c r="J131">
        <v>79</v>
      </c>
      <c r="K131">
        <v>60</v>
      </c>
      <c r="L131">
        <v>100</v>
      </c>
      <c r="M131">
        <v>81</v>
      </c>
      <c r="N131">
        <f t="shared" si="16"/>
        <v>540</v>
      </c>
      <c r="O131" s="2">
        <f t="shared" si="17"/>
        <v>90</v>
      </c>
      <c r="P131" s="3">
        <f t="shared" si="18"/>
        <v>36.153846153846153</v>
      </c>
      <c r="Q131">
        <f t="shared" si="19"/>
        <v>2</v>
      </c>
      <c r="R131" t="str">
        <f t="shared" si="20"/>
        <v>Medium</v>
      </c>
      <c r="S131" s="3">
        <f t="shared" si="21"/>
        <v>185</v>
      </c>
      <c r="T131">
        <f t="shared" si="22"/>
        <v>179</v>
      </c>
      <c r="U131" t="str">
        <f t="shared" ref="U131:U194" si="23">IF(A132 &lt;= 151, "Gen 1", IF(A132 &gt; 151, "Gen 2"))</f>
        <v>Gen 1</v>
      </c>
    </row>
    <row r="132" spans="1:21" x14ac:dyDescent="0.25">
      <c r="A132">
        <v>131</v>
      </c>
      <c r="B132" t="s">
        <v>160</v>
      </c>
      <c r="C132">
        <v>25</v>
      </c>
      <c r="D132">
        <v>2200</v>
      </c>
      <c r="E132">
        <v>187</v>
      </c>
      <c r="F132" t="s">
        <v>25</v>
      </c>
      <c r="G132" t="s">
        <v>115</v>
      </c>
      <c r="H132">
        <v>130</v>
      </c>
      <c r="I132">
        <v>85</v>
      </c>
      <c r="J132">
        <v>80</v>
      </c>
      <c r="K132">
        <v>85</v>
      </c>
      <c r="L132">
        <v>95</v>
      </c>
      <c r="M132">
        <v>60</v>
      </c>
      <c r="N132">
        <f t="shared" si="16"/>
        <v>535</v>
      </c>
      <c r="O132" s="2">
        <f t="shared" si="17"/>
        <v>89.166666666666671</v>
      </c>
      <c r="P132" s="3">
        <f t="shared" si="18"/>
        <v>88</v>
      </c>
      <c r="Q132">
        <f t="shared" si="19"/>
        <v>2</v>
      </c>
      <c r="R132" t="str">
        <f t="shared" si="20"/>
        <v>Medium</v>
      </c>
      <c r="S132" s="3">
        <f t="shared" si="21"/>
        <v>170</v>
      </c>
      <c r="T132">
        <f t="shared" si="22"/>
        <v>175</v>
      </c>
      <c r="U132" t="str">
        <f t="shared" si="23"/>
        <v>Gen 1</v>
      </c>
    </row>
    <row r="133" spans="1:21" x14ac:dyDescent="0.25">
      <c r="A133">
        <v>132</v>
      </c>
      <c r="B133" t="s">
        <v>161</v>
      </c>
      <c r="C133">
        <v>3</v>
      </c>
      <c r="D133">
        <v>40</v>
      </c>
      <c r="E133">
        <v>101</v>
      </c>
      <c r="F133" t="s">
        <v>36</v>
      </c>
      <c r="G133" t="s">
        <v>20</v>
      </c>
      <c r="H133">
        <v>48</v>
      </c>
      <c r="I133">
        <v>48</v>
      </c>
      <c r="J133">
        <v>48</v>
      </c>
      <c r="K133">
        <v>48</v>
      </c>
      <c r="L133">
        <v>48</v>
      </c>
      <c r="M133">
        <v>48</v>
      </c>
      <c r="N133">
        <f t="shared" si="16"/>
        <v>288</v>
      </c>
      <c r="O133" s="2">
        <f t="shared" si="17"/>
        <v>48</v>
      </c>
      <c r="P133" s="3">
        <f t="shared" si="18"/>
        <v>13.333333333333334</v>
      </c>
      <c r="Q133">
        <f t="shared" si="19"/>
        <v>1</v>
      </c>
      <c r="R133" t="str">
        <f t="shared" si="20"/>
        <v>Medium</v>
      </c>
      <c r="S133" s="3">
        <f t="shared" si="21"/>
        <v>96</v>
      </c>
      <c r="T133">
        <f t="shared" si="22"/>
        <v>96</v>
      </c>
      <c r="U133" t="str">
        <f t="shared" si="23"/>
        <v>Gen 1</v>
      </c>
    </row>
    <row r="134" spans="1:21" x14ac:dyDescent="0.25">
      <c r="A134">
        <v>133</v>
      </c>
      <c r="B134" t="s">
        <v>162</v>
      </c>
      <c r="C134">
        <v>3</v>
      </c>
      <c r="D134">
        <v>65</v>
      </c>
      <c r="E134">
        <v>65</v>
      </c>
      <c r="F134" t="s">
        <v>36</v>
      </c>
      <c r="G134" t="s">
        <v>20</v>
      </c>
      <c r="H134">
        <v>55</v>
      </c>
      <c r="I134">
        <v>55</v>
      </c>
      <c r="J134">
        <v>50</v>
      </c>
      <c r="K134">
        <v>45</v>
      </c>
      <c r="L134">
        <v>65</v>
      </c>
      <c r="M134">
        <v>55</v>
      </c>
      <c r="N134">
        <f t="shared" si="16"/>
        <v>325</v>
      </c>
      <c r="O134" s="2">
        <f t="shared" si="17"/>
        <v>54.166666666666664</v>
      </c>
      <c r="P134" s="3">
        <f t="shared" si="18"/>
        <v>21.666666666666668</v>
      </c>
      <c r="Q134">
        <f t="shared" si="19"/>
        <v>1</v>
      </c>
      <c r="R134" t="str">
        <f t="shared" si="20"/>
        <v>Low</v>
      </c>
      <c r="S134" s="3">
        <f t="shared" si="21"/>
        <v>100</v>
      </c>
      <c r="T134">
        <f t="shared" si="22"/>
        <v>115</v>
      </c>
      <c r="U134" t="str">
        <f t="shared" si="23"/>
        <v>Gen 1</v>
      </c>
    </row>
    <row r="135" spans="1:21" x14ac:dyDescent="0.25">
      <c r="A135">
        <v>134</v>
      </c>
      <c r="B135" t="s">
        <v>163</v>
      </c>
      <c r="C135">
        <v>10</v>
      </c>
      <c r="D135">
        <v>290</v>
      </c>
      <c r="E135">
        <v>184</v>
      </c>
      <c r="F135" t="s">
        <v>25</v>
      </c>
      <c r="G135" t="s">
        <v>20</v>
      </c>
      <c r="H135">
        <v>130</v>
      </c>
      <c r="I135">
        <v>65</v>
      </c>
      <c r="J135">
        <v>60</v>
      </c>
      <c r="K135">
        <v>110</v>
      </c>
      <c r="L135">
        <v>95</v>
      </c>
      <c r="M135">
        <v>65</v>
      </c>
      <c r="N135">
        <f t="shared" si="16"/>
        <v>525</v>
      </c>
      <c r="O135" s="2">
        <f t="shared" si="17"/>
        <v>87.5</v>
      </c>
      <c r="P135" s="3">
        <f t="shared" si="18"/>
        <v>29</v>
      </c>
      <c r="Q135">
        <f t="shared" si="19"/>
        <v>1</v>
      </c>
      <c r="R135" t="str">
        <f t="shared" si="20"/>
        <v>Medium</v>
      </c>
      <c r="S135" s="3">
        <f t="shared" si="21"/>
        <v>175</v>
      </c>
      <c r="T135">
        <f t="shared" si="22"/>
        <v>155</v>
      </c>
      <c r="U135" t="str">
        <f t="shared" si="23"/>
        <v>Gen 1</v>
      </c>
    </row>
    <row r="136" spans="1:21" x14ac:dyDescent="0.25">
      <c r="A136">
        <v>135</v>
      </c>
      <c r="B136" t="s">
        <v>164</v>
      </c>
      <c r="C136">
        <v>8</v>
      </c>
      <c r="D136">
        <v>245</v>
      </c>
      <c r="E136">
        <v>184</v>
      </c>
      <c r="F136" t="s">
        <v>46</v>
      </c>
      <c r="G136" t="s">
        <v>20</v>
      </c>
      <c r="H136">
        <v>65</v>
      </c>
      <c r="I136">
        <v>65</v>
      </c>
      <c r="J136">
        <v>60</v>
      </c>
      <c r="K136">
        <v>110</v>
      </c>
      <c r="L136">
        <v>95</v>
      </c>
      <c r="M136">
        <v>130</v>
      </c>
      <c r="N136">
        <f t="shared" si="16"/>
        <v>525</v>
      </c>
      <c r="O136" s="2">
        <f t="shared" si="17"/>
        <v>87.5</v>
      </c>
      <c r="P136" s="3">
        <f t="shared" si="18"/>
        <v>30.625</v>
      </c>
      <c r="Q136">
        <f t="shared" si="19"/>
        <v>1</v>
      </c>
      <c r="R136" t="str">
        <f t="shared" si="20"/>
        <v>Medium</v>
      </c>
      <c r="S136" s="3">
        <f t="shared" si="21"/>
        <v>175</v>
      </c>
      <c r="T136">
        <f t="shared" si="22"/>
        <v>155</v>
      </c>
      <c r="U136" t="str">
        <f t="shared" si="23"/>
        <v>Gen 1</v>
      </c>
    </row>
    <row r="137" spans="1:21" x14ac:dyDescent="0.25">
      <c r="A137">
        <v>136</v>
      </c>
      <c r="B137" t="s">
        <v>165</v>
      </c>
      <c r="C137">
        <v>9</v>
      </c>
      <c r="D137">
        <v>250</v>
      </c>
      <c r="E137">
        <v>184</v>
      </c>
      <c r="F137" t="s">
        <v>19</v>
      </c>
      <c r="G137" t="s">
        <v>20</v>
      </c>
      <c r="H137">
        <v>65</v>
      </c>
      <c r="I137">
        <v>130</v>
      </c>
      <c r="J137">
        <v>60</v>
      </c>
      <c r="K137">
        <v>95</v>
      </c>
      <c r="L137">
        <v>110</v>
      </c>
      <c r="M137">
        <v>65</v>
      </c>
      <c r="N137">
        <f t="shared" si="16"/>
        <v>525</v>
      </c>
      <c r="O137" s="2">
        <f t="shared" si="17"/>
        <v>87.5</v>
      </c>
      <c r="P137" s="3">
        <f t="shared" si="18"/>
        <v>27.777777777777779</v>
      </c>
      <c r="Q137">
        <f t="shared" si="19"/>
        <v>1</v>
      </c>
      <c r="R137" t="str">
        <f t="shared" si="20"/>
        <v>Medium</v>
      </c>
      <c r="S137" s="3">
        <f t="shared" si="21"/>
        <v>225</v>
      </c>
      <c r="T137">
        <f t="shared" si="22"/>
        <v>170</v>
      </c>
      <c r="U137" t="str">
        <f t="shared" si="23"/>
        <v>Gen 1</v>
      </c>
    </row>
    <row r="138" spans="1:21" x14ac:dyDescent="0.25">
      <c r="A138">
        <v>137</v>
      </c>
      <c r="B138" t="s">
        <v>166</v>
      </c>
      <c r="C138">
        <v>8</v>
      </c>
      <c r="D138">
        <v>365</v>
      </c>
      <c r="E138">
        <v>79</v>
      </c>
      <c r="F138" t="s">
        <v>36</v>
      </c>
      <c r="G138" t="s">
        <v>20</v>
      </c>
      <c r="H138">
        <v>65</v>
      </c>
      <c r="I138">
        <v>60</v>
      </c>
      <c r="J138">
        <v>70</v>
      </c>
      <c r="K138">
        <v>85</v>
      </c>
      <c r="L138">
        <v>75</v>
      </c>
      <c r="M138">
        <v>40</v>
      </c>
      <c r="N138">
        <f t="shared" si="16"/>
        <v>395</v>
      </c>
      <c r="O138" s="2">
        <f t="shared" si="17"/>
        <v>65.833333333333329</v>
      </c>
      <c r="P138" s="3">
        <f t="shared" si="18"/>
        <v>45.625</v>
      </c>
      <c r="Q138">
        <f t="shared" si="19"/>
        <v>1</v>
      </c>
      <c r="R138" t="str">
        <f t="shared" si="20"/>
        <v>Low</v>
      </c>
      <c r="S138" s="3">
        <f t="shared" si="21"/>
        <v>145</v>
      </c>
      <c r="T138">
        <f t="shared" si="22"/>
        <v>145</v>
      </c>
      <c r="U138" t="str">
        <f t="shared" si="23"/>
        <v>Gen 1</v>
      </c>
    </row>
    <row r="139" spans="1:21" x14ac:dyDescent="0.25">
      <c r="A139">
        <v>138</v>
      </c>
      <c r="B139" t="s">
        <v>167</v>
      </c>
      <c r="C139">
        <v>4</v>
      </c>
      <c r="D139">
        <v>75</v>
      </c>
      <c r="E139">
        <v>71</v>
      </c>
      <c r="F139" t="s">
        <v>100</v>
      </c>
      <c r="G139" t="s">
        <v>25</v>
      </c>
      <c r="H139">
        <v>35</v>
      </c>
      <c r="I139">
        <v>40</v>
      </c>
      <c r="J139">
        <v>100</v>
      </c>
      <c r="K139">
        <v>90</v>
      </c>
      <c r="L139">
        <v>55</v>
      </c>
      <c r="M139">
        <v>35</v>
      </c>
      <c r="N139">
        <f t="shared" si="16"/>
        <v>355</v>
      </c>
      <c r="O139" s="2">
        <f t="shared" si="17"/>
        <v>59.166666666666664</v>
      </c>
      <c r="P139" s="3">
        <f t="shared" si="18"/>
        <v>18.75</v>
      </c>
      <c r="Q139">
        <f t="shared" si="19"/>
        <v>2</v>
      </c>
      <c r="R139" t="str">
        <f t="shared" si="20"/>
        <v>Low</v>
      </c>
      <c r="S139" s="3">
        <f t="shared" si="21"/>
        <v>130</v>
      </c>
      <c r="T139">
        <f t="shared" si="22"/>
        <v>155</v>
      </c>
      <c r="U139" t="str">
        <f t="shared" si="23"/>
        <v>Gen 1</v>
      </c>
    </row>
    <row r="140" spans="1:21" x14ac:dyDescent="0.25">
      <c r="A140">
        <v>139</v>
      </c>
      <c r="B140" t="s">
        <v>168</v>
      </c>
      <c r="C140">
        <v>10</v>
      </c>
      <c r="D140">
        <v>350</v>
      </c>
      <c r="E140">
        <v>173</v>
      </c>
      <c r="F140" t="s">
        <v>100</v>
      </c>
      <c r="G140" t="s">
        <v>25</v>
      </c>
      <c r="H140">
        <v>70</v>
      </c>
      <c r="I140">
        <v>60</v>
      </c>
      <c r="J140">
        <v>125</v>
      </c>
      <c r="K140">
        <v>115</v>
      </c>
      <c r="L140">
        <v>70</v>
      </c>
      <c r="M140">
        <v>55</v>
      </c>
      <c r="N140">
        <f t="shared" si="16"/>
        <v>495</v>
      </c>
      <c r="O140" s="2">
        <f t="shared" si="17"/>
        <v>82.5</v>
      </c>
      <c r="P140" s="3">
        <f t="shared" si="18"/>
        <v>35</v>
      </c>
      <c r="Q140">
        <f t="shared" si="19"/>
        <v>2</v>
      </c>
      <c r="R140" t="str">
        <f t="shared" si="20"/>
        <v>Medium</v>
      </c>
      <c r="S140" s="3">
        <f t="shared" si="21"/>
        <v>175</v>
      </c>
      <c r="T140">
        <f t="shared" si="22"/>
        <v>195</v>
      </c>
      <c r="U140" t="str">
        <f t="shared" si="23"/>
        <v>Gen 1</v>
      </c>
    </row>
    <row r="141" spans="1:21" x14ac:dyDescent="0.25">
      <c r="A141">
        <v>140</v>
      </c>
      <c r="B141" t="s">
        <v>169</v>
      </c>
      <c r="C141">
        <v>5</v>
      </c>
      <c r="D141">
        <v>115</v>
      </c>
      <c r="E141">
        <v>71</v>
      </c>
      <c r="F141" t="s">
        <v>100</v>
      </c>
      <c r="G141" t="s">
        <v>25</v>
      </c>
      <c r="H141">
        <v>30</v>
      </c>
      <c r="I141">
        <v>80</v>
      </c>
      <c r="J141">
        <v>90</v>
      </c>
      <c r="K141">
        <v>55</v>
      </c>
      <c r="L141">
        <v>45</v>
      </c>
      <c r="M141">
        <v>55</v>
      </c>
      <c r="N141">
        <f t="shared" si="16"/>
        <v>355</v>
      </c>
      <c r="O141" s="2">
        <f t="shared" si="17"/>
        <v>59.166666666666664</v>
      </c>
      <c r="P141" s="3">
        <f t="shared" si="18"/>
        <v>23</v>
      </c>
      <c r="Q141">
        <f t="shared" si="19"/>
        <v>2</v>
      </c>
      <c r="R141" t="str">
        <f t="shared" si="20"/>
        <v>Low</v>
      </c>
      <c r="S141" s="3">
        <f t="shared" si="21"/>
        <v>135</v>
      </c>
      <c r="T141">
        <f t="shared" si="22"/>
        <v>135</v>
      </c>
      <c r="U141" t="str">
        <f t="shared" si="23"/>
        <v>Gen 1</v>
      </c>
    </row>
    <row r="142" spans="1:21" x14ac:dyDescent="0.25">
      <c r="A142">
        <v>141</v>
      </c>
      <c r="B142" t="s">
        <v>170</v>
      </c>
      <c r="C142">
        <v>13</v>
      </c>
      <c r="D142">
        <v>405</v>
      </c>
      <c r="E142">
        <v>173</v>
      </c>
      <c r="F142" t="s">
        <v>100</v>
      </c>
      <c r="G142" t="s">
        <v>25</v>
      </c>
      <c r="H142">
        <v>60</v>
      </c>
      <c r="I142">
        <v>115</v>
      </c>
      <c r="J142">
        <v>105</v>
      </c>
      <c r="K142">
        <v>65</v>
      </c>
      <c r="L142">
        <v>70</v>
      </c>
      <c r="M142">
        <v>80</v>
      </c>
      <c r="N142">
        <f t="shared" si="16"/>
        <v>495</v>
      </c>
      <c r="O142" s="2">
        <f t="shared" si="17"/>
        <v>82.5</v>
      </c>
      <c r="P142" s="3">
        <f t="shared" si="18"/>
        <v>31.153846153846153</v>
      </c>
      <c r="Q142">
        <f t="shared" si="19"/>
        <v>2</v>
      </c>
      <c r="R142" t="str">
        <f t="shared" si="20"/>
        <v>Medium</v>
      </c>
      <c r="S142" s="3">
        <f t="shared" si="21"/>
        <v>180</v>
      </c>
      <c r="T142">
        <f t="shared" si="22"/>
        <v>175</v>
      </c>
      <c r="U142" t="str">
        <f t="shared" si="23"/>
        <v>Gen 1</v>
      </c>
    </row>
    <row r="143" spans="1:21" x14ac:dyDescent="0.25">
      <c r="A143">
        <v>142</v>
      </c>
      <c r="B143" t="s">
        <v>171</v>
      </c>
      <c r="C143">
        <v>18</v>
      </c>
      <c r="D143">
        <v>590</v>
      </c>
      <c r="E143">
        <v>180</v>
      </c>
      <c r="F143" t="s">
        <v>100</v>
      </c>
      <c r="G143" t="s">
        <v>23</v>
      </c>
      <c r="H143">
        <v>80</v>
      </c>
      <c r="I143">
        <v>105</v>
      </c>
      <c r="J143">
        <v>65</v>
      </c>
      <c r="K143">
        <v>60</v>
      </c>
      <c r="L143">
        <v>75</v>
      </c>
      <c r="M143">
        <v>130</v>
      </c>
      <c r="N143">
        <f t="shared" si="16"/>
        <v>515</v>
      </c>
      <c r="O143" s="2">
        <f t="shared" si="17"/>
        <v>85.833333333333329</v>
      </c>
      <c r="P143" s="3">
        <f t="shared" si="18"/>
        <v>32.777777777777779</v>
      </c>
      <c r="Q143">
        <f t="shared" si="19"/>
        <v>2</v>
      </c>
      <c r="R143" t="str">
        <f t="shared" si="20"/>
        <v>Medium</v>
      </c>
      <c r="S143" s="3">
        <f t="shared" si="21"/>
        <v>165</v>
      </c>
      <c r="T143">
        <f t="shared" si="22"/>
        <v>140</v>
      </c>
      <c r="U143" t="str">
        <f t="shared" si="23"/>
        <v>Gen 1</v>
      </c>
    </row>
    <row r="144" spans="1:21" x14ac:dyDescent="0.25">
      <c r="A144">
        <v>143</v>
      </c>
      <c r="B144" t="s">
        <v>172</v>
      </c>
      <c r="C144">
        <v>21</v>
      </c>
      <c r="D144">
        <v>4600</v>
      </c>
      <c r="E144">
        <v>189</v>
      </c>
      <c r="F144" t="s">
        <v>36</v>
      </c>
      <c r="G144" t="s">
        <v>20</v>
      </c>
      <c r="H144">
        <v>160</v>
      </c>
      <c r="I144">
        <v>110</v>
      </c>
      <c r="J144">
        <v>65</v>
      </c>
      <c r="K144">
        <v>65</v>
      </c>
      <c r="L144">
        <v>110</v>
      </c>
      <c r="M144">
        <v>30</v>
      </c>
      <c r="N144">
        <f t="shared" si="16"/>
        <v>540</v>
      </c>
      <c r="O144" s="2">
        <f t="shared" si="17"/>
        <v>90</v>
      </c>
      <c r="P144" s="3">
        <f t="shared" si="18"/>
        <v>219.04761904761904</v>
      </c>
      <c r="Q144">
        <f t="shared" si="19"/>
        <v>1</v>
      </c>
      <c r="R144" t="str">
        <f t="shared" si="20"/>
        <v>Medium</v>
      </c>
      <c r="S144" s="3">
        <f t="shared" si="21"/>
        <v>175</v>
      </c>
      <c r="T144">
        <f t="shared" si="22"/>
        <v>175</v>
      </c>
      <c r="U144" t="str">
        <f t="shared" si="23"/>
        <v>Gen 1</v>
      </c>
    </row>
    <row r="145" spans="1:21" x14ac:dyDescent="0.25">
      <c r="A145">
        <v>144</v>
      </c>
      <c r="B145" t="s">
        <v>173</v>
      </c>
      <c r="C145">
        <v>17</v>
      </c>
      <c r="D145">
        <v>554</v>
      </c>
      <c r="E145">
        <v>261</v>
      </c>
      <c r="F145" t="s">
        <v>115</v>
      </c>
      <c r="G145" t="s">
        <v>23</v>
      </c>
      <c r="H145">
        <v>90</v>
      </c>
      <c r="I145">
        <v>85</v>
      </c>
      <c r="J145">
        <v>100</v>
      </c>
      <c r="K145">
        <v>95</v>
      </c>
      <c r="L145">
        <v>125</v>
      </c>
      <c r="M145">
        <v>85</v>
      </c>
      <c r="N145">
        <f t="shared" si="16"/>
        <v>580</v>
      </c>
      <c r="O145" s="2">
        <f t="shared" si="17"/>
        <v>96.666666666666671</v>
      </c>
      <c r="P145" s="3">
        <f t="shared" si="18"/>
        <v>32.588235294117645</v>
      </c>
      <c r="Q145">
        <f t="shared" si="19"/>
        <v>2</v>
      </c>
      <c r="R145" t="str">
        <f t="shared" si="20"/>
        <v>Legendary</v>
      </c>
      <c r="S145" s="3">
        <f t="shared" si="21"/>
        <v>180</v>
      </c>
      <c r="T145">
        <f t="shared" si="22"/>
        <v>225</v>
      </c>
      <c r="U145" t="str">
        <f t="shared" si="23"/>
        <v>Gen 1</v>
      </c>
    </row>
    <row r="146" spans="1:21" x14ac:dyDescent="0.25">
      <c r="A146">
        <v>145</v>
      </c>
      <c r="B146" t="s">
        <v>174</v>
      </c>
      <c r="C146">
        <v>16</v>
      </c>
      <c r="D146">
        <v>526</v>
      </c>
      <c r="E146">
        <v>261</v>
      </c>
      <c r="F146" t="s">
        <v>46</v>
      </c>
      <c r="G146" t="s">
        <v>23</v>
      </c>
      <c r="H146">
        <v>90</v>
      </c>
      <c r="I146">
        <v>90</v>
      </c>
      <c r="J146">
        <v>85</v>
      </c>
      <c r="K146">
        <v>125</v>
      </c>
      <c r="L146">
        <v>90</v>
      </c>
      <c r="M146">
        <v>100</v>
      </c>
      <c r="N146">
        <f t="shared" si="16"/>
        <v>580</v>
      </c>
      <c r="O146" s="2">
        <f t="shared" si="17"/>
        <v>96.666666666666671</v>
      </c>
      <c r="P146" s="3">
        <f t="shared" si="18"/>
        <v>32.875</v>
      </c>
      <c r="Q146">
        <f t="shared" si="19"/>
        <v>2</v>
      </c>
      <c r="R146" t="str">
        <f t="shared" si="20"/>
        <v>Legendary</v>
      </c>
      <c r="S146" s="3">
        <f t="shared" si="21"/>
        <v>215</v>
      </c>
      <c r="T146">
        <f t="shared" si="22"/>
        <v>175</v>
      </c>
      <c r="U146" t="str">
        <f t="shared" si="23"/>
        <v>Gen 1</v>
      </c>
    </row>
    <row r="147" spans="1:21" x14ac:dyDescent="0.25">
      <c r="A147">
        <v>146</v>
      </c>
      <c r="B147" t="s">
        <v>175</v>
      </c>
      <c r="C147">
        <v>20</v>
      </c>
      <c r="D147">
        <v>600</v>
      </c>
      <c r="E147">
        <v>261</v>
      </c>
      <c r="F147" t="s">
        <v>19</v>
      </c>
      <c r="G147" t="s">
        <v>23</v>
      </c>
      <c r="H147">
        <v>90</v>
      </c>
      <c r="I147">
        <v>100</v>
      </c>
      <c r="J147">
        <v>90</v>
      </c>
      <c r="K147">
        <v>125</v>
      </c>
      <c r="L147">
        <v>85</v>
      </c>
      <c r="M147">
        <v>90</v>
      </c>
      <c r="N147">
        <f t="shared" si="16"/>
        <v>580</v>
      </c>
      <c r="O147" s="2">
        <f t="shared" si="17"/>
        <v>96.666666666666671</v>
      </c>
      <c r="P147" s="3">
        <f t="shared" si="18"/>
        <v>30</v>
      </c>
      <c r="Q147">
        <f t="shared" si="19"/>
        <v>2</v>
      </c>
      <c r="R147" t="str">
        <f t="shared" si="20"/>
        <v>Legendary</v>
      </c>
      <c r="S147" s="3">
        <f t="shared" si="21"/>
        <v>225</v>
      </c>
      <c r="T147">
        <f t="shared" si="22"/>
        <v>175</v>
      </c>
      <c r="U147" t="str">
        <f t="shared" si="23"/>
        <v>Gen 1</v>
      </c>
    </row>
    <row r="148" spans="1:21" x14ac:dyDescent="0.25">
      <c r="A148">
        <v>147</v>
      </c>
      <c r="B148" t="s">
        <v>176</v>
      </c>
      <c r="C148">
        <v>18</v>
      </c>
      <c r="D148">
        <v>33</v>
      </c>
      <c r="E148">
        <v>60</v>
      </c>
      <c r="F148" t="s">
        <v>177</v>
      </c>
      <c r="G148" t="s">
        <v>20</v>
      </c>
      <c r="H148">
        <v>41</v>
      </c>
      <c r="I148">
        <v>64</v>
      </c>
      <c r="J148">
        <v>45</v>
      </c>
      <c r="K148">
        <v>50</v>
      </c>
      <c r="L148">
        <v>50</v>
      </c>
      <c r="M148">
        <v>50</v>
      </c>
      <c r="N148">
        <f t="shared" si="16"/>
        <v>300</v>
      </c>
      <c r="O148" s="2">
        <f t="shared" si="17"/>
        <v>50</v>
      </c>
      <c r="P148" s="3">
        <f t="shared" si="18"/>
        <v>1.8333333333333333</v>
      </c>
      <c r="Q148">
        <f t="shared" si="19"/>
        <v>1</v>
      </c>
      <c r="R148" t="str">
        <f t="shared" si="20"/>
        <v>Low</v>
      </c>
      <c r="S148" s="3">
        <f t="shared" si="21"/>
        <v>114</v>
      </c>
      <c r="T148">
        <f t="shared" si="22"/>
        <v>95</v>
      </c>
      <c r="U148" t="str">
        <f t="shared" si="23"/>
        <v>Gen 1</v>
      </c>
    </row>
    <row r="149" spans="1:21" x14ac:dyDescent="0.25">
      <c r="A149">
        <v>148</v>
      </c>
      <c r="B149" t="s">
        <v>178</v>
      </c>
      <c r="C149">
        <v>40</v>
      </c>
      <c r="D149">
        <v>165</v>
      </c>
      <c r="E149">
        <v>147</v>
      </c>
      <c r="F149" t="s">
        <v>177</v>
      </c>
      <c r="G149" t="s">
        <v>20</v>
      </c>
      <c r="H149">
        <v>61</v>
      </c>
      <c r="I149">
        <v>84</v>
      </c>
      <c r="J149">
        <v>65</v>
      </c>
      <c r="K149">
        <v>70</v>
      </c>
      <c r="L149">
        <v>70</v>
      </c>
      <c r="M149">
        <v>70</v>
      </c>
      <c r="N149">
        <f t="shared" si="16"/>
        <v>420</v>
      </c>
      <c r="O149" s="2">
        <f t="shared" si="17"/>
        <v>70</v>
      </c>
      <c r="P149" s="3">
        <f t="shared" si="18"/>
        <v>4.125</v>
      </c>
      <c r="Q149">
        <f t="shared" si="19"/>
        <v>1</v>
      </c>
      <c r="R149" t="str">
        <f t="shared" si="20"/>
        <v>Medium</v>
      </c>
      <c r="S149" s="3">
        <f t="shared" si="21"/>
        <v>154</v>
      </c>
      <c r="T149">
        <f t="shared" si="22"/>
        <v>135</v>
      </c>
      <c r="U149" t="str">
        <f t="shared" si="23"/>
        <v>Gen 1</v>
      </c>
    </row>
    <row r="150" spans="1:21" x14ac:dyDescent="0.25">
      <c r="A150">
        <v>149</v>
      </c>
      <c r="B150" t="s">
        <v>179</v>
      </c>
      <c r="C150">
        <v>22</v>
      </c>
      <c r="D150">
        <v>2100</v>
      </c>
      <c r="E150">
        <v>270</v>
      </c>
      <c r="F150" t="s">
        <v>177</v>
      </c>
      <c r="G150" t="s">
        <v>23</v>
      </c>
      <c r="H150">
        <v>91</v>
      </c>
      <c r="I150">
        <v>134</v>
      </c>
      <c r="J150">
        <v>95</v>
      </c>
      <c r="K150">
        <v>100</v>
      </c>
      <c r="L150">
        <v>100</v>
      </c>
      <c r="M150">
        <v>80</v>
      </c>
      <c r="N150">
        <f t="shared" si="16"/>
        <v>600</v>
      </c>
      <c r="O150" s="2">
        <f t="shared" si="17"/>
        <v>100</v>
      </c>
      <c r="P150" s="3">
        <f t="shared" si="18"/>
        <v>95.454545454545453</v>
      </c>
      <c r="Q150">
        <f t="shared" si="19"/>
        <v>2</v>
      </c>
      <c r="R150" t="str">
        <f t="shared" si="20"/>
        <v>Legendary</v>
      </c>
      <c r="S150" s="3">
        <f t="shared" si="21"/>
        <v>234</v>
      </c>
      <c r="T150">
        <f t="shared" si="22"/>
        <v>195</v>
      </c>
      <c r="U150" t="str">
        <f t="shared" si="23"/>
        <v>Gen 1</v>
      </c>
    </row>
    <row r="151" spans="1:21" x14ac:dyDescent="0.25">
      <c r="A151">
        <v>150</v>
      </c>
      <c r="B151" t="s">
        <v>180</v>
      </c>
      <c r="C151">
        <v>20</v>
      </c>
      <c r="D151">
        <v>1220</v>
      </c>
      <c r="E151">
        <v>306</v>
      </c>
      <c r="F151" t="s">
        <v>88</v>
      </c>
      <c r="G151" t="s">
        <v>20</v>
      </c>
      <c r="H151">
        <v>106</v>
      </c>
      <c r="I151">
        <v>110</v>
      </c>
      <c r="J151">
        <v>90</v>
      </c>
      <c r="K151">
        <v>154</v>
      </c>
      <c r="L151">
        <v>90</v>
      </c>
      <c r="M151">
        <v>130</v>
      </c>
      <c r="N151">
        <f t="shared" si="16"/>
        <v>680</v>
      </c>
      <c r="O151" s="2">
        <f t="shared" si="17"/>
        <v>113.33333333333333</v>
      </c>
      <c r="P151" s="3">
        <f t="shared" si="18"/>
        <v>61</v>
      </c>
      <c r="Q151">
        <f t="shared" si="19"/>
        <v>1</v>
      </c>
      <c r="R151" t="str">
        <f t="shared" si="20"/>
        <v>Legendary</v>
      </c>
      <c r="S151" s="3">
        <f t="shared" si="21"/>
        <v>264</v>
      </c>
      <c r="T151">
        <f t="shared" si="22"/>
        <v>180</v>
      </c>
      <c r="U151" t="str">
        <f t="shared" si="23"/>
        <v>Gen 1</v>
      </c>
    </row>
    <row r="152" spans="1:21" x14ac:dyDescent="0.25">
      <c r="A152">
        <v>151</v>
      </c>
      <c r="B152" t="s">
        <v>181</v>
      </c>
      <c r="C152">
        <v>4</v>
      </c>
      <c r="D152">
        <v>40</v>
      </c>
      <c r="E152">
        <v>270</v>
      </c>
      <c r="F152" t="s">
        <v>88</v>
      </c>
      <c r="G152" t="s">
        <v>20</v>
      </c>
      <c r="H152">
        <v>100</v>
      </c>
      <c r="I152">
        <v>100</v>
      </c>
      <c r="J152">
        <v>100</v>
      </c>
      <c r="K152">
        <v>100</v>
      </c>
      <c r="L152">
        <v>100</v>
      </c>
      <c r="M152">
        <v>100</v>
      </c>
      <c r="N152">
        <f t="shared" si="16"/>
        <v>600</v>
      </c>
      <c r="O152" s="2">
        <f t="shared" si="17"/>
        <v>100</v>
      </c>
      <c r="P152" s="3">
        <f t="shared" si="18"/>
        <v>10</v>
      </c>
      <c r="Q152">
        <f t="shared" si="19"/>
        <v>1</v>
      </c>
      <c r="R152" t="str">
        <f t="shared" si="20"/>
        <v>Legendary</v>
      </c>
      <c r="S152" s="3">
        <f t="shared" si="21"/>
        <v>200</v>
      </c>
      <c r="T152">
        <f t="shared" si="22"/>
        <v>200</v>
      </c>
      <c r="U152" t="str">
        <f t="shared" si="23"/>
        <v>Gen 2</v>
      </c>
    </row>
    <row r="153" spans="1:21" x14ac:dyDescent="0.25">
      <c r="A153">
        <v>152</v>
      </c>
      <c r="B153" t="s">
        <v>182</v>
      </c>
      <c r="C153">
        <v>9</v>
      </c>
      <c r="D153">
        <v>64</v>
      </c>
      <c r="E153">
        <v>64</v>
      </c>
      <c r="F153" t="s">
        <v>14</v>
      </c>
      <c r="G153" t="s">
        <v>20</v>
      </c>
      <c r="H153">
        <v>45</v>
      </c>
      <c r="I153">
        <v>49</v>
      </c>
      <c r="J153">
        <v>65</v>
      </c>
      <c r="K153">
        <v>49</v>
      </c>
      <c r="L153">
        <v>65</v>
      </c>
      <c r="M153">
        <v>45</v>
      </c>
      <c r="N153">
        <f t="shared" si="16"/>
        <v>318</v>
      </c>
      <c r="O153" s="2">
        <f t="shared" si="17"/>
        <v>53</v>
      </c>
      <c r="P153" s="3">
        <f t="shared" si="18"/>
        <v>7.1111111111111107</v>
      </c>
      <c r="Q153">
        <f t="shared" si="19"/>
        <v>1</v>
      </c>
      <c r="R153" t="str">
        <f t="shared" si="20"/>
        <v>Low</v>
      </c>
      <c r="S153" s="3">
        <f t="shared" si="21"/>
        <v>98</v>
      </c>
      <c r="T153">
        <f t="shared" si="22"/>
        <v>130</v>
      </c>
      <c r="U153" t="str">
        <f t="shared" si="23"/>
        <v>Gen 2</v>
      </c>
    </row>
    <row r="154" spans="1:21" x14ac:dyDescent="0.25">
      <c r="A154">
        <v>153</v>
      </c>
      <c r="B154" t="s">
        <v>183</v>
      </c>
      <c r="C154">
        <v>12</v>
      </c>
      <c r="D154">
        <v>158</v>
      </c>
      <c r="E154">
        <v>142</v>
      </c>
      <c r="F154" t="s">
        <v>14</v>
      </c>
      <c r="G154" t="s">
        <v>20</v>
      </c>
      <c r="H154">
        <v>60</v>
      </c>
      <c r="I154">
        <v>62</v>
      </c>
      <c r="J154">
        <v>80</v>
      </c>
      <c r="K154">
        <v>63</v>
      </c>
      <c r="L154">
        <v>80</v>
      </c>
      <c r="M154">
        <v>60</v>
      </c>
      <c r="N154">
        <f t="shared" si="16"/>
        <v>405</v>
      </c>
      <c r="O154" s="2">
        <f t="shared" si="17"/>
        <v>67.5</v>
      </c>
      <c r="P154" s="3">
        <f t="shared" si="18"/>
        <v>13.166666666666666</v>
      </c>
      <c r="Q154">
        <f t="shared" si="19"/>
        <v>1</v>
      </c>
      <c r="R154" t="str">
        <f t="shared" si="20"/>
        <v>Medium</v>
      </c>
      <c r="S154" s="3">
        <f t="shared" si="21"/>
        <v>125</v>
      </c>
      <c r="T154">
        <f t="shared" si="22"/>
        <v>160</v>
      </c>
      <c r="U154" t="str">
        <f t="shared" si="23"/>
        <v>Gen 2</v>
      </c>
    </row>
    <row r="155" spans="1:21" x14ac:dyDescent="0.25">
      <c r="A155">
        <v>154</v>
      </c>
      <c r="B155" t="s">
        <v>184</v>
      </c>
      <c r="C155">
        <v>18</v>
      </c>
      <c r="D155">
        <v>1005</v>
      </c>
      <c r="E155">
        <v>236</v>
      </c>
      <c r="F155" t="s">
        <v>14</v>
      </c>
      <c r="G155" t="s">
        <v>20</v>
      </c>
      <c r="H155">
        <v>80</v>
      </c>
      <c r="I155">
        <v>82</v>
      </c>
      <c r="J155">
        <v>100</v>
      </c>
      <c r="K155">
        <v>83</v>
      </c>
      <c r="L155">
        <v>100</v>
      </c>
      <c r="M155">
        <v>80</v>
      </c>
      <c r="N155">
        <f t="shared" si="16"/>
        <v>525</v>
      </c>
      <c r="O155" s="2">
        <f t="shared" si="17"/>
        <v>87.5</v>
      </c>
      <c r="P155" s="3">
        <f t="shared" si="18"/>
        <v>55.833333333333336</v>
      </c>
      <c r="Q155">
        <f t="shared" si="19"/>
        <v>1</v>
      </c>
      <c r="R155" t="str">
        <f t="shared" si="20"/>
        <v>HIGH</v>
      </c>
      <c r="S155" s="3">
        <f t="shared" si="21"/>
        <v>165</v>
      </c>
      <c r="T155">
        <f t="shared" si="22"/>
        <v>200</v>
      </c>
      <c r="U155" t="str">
        <f t="shared" si="23"/>
        <v>Gen 2</v>
      </c>
    </row>
    <row r="156" spans="1:21" x14ac:dyDescent="0.25">
      <c r="A156">
        <v>155</v>
      </c>
      <c r="B156" t="s">
        <v>185</v>
      </c>
      <c r="C156">
        <v>5</v>
      </c>
      <c r="D156">
        <v>79</v>
      </c>
      <c r="E156">
        <v>62</v>
      </c>
      <c r="F156" t="s">
        <v>19</v>
      </c>
      <c r="G156" t="s">
        <v>20</v>
      </c>
      <c r="H156">
        <v>39</v>
      </c>
      <c r="I156">
        <v>52</v>
      </c>
      <c r="J156">
        <v>43</v>
      </c>
      <c r="K156">
        <v>60</v>
      </c>
      <c r="L156">
        <v>50</v>
      </c>
      <c r="M156">
        <v>65</v>
      </c>
      <c r="N156">
        <f t="shared" si="16"/>
        <v>309</v>
      </c>
      <c r="O156" s="2">
        <f t="shared" si="17"/>
        <v>51.5</v>
      </c>
      <c r="P156" s="3">
        <f t="shared" si="18"/>
        <v>15.8</v>
      </c>
      <c r="Q156">
        <f t="shared" si="19"/>
        <v>1</v>
      </c>
      <c r="R156" t="str">
        <f t="shared" si="20"/>
        <v>Low</v>
      </c>
      <c r="S156" s="3">
        <f t="shared" si="21"/>
        <v>112</v>
      </c>
      <c r="T156">
        <f t="shared" si="22"/>
        <v>93</v>
      </c>
      <c r="U156" t="str">
        <f t="shared" si="23"/>
        <v>Gen 2</v>
      </c>
    </row>
    <row r="157" spans="1:21" x14ac:dyDescent="0.25">
      <c r="A157">
        <v>156</v>
      </c>
      <c r="B157" t="s">
        <v>186</v>
      </c>
      <c r="C157">
        <v>9</v>
      </c>
      <c r="D157">
        <v>190</v>
      </c>
      <c r="E157">
        <v>142</v>
      </c>
      <c r="F157" t="s">
        <v>19</v>
      </c>
      <c r="G157" t="s">
        <v>20</v>
      </c>
      <c r="H157">
        <v>58</v>
      </c>
      <c r="I157">
        <v>64</v>
      </c>
      <c r="J157">
        <v>58</v>
      </c>
      <c r="K157">
        <v>80</v>
      </c>
      <c r="L157">
        <v>65</v>
      </c>
      <c r="M157">
        <v>80</v>
      </c>
      <c r="N157">
        <f t="shared" si="16"/>
        <v>405</v>
      </c>
      <c r="O157" s="2">
        <f t="shared" si="17"/>
        <v>67.5</v>
      </c>
      <c r="P157" s="3">
        <f t="shared" si="18"/>
        <v>21.111111111111111</v>
      </c>
      <c r="Q157">
        <f t="shared" si="19"/>
        <v>1</v>
      </c>
      <c r="R157" t="str">
        <f t="shared" si="20"/>
        <v>Medium</v>
      </c>
      <c r="S157" s="3">
        <f t="shared" si="21"/>
        <v>144</v>
      </c>
      <c r="T157">
        <f t="shared" si="22"/>
        <v>123</v>
      </c>
      <c r="U157" t="str">
        <f t="shared" si="23"/>
        <v>Gen 2</v>
      </c>
    </row>
    <row r="158" spans="1:21" x14ac:dyDescent="0.25">
      <c r="A158">
        <v>157</v>
      </c>
      <c r="B158" t="s">
        <v>187</v>
      </c>
      <c r="C158">
        <v>17</v>
      </c>
      <c r="D158">
        <v>795</v>
      </c>
      <c r="E158">
        <v>240</v>
      </c>
      <c r="F158" t="s">
        <v>19</v>
      </c>
      <c r="G158" t="s">
        <v>20</v>
      </c>
      <c r="H158">
        <v>78</v>
      </c>
      <c r="I158">
        <v>84</v>
      </c>
      <c r="J158">
        <v>78</v>
      </c>
      <c r="K158">
        <v>109</v>
      </c>
      <c r="L158">
        <v>85</v>
      </c>
      <c r="M158">
        <v>100</v>
      </c>
      <c r="N158">
        <f t="shared" si="16"/>
        <v>534</v>
      </c>
      <c r="O158" s="2">
        <f t="shared" si="17"/>
        <v>89</v>
      </c>
      <c r="P158" s="3">
        <f t="shared" si="18"/>
        <v>46.764705882352942</v>
      </c>
      <c r="Q158">
        <f t="shared" si="19"/>
        <v>1</v>
      </c>
      <c r="R158" t="str">
        <f t="shared" si="20"/>
        <v>HIGH</v>
      </c>
      <c r="S158" s="3">
        <f t="shared" si="21"/>
        <v>193</v>
      </c>
      <c r="T158">
        <f t="shared" si="22"/>
        <v>163</v>
      </c>
      <c r="U158" t="str">
        <f t="shared" si="23"/>
        <v>Gen 2</v>
      </c>
    </row>
    <row r="159" spans="1:21" x14ac:dyDescent="0.25">
      <c r="A159">
        <v>158</v>
      </c>
      <c r="B159" t="s">
        <v>188</v>
      </c>
      <c r="C159">
        <v>6</v>
      </c>
      <c r="D159">
        <v>95</v>
      </c>
      <c r="E159">
        <v>63</v>
      </c>
      <c r="F159" t="s">
        <v>25</v>
      </c>
      <c r="G159" t="s">
        <v>20</v>
      </c>
      <c r="H159">
        <v>50</v>
      </c>
      <c r="I159">
        <v>65</v>
      </c>
      <c r="J159">
        <v>64</v>
      </c>
      <c r="K159">
        <v>44</v>
      </c>
      <c r="L159">
        <v>48</v>
      </c>
      <c r="M159">
        <v>43</v>
      </c>
      <c r="N159">
        <f t="shared" si="16"/>
        <v>314</v>
      </c>
      <c r="O159" s="2">
        <f t="shared" si="17"/>
        <v>52.333333333333336</v>
      </c>
      <c r="P159" s="3">
        <f t="shared" si="18"/>
        <v>15.833333333333334</v>
      </c>
      <c r="Q159">
        <f t="shared" si="19"/>
        <v>1</v>
      </c>
      <c r="R159" t="str">
        <f t="shared" si="20"/>
        <v>Low</v>
      </c>
      <c r="S159" s="3">
        <f t="shared" si="21"/>
        <v>109</v>
      </c>
      <c r="T159">
        <f t="shared" si="22"/>
        <v>112</v>
      </c>
      <c r="U159" t="str">
        <f t="shared" si="23"/>
        <v>Gen 2</v>
      </c>
    </row>
    <row r="160" spans="1:21" x14ac:dyDescent="0.25">
      <c r="A160">
        <v>159</v>
      </c>
      <c r="B160" t="s">
        <v>189</v>
      </c>
      <c r="C160">
        <v>11</v>
      </c>
      <c r="D160">
        <v>250</v>
      </c>
      <c r="E160">
        <v>142</v>
      </c>
      <c r="F160" t="s">
        <v>25</v>
      </c>
      <c r="G160" t="s">
        <v>20</v>
      </c>
      <c r="H160">
        <v>65</v>
      </c>
      <c r="I160">
        <v>80</v>
      </c>
      <c r="J160">
        <v>80</v>
      </c>
      <c r="K160">
        <v>59</v>
      </c>
      <c r="L160">
        <v>63</v>
      </c>
      <c r="M160">
        <v>58</v>
      </c>
      <c r="N160">
        <f t="shared" si="16"/>
        <v>405</v>
      </c>
      <c r="O160" s="2">
        <f t="shared" si="17"/>
        <v>67.5</v>
      </c>
      <c r="P160" s="3">
        <f t="shared" si="18"/>
        <v>22.727272727272727</v>
      </c>
      <c r="Q160">
        <f t="shared" si="19"/>
        <v>1</v>
      </c>
      <c r="R160" t="str">
        <f t="shared" si="20"/>
        <v>Medium</v>
      </c>
      <c r="S160" s="3">
        <f t="shared" si="21"/>
        <v>139</v>
      </c>
      <c r="T160">
        <f t="shared" si="22"/>
        <v>143</v>
      </c>
      <c r="U160" t="str">
        <f t="shared" si="23"/>
        <v>Gen 2</v>
      </c>
    </row>
    <row r="161" spans="1:21" x14ac:dyDescent="0.25">
      <c r="A161">
        <v>160</v>
      </c>
      <c r="B161" t="s">
        <v>190</v>
      </c>
      <c r="C161">
        <v>23</v>
      </c>
      <c r="D161">
        <v>888</v>
      </c>
      <c r="E161">
        <v>239</v>
      </c>
      <c r="F161" t="s">
        <v>25</v>
      </c>
      <c r="G161" t="s">
        <v>20</v>
      </c>
      <c r="H161">
        <v>85</v>
      </c>
      <c r="I161">
        <v>105</v>
      </c>
      <c r="J161">
        <v>100</v>
      </c>
      <c r="K161">
        <v>79</v>
      </c>
      <c r="L161">
        <v>83</v>
      </c>
      <c r="M161">
        <v>78</v>
      </c>
      <c r="N161">
        <f t="shared" si="16"/>
        <v>530</v>
      </c>
      <c r="O161" s="2">
        <f t="shared" si="17"/>
        <v>88.333333333333329</v>
      </c>
      <c r="P161" s="3">
        <f t="shared" si="18"/>
        <v>38.608695652173914</v>
      </c>
      <c r="Q161">
        <f t="shared" si="19"/>
        <v>1</v>
      </c>
      <c r="R161" t="str">
        <f t="shared" si="20"/>
        <v>HIGH</v>
      </c>
      <c r="S161" s="3">
        <f t="shared" si="21"/>
        <v>184</v>
      </c>
      <c r="T161">
        <f t="shared" si="22"/>
        <v>183</v>
      </c>
      <c r="U161" t="str">
        <f t="shared" si="23"/>
        <v>Gen 2</v>
      </c>
    </row>
    <row r="162" spans="1:21" x14ac:dyDescent="0.25">
      <c r="A162">
        <v>161</v>
      </c>
      <c r="B162" t="s">
        <v>191</v>
      </c>
      <c r="C162">
        <v>8</v>
      </c>
      <c r="D162">
        <v>60</v>
      </c>
      <c r="E162">
        <v>43</v>
      </c>
      <c r="F162" t="s">
        <v>36</v>
      </c>
      <c r="G162" t="s">
        <v>20</v>
      </c>
      <c r="H162">
        <v>35</v>
      </c>
      <c r="I162">
        <v>46</v>
      </c>
      <c r="J162">
        <v>34</v>
      </c>
      <c r="K162">
        <v>35</v>
      </c>
      <c r="L162">
        <v>45</v>
      </c>
      <c r="M162">
        <v>20</v>
      </c>
      <c r="N162">
        <f t="shared" si="16"/>
        <v>215</v>
      </c>
      <c r="O162" s="2">
        <f t="shared" si="17"/>
        <v>35.833333333333336</v>
      </c>
      <c r="P162" s="3">
        <f t="shared" si="18"/>
        <v>7.5</v>
      </c>
      <c r="Q162">
        <f t="shared" si="19"/>
        <v>1</v>
      </c>
      <c r="R162" t="str">
        <f t="shared" si="20"/>
        <v>Low</v>
      </c>
      <c r="S162" s="3">
        <f t="shared" si="21"/>
        <v>81</v>
      </c>
      <c r="T162">
        <f t="shared" si="22"/>
        <v>79</v>
      </c>
      <c r="U162" t="str">
        <f t="shared" si="23"/>
        <v>Gen 2</v>
      </c>
    </row>
    <row r="163" spans="1:21" x14ac:dyDescent="0.25">
      <c r="A163">
        <v>162</v>
      </c>
      <c r="B163" t="s">
        <v>192</v>
      </c>
      <c r="C163">
        <v>18</v>
      </c>
      <c r="D163">
        <v>325</v>
      </c>
      <c r="E163">
        <v>145</v>
      </c>
      <c r="F163" t="s">
        <v>36</v>
      </c>
      <c r="G163" t="s">
        <v>20</v>
      </c>
      <c r="H163">
        <v>85</v>
      </c>
      <c r="I163">
        <v>76</v>
      </c>
      <c r="J163">
        <v>64</v>
      </c>
      <c r="K163">
        <v>45</v>
      </c>
      <c r="L163">
        <v>55</v>
      </c>
      <c r="M163">
        <v>90</v>
      </c>
      <c r="N163">
        <f t="shared" si="16"/>
        <v>415</v>
      </c>
      <c r="O163" s="2">
        <f t="shared" si="17"/>
        <v>69.166666666666671</v>
      </c>
      <c r="P163" s="3">
        <f t="shared" si="18"/>
        <v>18.055555555555557</v>
      </c>
      <c r="Q163">
        <f t="shared" si="19"/>
        <v>1</v>
      </c>
      <c r="R163" t="str">
        <f t="shared" si="20"/>
        <v>Medium</v>
      </c>
      <c r="S163" s="3">
        <f t="shared" si="21"/>
        <v>121</v>
      </c>
      <c r="T163">
        <f t="shared" si="22"/>
        <v>119</v>
      </c>
      <c r="U163" t="str">
        <f t="shared" si="23"/>
        <v>Gen 2</v>
      </c>
    </row>
    <row r="164" spans="1:21" x14ac:dyDescent="0.25">
      <c r="A164">
        <v>163</v>
      </c>
      <c r="B164" t="s">
        <v>193</v>
      </c>
      <c r="C164">
        <v>7</v>
      </c>
      <c r="D164">
        <v>212</v>
      </c>
      <c r="E164">
        <v>52</v>
      </c>
      <c r="F164" t="s">
        <v>36</v>
      </c>
      <c r="G164" t="s">
        <v>23</v>
      </c>
      <c r="H164">
        <v>60</v>
      </c>
      <c r="I164">
        <v>30</v>
      </c>
      <c r="J164">
        <v>30</v>
      </c>
      <c r="K164">
        <v>36</v>
      </c>
      <c r="L164">
        <v>56</v>
      </c>
      <c r="M164">
        <v>50</v>
      </c>
      <c r="N164">
        <f t="shared" si="16"/>
        <v>262</v>
      </c>
      <c r="O164" s="2">
        <f t="shared" si="17"/>
        <v>43.666666666666664</v>
      </c>
      <c r="P164" s="3">
        <f t="shared" si="18"/>
        <v>30.285714285714285</v>
      </c>
      <c r="Q164">
        <f t="shared" si="19"/>
        <v>2</v>
      </c>
      <c r="R164" t="str">
        <f t="shared" si="20"/>
        <v>Low</v>
      </c>
      <c r="S164" s="3">
        <f t="shared" si="21"/>
        <v>66</v>
      </c>
      <c r="T164">
        <f t="shared" si="22"/>
        <v>86</v>
      </c>
      <c r="U164" t="str">
        <f t="shared" si="23"/>
        <v>Gen 2</v>
      </c>
    </row>
    <row r="165" spans="1:21" x14ac:dyDescent="0.25">
      <c r="A165">
        <v>164</v>
      </c>
      <c r="B165" t="s">
        <v>194</v>
      </c>
      <c r="C165">
        <v>16</v>
      </c>
      <c r="D165">
        <v>408</v>
      </c>
      <c r="E165">
        <v>158</v>
      </c>
      <c r="F165" t="s">
        <v>36</v>
      </c>
      <c r="G165" t="s">
        <v>23</v>
      </c>
      <c r="H165">
        <v>100</v>
      </c>
      <c r="I165">
        <v>50</v>
      </c>
      <c r="J165">
        <v>50</v>
      </c>
      <c r="K165">
        <v>86</v>
      </c>
      <c r="L165">
        <v>96</v>
      </c>
      <c r="M165">
        <v>70</v>
      </c>
      <c r="N165">
        <f t="shared" si="16"/>
        <v>452</v>
      </c>
      <c r="O165" s="2">
        <f t="shared" si="17"/>
        <v>75.333333333333329</v>
      </c>
      <c r="P165" s="3">
        <f t="shared" si="18"/>
        <v>25.5</v>
      </c>
      <c r="Q165">
        <f t="shared" si="19"/>
        <v>2</v>
      </c>
      <c r="R165" t="str">
        <f t="shared" si="20"/>
        <v>Medium</v>
      </c>
      <c r="S165" s="3">
        <f t="shared" si="21"/>
        <v>136</v>
      </c>
      <c r="T165">
        <f t="shared" si="22"/>
        <v>146</v>
      </c>
      <c r="U165" t="str">
        <f t="shared" si="23"/>
        <v>Gen 2</v>
      </c>
    </row>
    <row r="166" spans="1:21" x14ac:dyDescent="0.25">
      <c r="A166">
        <v>165</v>
      </c>
      <c r="B166" t="s">
        <v>195</v>
      </c>
      <c r="C166">
        <v>10</v>
      </c>
      <c r="D166">
        <v>108</v>
      </c>
      <c r="E166">
        <v>53</v>
      </c>
      <c r="F166" t="s">
        <v>29</v>
      </c>
      <c r="G166" t="s">
        <v>23</v>
      </c>
      <c r="H166">
        <v>40</v>
      </c>
      <c r="I166">
        <v>20</v>
      </c>
      <c r="J166">
        <v>30</v>
      </c>
      <c r="K166">
        <v>40</v>
      </c>
      <c r="L166">
        <v>80</v>
      </c>
      <c r="M166">
        <v>55</v>
      </c>
      <c r="N166">
        <f t="shared" si="16"/>
        <v>265</v>
      </c>
      <c r="O166" s="2">
        <f t="shared" si="17"/>
        <v>44.166666666666664</v>
      </c>
      <c r="P166" s="3">
        <f t="shared" si="18"/>
        <v>10.8</v>
      </c>
      <c r="Q166">
        <f t="shared" si="19"/>
        <v>2</v>
      </c>
      <c r="R166" t="str">
        <f t="shared" si="20"/>
        <v>Low</v>
      </c>
      <c r="S166" s="3">
        <f t="shared" si="21"/>
        <v>60</v>
      </c>
      <c r="T166">
        <f t="shared" si="22"/>
        <v>110</v>
      </c>
      <c r="U166" t="str">
        <f t="shared" si="23"/>
        <v>Gen 2</v>
      </c>
    </row>
    <row r="167" spans="1:21" x14ac:dyDescent="0.25">
      <c r="A167">
        <v>166</v>
      </c>
      <c r="B167" t="s">
        <v>196</v>
      </c>
      <c r="C167">
        <v>14</v>
      </c>
      <c r="D167">
        <v>356</v>
      </c>
      <c r="E167">
        <v>137</v>
      </c>
      <c r="F167" t="s">
        <v>29</v>
      </c>
      <c r="G167" t="s">
        <v>23</v>
      </c>
      <c r="H167">
        <v>55</v>
      </c>
      <c r="I167">
        <v>35</v>
      </c>
      <c r="J167">
        <v>50</v>
      </c>
      <c r="K167">
        <v>55</v>
      </c>
      <c r="L167">
        <v>110</v>
      </c>
      <c r="M167">
        <v>85</v>
      </c>
      <c r="N167">
        <f t="shared" si="16"/>
        <v>390</v>
      </c>
      <c r="O167" s="2">
        <f t="shared" si="17"/>
        <v>65</v>
      </c>
      <c r="P167" s="3">
        <f t="shared" si="18"/>
        <v>25.428571428571427</v>
      </c>
      <c r="Q167">
        <f t="shared" si="19"/>
        <v>2</v>
      </c>
      <c r="R167" t="str">
        <f t="shared" si="20"/>
        <v>Medium</v>
      </c>
      <c r="S167" s="3">
        <f t="shared" si="21"/>
        <v>90</v>
      </c>
      <c r="T167">
        <f t="shared" si="22"/>
        <v>160</v>
      </c>
      <c r="U167" t="str">
        <f t="shared" si="23"/>
        <v>Gen 2</v>
      </c>
    </row>
    <row r="168" spans="1:21" x14ac:dyDescent="0.25">
      <c r="A168">
        <v>167</v>
      </c>
      <c r="B168" t="s">
        <v>197</v>
      </c>
      <c r="C168">
        <v>5</v>
      </c>
      <c r="D168">
        <v>85</v>
      </c>
      <c r="E168">
        <v>50</v>
      </c>
      <c r="F168" t="s">
        <v>29</v>
      </c>
      <c r="G168" t="s">
        <v>15</v>
      </c>
      <c r="H168">
        <v>40</v>
      </c>
      <c r="I168">
        <v>60</v>
      </c>
      <c r="J168">
        <v>40</v>
      </c>
      <c r="K168">
        <v>40</v>
      </c>
      <c r="L168">
        <v>40</v>
      </c>
      <c r="M168">
        <v>30</v>
      </c>
      <c r="N168">
        <f t="shared" si="16"/>
        <v>250</v>
      </c>
      <c r="O168" s="2">
        <f t="shared" si="17"/>
        <v>41.666666666666664</v>
      </c>
      <c r="P168" s="3">
        <f t="shared" si="18"/>
        <v>17</v>
      </c>
      <c r="Q168">
        <f t="shared" si="19"/>
        <v>2</v>
      </c>
      <c r="R168" t="str">
        <f t="shared" si="20"/>
        <v>Low</v>
      </c>
      <c r="S168" s="3">
        <f t="shared" si="21"/>
        <v>100</v>
      </c>
      <c r="T168">
        <f t="shared" si="22"/>
        <v>80</v>
      </c>
      <c r="U168" t="str">
        <f t="shared" si="23"/>
        <v>Gen 2</v>
      </c>
    </row>
    <row r="169" spans="1:21" x14ac:dyDescent="0.25">
      <c r="A169">
        <v>168</v>
      </c>
      <c r="B169" t="s">
        <v>198</v>
      </c>
      <c r="C169">
        <v>11</v>
      </c>
      <c r="D169">
        <v>335</v>
      </c>
      <c r="E169">
        <v>140</v>
      </c>
      <c r="F169" t="s">
        <v>29</v>
      </c>
      <c r="G169" t="s">
        <v>15</v>
      </c>
      <c r="H169">
        <v>70</v>
      </c>
      <c r="I169">
        <v>90</v>
      </c>
      <c r="J169">
        <v>70</v>
      </c>
      <c r="K169">
        <v>60</v>
      </c>
      <c r="L169">
        <v>70</v>
      </c>
      <c r="M169">
        <v>40</v>
      </c>
      <c r="N169">
        <f t="shared" si="16"/>
        <v>400</v>
      </c>
      <c r="O169" s="2">
        <f t="shared" si="17"/>
        <v>66.666666666666671</v>
      </c>
      <c r="P169" s="3">
        <f t="shared" si="18"/>
        <v>30.454545454545453</v>
      </c>
      <c r="Q169">
        <f t="shared" si="19"/>
        <v>2</v>
      </c>
      <c r="R169" t="str">
        <f t="shared" si="20"/>
        <v>Medium</v>
      </c>
      <c r="S169" s="3">
        <f t="shared" si="21"/>
        <v>150</v>
      </c>
      <c r="T169">
        <f t="shared" si="22"/>
        <v>140</v>
      </c>
      <c r="U169" t="str">
        <f t="shared" si="23"/>
        <v>Gen 2</v>
      </c>
    </row>
    <row r="170" spans="1:21" x14ac:dyDescent="0.25">
      <c r="A170">
        <v>169</v>
      </c>
      <c r="B170" t="s">
        <v>199</v>
      </c>
      <c r="C170">
        <v>18</v>
      </c>
      <c r="D170">
        <v>750</v>
      </c>
      <c r="E170">
        <v>241</v>
      </c>
      <c r="F170" t="s">
        <v>15</v>
      </c>
      <c r="G170" t="s">
        <v>23</v>
      </c>
      <c r="H170">
        <v>85</v>
      </c>
      <c r="I170">
        <v>90</v>
      </c>
      <c r="J170">
        <v>80</v>
      </c>
      <c r="K170">
        <v>70</v>
      </c>
      <c r="L170">
        <v>80</v>
      </c>
      <c r="M170">
        <v>130</v>
      </c>
      <c r="N170">
        <f t="shared" si="16"/>
        <v>535</v>
      </c>
      <c r="O170" s="2">
        <f t="shared" si="17"/>
        <v>89.166666666666671</v>
      </c>
      <c r="P170" s="3">
        <f t="shared" si="18"/>
        <v>41.666666666666664</v>
      </c>
      <c r="Q170">
        <f t="shared" si="19"/>
        <v>2</v>
      </c>
      <c r="R170" t="str">
        <f t="shared" si="20"/>
        <v>HIGH</v>
      </c>
      <c r="S170" s="3">
        <f t="shared" si="21"/>
        <v>160</v>
      </c>
      <c r="T170">
        <f t="shared" si="22"/>
        <v>160</v>
      </c>
      <c r="U170" t="str">
        <f t="shared" si="23"/>
        <v>Gen 2</v>
      </c>
    </row>
    <row r="171" spans="1:21" x14ac:dyDescent="0.25">
      <c r="A171">
        <v>170</v>
      </c>
      <c r="B171" t="s">
        <v>200</v>
      </c>
      <c r="C171">
        <v>5</v>
      </c>
      <c r="D171">
        <v>120</v>
      </c>
      <c r="E171">
        <v>66</v>
      </c>
      <c r="F171" t="s">
        <v>25</v>
      </c>
      <c r="G171" t="s">
        <v>46</v>
      </c>
      <c r="H171">
        <v>75</v>
      </c>
      <c r="I171">
        <v>38</v>
      </c>
      <c r="J171">
        <v>38</v>
      </c>
      <c r="K171">
        <v>56</v>
      </c>
      <c r="L171">
        <v>56</v>
      </c>
      <c r="M171">
        <v>67</v>
      </c>
      <c r="N171">
        <f t="shared" si="16"/>
        <v>330</v>
      </c>
      <c r="O171" s="2">
        <f t="shared" si="17"/>
        <v>55</v>
      </c>
      <c r="P171" s="3">
        <f t="shared" si="18"/>
        <v>24</v>
      </c>
      <c r="Q171">
        <f t="shared" si="19"/>
        <v>2</v>
      </c>
      <c r="R171" t="str">
        <f t="shared" si="20"/>
        <v>Low</v>
      </c>
      <c r="S171" s="3">
        <f t="shared" si="21"/>
        <v>94</v>
      </c>
      <c r="T171">
        <f t="shared" si="22"/>
        <v>94</v>
      </c>
      <c r="U171" t="str">
        <f t="shared" si="23"/>
        <v>Gen 2</v>
      </c>
    </row>
    <row r="172" spans="1:21" x14ac:dyDescent="0.25">
      <c r="A172">
        <v>171</v>
      </c>
      <c r="B172" t="s">
        <v>201</v>
      </c>
      <c r="C172">
        <v>12</v>
      </c>
      <c r="D172">
        <v>225</v>
      </c>
      <c r="E172">
        <v>161</v>
      </c>
      <c r="F172" t="s">
        <v>25</v>
      </c>
      <c r="G172" t="s">
        <v>46</v>
      </c>
      <c r="H172">
        <v>125</v>
      </c>
      <c r="I172">
        <v>58</v>
      </c>
      <c r="J172">
        <v>58</v>
      </c>
      <c r="K172">
        <v>76</v>
      </c>
      <c r="L172">
        <v>76</v>
      </c>
      <c r="M172">
        <v>67</v>
      </c>
      <c r="N172">
        <f t="shared" si="16"/>
        <v>460</v>
      </c>
      <c r="O172" s="2">
        <f t="shared" si="17"/>
        <v>76.666666666666671</v>
      </c>
      <c r="P172" s="3">
        <f t="shared" si="18"/>
        <v>18.75</v>
      </c>
      <c r="Q172">
        <f t="shared" si="19"/>
        <v>2</v>
      </c>
      <c r="R172" t="str">
        <f t="shared" si="20"/>
        <v>Medium</v>
      </c>
      <c r="S172" s="3">
        <f t="shared" si="21"/>
        <v>134</v>
      </c>
      <c r="T172">
        <f t="shared" si="22"/>
        <v>134</v>
      </c>
      <c r="U172" t="str">
        <f t="shared" si="23"/>
        <v>Gen 2</v>
      </c>
    </row>
    <row r="173" spans="1:21" x14ac:dyDescent="0.25">
      <c r="A173">
        <v>172</v>
      </c>
      <c r="B173" t="s">
        <v>202</v>
      </c>
      <c r="C173">
        <v>3</v>
      </c>
      <c r="D173">
        <v>20</v>
      </c>
      <c r="E173">
        <v>41</v>
      </c>
      <c r="F173" t="s">
        <v>46</v>
      </c>
      <c r="G173" t="s">
        <v>20</v>
      </c>
      <c r="H173">
        <v>20</v>
      </c>
      <c r="I173">
        <v>40</v>
      </c>
      <c r="J173">
        <v>15</v>
      </c>
      <c r="K173">
        <v>35</v>
      </c>
      <c r="L173">
        <v>35</v>
      </c>
      <c r="M173">
        <v>60</v>
      </c>
      <c r="N173">
        <f t="shared" si="16"/>
        <v>205</v>
      </c>
      <c r="O173" s="2">
        <f t="shared" si="17"/>
        <v>34.166666666666664</v>
      </c>
      <c r="P173" s="3">
        <f t="shared" si="18"/>
        <v>6.666666666666667</v>
      </c>
      <c r="Q173">
        <f t="shared" si="19"/>
        <v>1</v>
      </c>
      <c r="R173" t="str">
        <f t="shared" si="20"/>
        <v>Low</v>
      </c>
      <c r="S173" s="3">
        <f t="shared" si="21"/>
        <v>75</v>
      </c>
      <c r="T173">
        <f t="shared" si="22"/>
        <v>50</v>
      </c>
      <c r="U173" t="str">
        <f t="shared" si="23"/>
        <v>Gen 2</v>
      </c>
    </row>
    <row r="174" spans="1:21" x14ac:dyDescent="0.25">
      <c r="A174">
        <v>173</v>
      </c>
      <c r="B174" t="s">
        <v>203</v>
      </c>
      <c r="C174">
        <v>3</v>
      </c>
      <c r="D174">
        <v>30</v>
      </c>
      <c r="E174">
        <v>44</v>
      </c>
      <c r="F174" t="s">
        <v>58</v>
      </c>
      <c r="G174" t="s">
        <v>20</v>
      </c>
      <c r="H174">
        <v>50</v>
      </c>
      <c r="I174">
        <v>25</v>
      </c>
      <c r="J174">
        <v>28</v>
      </c>
      <c r="K174">
        <v>45</v>
      </c>
      <c r="L174">
        <v>55</v>
      </c>
      <c r="M174">
        <v>15</v>
      </c>
      <c r="N174">
        <f t="shared" si="16"/>
        <v>218</v>
      </c>
      <c r="O174" s="2">
        <f t="shared" si="17"/>
        <v>36.333333333333336</v>
      </c>
      <c r="P174" s="3">
        <f t="shared" si="18"/>
        <v>10</v>
      </c>
      <c r="Q174">
        <f t="shared" si="19"/>
        <v>1</v>
      </c>
      <c r="R174" t="str">
        <f t="shared" si="20"/>
        <v>Low</v>
      </c>
      <c r="S174" s="3">
        <f t="shared" si="21"/>
        <v>70</v>
      </c>
      <c r="T174">
        <f t="shared" si="22"/>
        <v>83</v>
      </c>
      <c r="U174" t="str">
        <f t="shared" si="23"/>
        <v>Gen 2</v>
      </c>
    </row>
    <row r="175" spans="1:21" x14ac:dyDescent="0.25">
      <c r="A175">
        <v>174</v>
      </c>
      <c r="B175" t="s">
        <v>204</v>
      </c>
      <c r="C175">
        <v>3</v>
      </c>
      <c r="D175">
        <v>10</v>
      </c>
      <c r="E175">
        <v>42</v>
      </c>
      <c r="F175" t="s">
        <v>36</v>
      </c>
      <c r="G175" t="s">
        <v>58</v>
      </c>
      <c r="H175">
        <v>90</v>
      </c>
      <c r="I175">
        <v>30</v>
      </c>
      <c r="J175">
        <v>15</v>
      </c>
      <c r="K175">
        <v>40</v>
      </c>
      <c r="L175">
        <v>20</v>
      </c>
      <c r="M175">
        <v>15</v>
      </c>
      <c r="N175">
        <f t="shared" si="16"/>
        <v>210</v>
      </c>
      <c r="O175" s="2">
        <f t="shared" si="17"/>
        <v>35</v>
      </c>
      <c r="P175" s="3">
        <f t="shared" si="18"/>
        <v>3.3333333333333335</v>
      </c>
      <c r="Q175">
        <f t="shared" si="19"/>
        <v>2</v>
      </c>
      <c r="R175" t="str">
        <f t="shared" si="20"/>
        <v>Low</v>
      </c>
      <c r="S175" s="3">
        <f t="shared" si="21"/>
        <v>70</v>
      </c>
      <c r="T175">
        <f t="shared" si="22"/>
        <v>35</v>
      </c>
      <c r="U175" t="str">
        <f t="shared" si="23"/>
        <v>Gen 2</v>
      </c>
    </row>
    <row r="176" spans="1:21" x14ac:dyDescent="0.25">
      <c r="A176">
        <v>175</v>
      </c>
      <c r="B176" t="s">
        <v>205</v>
      </c>
      <c r="C176">
        <v>3</v>
      </c>
      <c r="D176">
        <v>15</v>
      </c>
      <c r="E176">
        <v>49</v>
      </c>
      <c r="F176" t="s">
        <v>58</v>
      </c>
      <c r="G176" t="s">
        <v>20</v>
      </c>
      <c r="H176">
        <v>35</v>
      </c>
      <c r="I176">
        <v>20</v>
      </c>
      <c r="J176">
        <v>65</v>
      </c>
      <c r="K176">
        <v>40</v>
      </c>
      <c r="L176">
        <v>65</v>
      </c>
      <c r="M176">
        <v>20</v>
      </c>
      <c r="N176">
        <f t="shared" si="16"/>
        <v>245</v>
      </c>
      <c r="O176" s="2">
        <f t="shared" si="17"/>
        <v>40.833333333333336</v>
      </c>
      <c r="P176" s="3">
        <f t="shared" si="18"/>
        <v>5</v>
      </c>
      <c r="Q176">
        <f t="shared" si="19"/>
        <v>1</v>
      </c>
      <c r="R176" t="str">
        <f t="shared" si="20"/>
        <v>Low</v>
      </c>
      <c r="S176" s="3">
        <f t="shared" si="21"/>
        <v>60</v>
      </c>
      <c r="T176">
        <f t="shared" si="22"/>
        <v>130</v>
      </c>
      <c r="U176" t="str">
        <f t="shared" si="23"/>
        <v>Gen 2</v>
      </c>
    </row>
    <row r="177" spans="1:21" x14ac:dyDescent="0.25">
      <c r="A177">
        <v>176</v>
      </c>
      <c r="B177" t="s">
        <v>206</v>
      </c>
      <c r="C177">
        <v>6</v>
      </c>
      <c r="D177">
        <v>32</v>
      </c>
      <c r="E177">
        <v>142</v>
      </c>
      <c r="F177" t="s">
        <v>58</v>
      </c>
      <c r="G177" t="s">
        <v>23</v>
      </c>
      <c r="H177">
        <v>55</v>
      </c>
      <c r="I177">
        <v>40</v>
      </c>
      <c r="J177">
        <v>85</v>
      </c>
      <c r="K177">
        <v>80</v>
      </c>
      <c r="L177">
        <v>105</v>
      </c>
      <c r="M177">
        <v>40</v>
      </c>
      <c r="N177">
        <f t="shared" si="16"/>
        <v>405</v>
      </c>
      <c r="O177" s="2">
        <f t="shared" si="17"/>
        <v>67.5</v>
      </c>
      <c r="P177" s="3">
        <f t="shared" si="18"/>
        <v>5.333333333333333</v>
      </c>
      <c r="Q177">
        <f t="shared" si="19"/>
        <v>2</v>
      </c>
      <c r="R177" t="str">
        <f t="shared" si="20"/>
        <v>Medium</v>
      </c>
      <c r="S177" s="3">
        <f t="shared" si="21"/>
        <v>120</v>
      </c>
      <c r="T177">
        <f t="shared" si="22"/>
        <v>190</v>
      </c>
      <c r="U177" t="str">
        <f t="shared" si="23"/>
        <v>Gen 2</v>
      </c>
    </row>
    <row r="178" spans="1:21" x14ac:dyDescent="0.25">
      <c r="A178">
        <v>177</v>
      </c>
      <c r="B178" t="s">
        <v>207</v>
      </c>
      <c r="C178">
        <v>2</v>
      </c>
      <c r="D178">
        <v>20</v>
      </c>
      <c r="E178">
        <v>64</v>
      </c>
      <c r="F178" t="s">
        <v>88</v>
      </c>
      <c r="G178" t="s">
        <v>23</v>
      </c>
      <c r="H178">
        <v>40</v>
      </c>
      <c r="I178">
        <v>50</v>
      </c>
      <c r="J178">
        <v>45</v>
      </c>
      <c r="K178">
        <v>70</v>
      </c>
      <c r="L178">
        <v>45</v>
      </c>
      <c r="M178">
        <v>70</v>
      </c>
      <c r="N178">
        <f t="shared" si="16"/>
        <v>320</v>
      </c>
      <c r="O178" s="2">
        <f t="shared" si="17"/>
        <v>53.333333333333336</v>
      </c>
      <c r="P178" s="3">
        <f t="shared" si="18"/>
        <v>10</v>
      </c>
      <c r="Q178">
        <f t="shared" si="19"/>
        <v>2</v>
      </c>
      <c r="R178" t="str">
        <f t="shared" si="20"/>
        <v>Low</v>
      </c>
      <c r="S178" s="3">
        <f t="shared" si="21"/>
        <v>120</v>
      </c>
      <c r="T178">
        <f t="shared" si="22"/>
        <v>90</v>
      </c>
      <c r="U178" t="str">
        <f t="shared" si="23"/>
        <v>Gen 2</v>
      </c>
    </row>
    <row r="179" spans="1:21" x14ac:dyDescent="0.25">
      <c r="A179">
        <v>178</v>
      </c>
      <c r="B179" t="s">
        <v>208</v>
      </c>
      <c r="C179">
        <v>15</v>
      </c>
      <c r="D179">
        <v>150</v>
      </c>
      <c r="E179">
        <v>165</v>
      </c>
      <c r="F179" t="s">
        <v>88</v>
      </c>
      <c r="G179" t="s">
        <v>23</v>
      </c>
      <c r="H179">
        <v>65</v>
      </c>
      <c r="I179">
        <v>75</v>
      </c>
      <c r="J179">
        <v>70</v>
      </c>
      <c r="K179">
        <v>95</v>
      </c>
      <c r="L179">
        <v>70</v>
      </c>
      <c r="M179">
        <v>95</v>
      </c>
      <c r="N179">
        <f t="shared" si="16"/>
        <v>470</v>
      </c>
      <c r="O179" s="2">
        <f t="shared" si="17"/>
        <v>78.333333333333329</v>
      </c>
      <c r="P179" s="3">
        <f t="shared" si="18"/>
        <v>10</v>
      </c>
      <c r="Q179">
        <f t="shared" si="19"/>
        <v>2</v>
      </c>
      <c r="R179" t="str">
        <f t="shared" si="20"/>
        <v>Medium</v>
      </c>
      <c r="S179" s="3">
        <f t="shared" si="21"/>
        <v>170</v>
      </c>
      <c r="T179">
        <f t="shared" si="22"/>
        <v>140</v>
      </c>
      <c r="U179" t="str">
        <f t="shared" si="23"/>
        <v>Gen 2</v>
      </c>
    </row>
    <row r="180" spans="1:21" x14ac:dyDescent="0.25">
      <c r="A180">
        <v>179</v>
      </c>
      <c r="B180" t="s">
        <v>209</v>
      </c>
      <c r="C180">
        <v>6</v>
      </c>
      <c r="D180">
        <v>78</v>
      </c>
      <c r="E180">
        <v>56</v>
      </c>
      <c r="F180" t="s">
        <v>46</v>
      </c>
      <c r="G180" t="s">
        <v>20</v>
      </c>
      <c r="H180">
        <v>55</v>
      </c>
      <c r="I180">
        <v>40</v>
      </c>
      <c r="J180">
        <v>40</v>
      </c>
      <c r="K180">
        <v>65</v>
      </c>
      <c r="L180">
        <v>45</v>
      </c>
      <c r="M180">
        <v>35</v>
      </c>
      <c r="N180">
        <f t="shared" si="16"/>
        <v>280</v>
      </c>
      <c r="O180" s="2">
        <f t="shared" si="17"/>
        <v>46.666666666666664</v>
      </c>
      <c r="P180" s="3">
        <f t="shared" si="18"/>
        <v>13</v>
      </c>
      <c r="Q180">
        <f t="shared" si="19"/>
        <v>1</v>
      </c>
      <c r="R180" t="str">
        <f t="shared" si="20"/>
        <v>Low</v>
      </c>
      <c r="S180" s="3">
        <f t="shared" si="21"/>
        <v>105</v>
      </c>
      <c r="T180">
        <f t="shared" si="22"/>
        <v>85</v>
      </c>
      <c r="U180" t="str">
        <f t="shared" si="23"/>
        <v>Gen 2</v>
      </c>
    </row>
    <row r="181" spans="1:21" x14ac:dyDescent="0.25">
      <c r="A181">
        <v>180</v>
      </c>
      <c r="B181" t="s">
        <v>210</v>
      </c>
      <c r="C181">
        <v>8</v>
      </c>
      <c r="D181">
        <v>133</v>
      </c>
      <c r="E181">
        <v>128</v>
      </c>
      <c r="F181" t="s">
        <v>46</v>
      </c>
      <c r="G181" t="s">
        <v>20</v>
      </c>
      <c r="H181">
        <v>70</v>
      </c>
      <c r="I181">
        <v>55</v>
      </c>
      <c r="J181">
        <v>55</v>
      </c>
      <c r="K181">
        <v>80</v>
      </c>
      <c r="L181">
        <v>60</v>
      </c>
      <c r="M181">
        <v>45</v>
      </c>
      <c r="N181">
        <f t="shared" si="16"/>
        <v>365</v>
      </c>
      <c r="O181" s="2">
        <f t="shared" si="17"/>
        <v>60.833333333333336</v>
      </c>
      <c r="P181" s="3">
        <f t="shared" si="18"/>
        <v>16.625</v>
      </c>
      <c r="Q181">
        <f t="shared" si="19"/>
        <v>1</v>
      </c>
      <c r="R181" t="str">
        <f t="shared" si="20"/>
        <v>Medium</v>
      </c>
      <c r="S181" s="3">
        <f t="shared" si="21"/>
        <v>135</v>
      </c>
      <c r="T181">
        <f t="shared" si="22"/>
        <v>115</v>
      </c>
      <c r="U181" t="str">
        <f t="shared" si="23"/>
        <v>Gen 2</v>
      </c>
    </row>
    <row r="182" spans="1:21" x14ac:dyDescent="0.25">
      <c r="A182">
        <v>181</v>
      </c>
      <c r="B182" t="s">
        <v>211</v>
      </c>
      <c r="C182">
        <v>14</v>
      </c>
      <c r="D182">
        <v>615</v>
      </c>
      <c r="E182">
        <v>230</v>
      </c>
      <c r="F182" t="s">
        <v>46</v>
      </c>
      <c r="G182" t="s">
        <v>20</v>
      </c>
      <c r="H182">
        <v>90</v>
      </c>
      <c r="I182">
        <v>75</v>
      </c>
      <c r="J182">
        <v>85</v>
      </c>
      <c r="K182">
        <v>115</v>
      </c>
      <c r="L182">
        <v>90</v>
      </c>
      <c r="M182">
        <v>55</v>
      </c>
      <c r="N182">
        <f t="shared" si="16"/>
        <v>510</v>
      </c>
      <c r="O182" s="2">
        <f t="shared" si="17"/>
        <v>85</v>
      </c>
      <c r="P182" s="3">
        <f t="shared" si="18"/>
        <v>43.928571428571431</v>
      </c>
      <c r="Q182">
        <f t="shared" si="19"/>
        <v>1</v>
      </c>
      <c r="R182" t="str">
        <f t="shared" si="20"/>
        <v>HIGH</v>
      </c>
      <c r="S182" s="3">
        <f t="shared" si="21"/>
        <v>190</v>
      </c>
      <c r="T182">
        <f t="shared" si="22"/>
        <v>175</v>
      </c>
      <c r="U182" t="str">
        <f t="shared" si="23"/>
        <v>Gen 2</v>
      </c>
    </row>
    <row r="183" spans="1:21" x14ac:dyDescent="0.25">
      <c r="A183">
        <v>182</v>
      </c>
      <c r="B183" t="s">
        <v>212</v>
      </c>
      <c r="C183">
        <v>4</v>
      </c>
      <c r="D183">
        <v>58</v>
      </c>
      <c r="E183">
        <v>221</v>
      </c>
      <c r="F183" t="s">
        <v>14</v>
      </c>
      <c r="G183" t="s">
        <v>20</v>
      </c>
      <c r="H183">
        <v>75</v>
      </c>
      <c r="I183">
        <v>80</v>
      </c>
      <c r="J183">
        <v>95</v>
      </c>
      <c r="K183">
        <v>90</v>
      </c>
      <c r="L183">
        <v>100</v>
      </c>
      <c r="M183">
        <v>50</v>
      </c>
      <c r="N183">
        <f t="shared" si="16"/>
        <v>490</v>
      </c>
      <c r="O183" s="2">
        <f t="shared" si="17"/>
        <v>81.666666666666671</v>
      </c>
      <c r="P183" s="3">
        <f t="shared" si="18"/>
        <v>14.5</v>
      </c>
      <c r="Q183">
        <f t="shared" si="19"/>
        <v>1</v>
      </c>
      <c r="R183" t="str">
        <f t="shared" si="20"/>
        <v>HIGH</v>
      </c>
      <c r="S183" s="3">
        <f t="shared" si="21"/>
        <v>170</v>
      </c>
      <c r="T183">
        <f t="shared" si="22"/>
        <v>195</v>
      </c>
      <c r="U183" t="str">
        <f t="shared" si="23"/>
        <v>Gen 2</v>
      </c>
    </row>
    <row r="184" spans="1:21" x14ac:dyDescent="0.25">
      <c r="A184">
        <v>183</v>
      </c>
      <c r="B184" t="s">
        <v>213</v>
      </c>
      <c r="C184">
        <v>4</v>
      </c>
      <c r="D184">
        <v>85</v>
      </c>
      <c r="E184">
        <v>88</v>
      </c>
      <c r="F184" t="s">
        <v>25</v>
      </c>
      <c r="G184" t="s">
        <v>58</v>
      </c>
      <c r="H184">
        <v>70</v>
      </c>
      <c r="I184">
        <v>20</v>
      </c>
      <c r="J184">
        <v>50</v>
      </c>
      <c r="K184">
        <v>20</v>
      </c>
      <c r="L184">
        <v>50</v>
      </c>
      <c r="M184">
        <v>40</v>
      </c>
      <c r="N184">
        <f t="shared" si="16"/>
        <v>250</v>
      </c>
      <c r="O184" s="2">
        <f t="shared" si="17"/>
        <v>41.666666666666664</v>
      </c>
      <c r="P184" s="3">
        <f t="shared" si="18"/>
        <v>21.25</v>
      </c>
      <c r="Q184">
        <f t="shared" si="19"/>
        <v>2</v>
      </c>
      <c r="R184" t="str">
        <f t="shared" si="20"/>
        <v>Low</v>
      </c>
      <c r="S184" s="3">
        <f t="shared" si="21"/>
        <v>40</v>
      </c>
      <c r="T184">
        <f t="shared" si="22"/>
        <v>100</v>
      </c>
      <c r="U184" t="str">
        <f t="shared" si="23"/>
        <v>Gen 2</v>
      </c>
    </row>
    <row r="185" spans="1:21" x14ac:dyDescent="0.25">
      <c r="A185">
        <v>184</v>
      </c>
      <c r="B185" t="s">
        <v>214</v>
      </c>
      <c r="C185">
        <v>8</v>
      </c>
      <c r="D185">
        <v>285</v>
      </c>
      <c r="E185">
        <v>189</v>
      </c>
      <c r="F185" t="s">
        <v>25</v>
      </c>
      <c r="G185" t="s">
        <v>58</v>
      </c>
      <c r="H185">
        <v>100</v>
      </c>
      <c r="I185">
        <v>50</v>
      </c>
      <c r="J185">
        <v>80</v>
      </c>
      <c r="K185">
        <v>60</v>
      </c>
      <c r="L185">
        <v>80</v>
      </c>
      <c r="M185">
        <v>50</v>
      </c>
      <c r="N185">
        <f t="shared" si="16"/>
        <v>420</v>
      </c>
      <c r="O185" s="2">
        <f t="shared" si="17"/>
        <v>70</v>
      </c>
      <c r="P185" s="3">
        <f t="shared" si="18"/>
        <v>35.625</v>
      </c>
      <c r="Q185">
        <f t="shared" si="19"/>
        <v>2</v>
      </c>
      <c r="R185" t="str">
        <f t="shared" si="20"/>
        <v>Medium</v>
      </c>
      <c r="S185" s="3">
        <f t="shared" si="21"/>
        <v>110</v>
      </c>
      <c r="T185">
        <f t="shared" si="22"/>
        <v>160</v>
      </c>
      <c r="U185" t="str">
        <f t="shared" si="23"/>
        <v>Gen 2</v>
      </c>
    </row>
    <row r="186" spans="1:21" x14ac:dyDescent="0.25">
      <c r="A186">
        <v>185</v>
      </c>
      <c r="B186" t="s">
        <v>215</v>
      </c>
      <c r="C186">
        <v>12</v>
      </c>
      <c r="D186">
        <v>380</v>
      </c>
      <c r="E186">
        <v>144</v>
      </c>
      <c r="F186" t="s">
        <v>100</v>
      </c>
      <c r="G186" t="s">
        <v>20</v>
      </c>
      <c r="H186">
        <v>70</v>
      </c>
      <c r="I186">
        <v>100</v>
      </c>
      <c r="J186">
        <v>115</v>
      </c>
      <c r="K186">
        <v>30</v>
      </c>
      <c r="L186">
        <v>65</v>
      </c>
      <c r="M186">
        <v>30</v>
      </c>
      <c r="N186">
        <f t="shared" si="16"/>
        <v>410</v>
      </c>
      <c r="O186" s="2">
        <f t="shared" si="17"/>
        <v>68.333333333333329</v>
      </c>
      <c r="P186" s="3">
        <f t="shared" si="18"/>
        <v>31.666666666666668</v>
      </c>
      <c r="Q186">
        <f t="shared" si="19"/>
        <v>1</v>
      </c>
      <c r="R186" t="str">
        <f t="shared" si="20"/>
        <v>Medium</v>
      </c>
      <c r="S186" s="3">
        <f t="shared" si="21"/>
        <v>130</v>
      </c>
      <c r="T186">
        <f t="shared" si="22"/>
        <v>180</v>
      </c>
      <c r="U186" t="str">
        <f t="shared" si="23"/>
        <v>Gen 2</v>
      </c>
    </row>
    <row r="187" spans="1:21" x14ac:dyDescent="0.25">
      <c r="A187">
        <v>186</v>
      </c>
      <c r="B187" t="s">
        <v>216</v>
      </c>
      <c r="C187">
        <v>11</v>
      </c>
      <c r="D187">
        <v>339</v>
      </c>
      <c r="E187">
        <v>225</v>
      </c>
      <c r="F187" t="s">
        <v>25</v>
      </c>
      <c r="G187" t="s">
        <v>20</v>
      </c>
      <c r="H187">
        <v>90</v>
      </c>
      <c r="I187">
        <v>75</v>
      </c>
      <c r="J187">
        <v>75</v>
      </c>
      <c r="K187">
        <v>90</v>
      </c>
      <c r="L187">
        <v>100</v>
      </c>
      <c r="M187">
        <v>70</v>
      </c>
      <c r="N187">
        <f t="shared" si="16"/>
        <v>500</v>
      </c>
      <c r="O187" s="2">
        <f t="shared" si="17"/>
        <v>83.333333333333329</v>
      </c>
      <c r="P187" s="3">
        <f t="shared" si="18"/>
        <v>30.818181818181817</v>
      </c>
      <c r="Q187">
        <f t="shared" si="19"/>
        <v>1</v>
      </c>
      <c r="R187" t="str">
        <f t="shared" si="20"/>
        <v>HIGH</v>
      </c>
      <c r="S187" s="3">
        <f t="shared" si="21"/>
        <v>165</v>
      </c>
      <c r="T187">
        <f t="shared" si="22"/>
        <v>175</v>
      </c>
      <c r="U187" t="str">
        <f t="shared" si="23"/>
        <v>Gen 2</v>
      </c>
    </row>
    <row r="188" spans="1:21" x14ac:dyDescent="0.25">
      <c r="A188">
        <v>187</v>
      </c>
      <c r="B188" t="s">
        <v>217</v>
      </c>
      <c r="C188">
        <v>4</v>
      </c>
      <c r="D188">
        <v>5</v>
      </c>
      <c r="E188">
        <v>50</v>
      </c>
      <c r="F188" t="s">
        <v>14</v>
      </c>
      <c r="G188" t="s">
        <v>23</v>
      </c>
      <c r="H188">
        <v>35</v>
      </c>
      <c r="I188">
        <v>35</v>
      </c>
      <c r="J188">
        <v>40</v>
      </c>
      <c r="K188">
        <v>35</v>
      </c>
      <c r="L188">
        <v>55</v>
      </c>
      <c r="M188">
        <v>50</v>
      </c>
      <c r="N188">
        <f t="shared" si="16"/>
        <v>250</v>
      </c>
      <c r="O188" s="2">
        <f t="shared" si="17"/>
        <v>41.666666666666664</v>
      </c>
      <c r="P188" s="3">
        <f t="shared" si="18"/>
        <v>1.25</v>
      </c>
      <c r="Q188">
        <f t="shared" si="19"/>
        <v>2</v>
      </c>
      <c r="R188" t="str">
        <f t="shared" si="20"/>
        <v>Low</v>
      </c>
      <c r="S188" s="3">
        <f t="shared" si="21"/>
        <v>70</v>
      </c>
      <c r="T188">
        <f t="shared" si="22"/>
        <v>95</v>
      </c>
      <c r="U188" t="str">
        <f t="shared" si="23"/>
        <v>Gen 2</v>
      </c>
    </row>
    <row r="189" spans="1:21" x14ac:dyDescent="0.25">
      <c r="A189">
        <v>188</v>
      </c>
      <c r="B189" t="s">
        <v>218</v>
      </c>
      <c r="C189">
        <v>6</v>
      </c>
      <c r="D189">
        <v>10</v>
      </c>
      <c r="E189">
        <v>119</v>
      </c>
      <c r="F189" t="s">
        <v>14</v>
      </c>
      <c r="G189" t="s">
        <v>23</v>
      </c>
      <c r="H189">
        <v>55</v>
      </c>
      <c r="I189">
        <v>45</v>
      </c>
      <c r="J189">
        <v>50</v>
      </c>
      <c r="K189">
        <v>45</v>
      </c>
      <c r="L189">
        <v>65</v>
      </c>
      <c r="M189">
        <v>80</v>
      </c>
      <c r="N189">
        <f t="shared" si="16"/>
        <v>340</v>
      </c>
      <c r="O189" s="2">
        <f t="shared" si="17"/>
        <v>56.666666666666664</v>
      </c>
      <c r="P189" s="3">
        <f t="shared" si="18"/>
        <v>1.6666666666666667</v>
      </c>
      <c r="Q189">
        <f t="shared" si="19"/>
        <v>2</v>
      </c>
      <c r="R189" t="str">
        <f t="shared" si="20"/>
        <v>Medium</v>
      </c>
      <c r="S189" s="3">
        <f t="shared" si="21"/>
        <v>90</v>
      </c>
      <c r="T189">
        <f t="shared" si="22"/>
        <v>115</v>
      </c>
      <c r="U189" t="str">
        <f t="shared" si="23"/>
        <v>Gen 2</v>
      </c>
    </row>
    <row r="190" spans="1:21" x14ac:dyDescent="0.25">
      <c r="A190">
        <v>189</v>
      </c>
      <c r="B190" t="s">
        <v>219</v>
      </c>
      <c r="C190">
        <v>8</v>
      </c>
      <c r="D190">
        <v>30</v>
      </c>
      <c r="E190">
        <v>207</v>
      </c>
      <c r="F190" t="s">
        <v>14</v>
      </c>
      <c r="G190" t="s">
        <v>23</v>
      </c>
      <c r="H190">
        <v>75</v>
      </c>
      <c r="I190">
        <v>55</v>
      </c>
      <c r="J190">
        <v>70</v>
      </c>
      <c r="K190">
        <v>55</v>
      </c>
      <c r="L190">
        <v>95</v>
      </c>
      <c r="M190">
        <v>110</v>
      </c>
      <c r="N190">
        <f t="shared" si="16"/>
        <v>460</v>
      </c>
      <c r="O190" s="2">
        <f t="shared" si="17"/>
        <v>76.666666666666671</v>
      </c>
      <c r="P190" s="3">
        <f t="shared" si="18"/>
        <v>3.75</v>
      </c>
      <c r="Q190">
        <f t="shared" si="19"/>
        <v>2</v>
      </c>
      <c r="R190" t="str">
        <f t="shared" si="20"/>
        <v>HIGH</v>
      </c>
      <c r="S190" s="3">
        <f t="shared" si="21"/>
        <v>110</v>
      </c>
      <c r="T190">
        <f t="shared" si="22"/>
        <v>165</v>
      </c>
      <c r="U190" t="str">
        <f t="shared" si="23"/>
        <v>Gen 2</v>
      </c>
    </row>
    <row r="191" spans="1:21" x14ac:dyDescent="0.25">
      <c r="A191">
        <v>190</v>
      </c>
      <c r="B191" t="s">
        <v>220</v>
      </c>
      <c r="C191">
        <v>8</v>
      </c>
      <c r="D191">
        <v>115</v>
      </c>
      <c r="E191">
        <v>72</v>
      </c>
      <c r="F191" t="s">
        <v>36</v>
      </c>
      <c r="G191" t="s">
        <v>20</v>
      </c>
      <c r="H191">
        <v>55</v>
      </c>
      <c r="I191">
        <v>70</v>
      </c>
      <c r="J191">
        <v>55</v>
      </c>
      <c r="K191">
        <v>40</v>
      </c>
      <c r="L191">
        <v>55</v>
      </c>
      <c r="M191">
        <v>85</v>
      </c>
      <c r="N191">
        <f t="shared" si="16"/>
        <v>360</v>
      </c>
      <c r="O191" s="2">
        <f t="shared" si="17"/>
        <v>60</v>
      </c>
      <c r="P191" s="3">
        <f t="shared" si="18"/>
        <v>14.375</v>
      </c>
      <c r="Q191">
        <f t="shared" si="19"/>
        <v>1</v>
      </c>
      <c r="R191" t="str">
        <f t="shared" si="20"/>
        <v>Low</v>
      </c>
      <c r="S191" s="3">
        <f t="shared" si="21"/>
        <v>110</v>
      </c>
      <c r="T191">
        <f t="shared" si="22"/>
        <v>110</v>
      </c>
      <c r="U191" t="str">
        <f t="shared" si="23"/>
        <v>Gen 2</v>
      </c>
    </row>
    <row r="192" spans="1:21" x14ac:dyDescent="0.25">
      <c r="A192">
        <v>191</v>
      </c>
      <c r="B192" t="s">
        <v>221</v>
      </c>
      <c r="C192">
        <v>3</v>
      </c>
      <c r="D192">
        <v>18</v>
      </c>
      <c r="E192">
        <v>36</v>
      </c>
      <c r="F192" t="s">
        <v>14</v>
      </c>
      <c r="G192" t="s">
        <v>20</v>
      </c>
      <c r="H192">
        <v>30</v>
      </c>
      <c r="I192">
        <v>30</v>
      </c>
      <c r="J192">
        <v>30</v>
      </c>
      <c r="K192">
        <v>30</v>
      </c>
      <c r="L192">
        <v>30</v>
      </c>
      <c r="M192">
        <v>30</v>
      </c>
      <c r="N192">
        <f t="shared" si="16"/>
        <v>180</v>
      </c>
      <c r="O192" s="2">
        <f t="shared" si="17"/>
        <v>30</v>
      </c>
      <c r="P192" s="3">
        <f t="shared" si="18"/>
        <v>6</v>
      </c>
      <c r="Q192">
        <f t="shared" si="19"/>
        <v>1</v>
      </c>
      <c r="R192" t="str">
        <f t="shared" si="20"/>
        <v>Low</v>
      </c>
      <c r="S192" s="3">
        <f t="shared" si="21"/>
        <v>60</v>
      </c>
      <c r="T192">
        <f t="shared" si="22"/>
        <v>60</v>
      </c>
      <c r="U192" t="str">
        <f t="shared" si="23"/>
        <v>Gen 2</v>
      </c>
    </row>
    <row r="193" spans="1:21" x14ac:dyDescent="0.25">
      <c r="A193">
        <v>192</v>
      </c>
      <c r="B193" t="s">
        <v>222</v>
      </c>
      <c r="C193">
        <v>8</v>
      </c>
      <c r="D193">
        <v>85</v>
      </c>
      <c r="E193">
        <v>149</v>
      </c>
      <c r="F193" t="s">
        <v>14</v>
      </c>
      <c r="G193" t="s">
        <v>20</v>
      </c>
      <c r="H193">
        <v>75</v>
      </c>
      <c r="I193">
        <v>75</v>
      </c>
      <c r="J193">
        <v>55</v>
      </c>
      <c r="K193">
        <v>105</v>
      </c>
      <c r="L193">
        <v>85</v>
      </c>
      <c r="M193">
        <v>30</v>
      </c>
      <c r="N193">
        <f t="shared" si="16"/>
        <v>425</v>
      </c>
      <c r="O193" s="2">
        <f t="shared" si="17"/>
        <v>70.833333333333329</v>
      </c>
      <c r="P193" s="3">
        <f t="shared" si="18"/>
        <v>10.625</v>
      </c>
      <c r="Q193">
        <f t="shared" si="19"/>
        <v>1</v>
      </c>
      <c r="R193" t="str">
        <f t="shared" si="20"/>
        <v>Medium</v>
      </c>
      <c r="S193" s="3">
        <f t="shared" si="21"/>
        <v>180</v>
      </c>
      <c r="T193">
        <f t="shared" si="22"/>
        <v>140</v>
      </c>
      <c r="U193" t="str">
        <f t="shared" si="23"/>
        <v>Gen 2</v>
      </c>
    </row>
    <row r="194" spans="1:21" x14ac:dyDescent="0.25">
      <c r="A194">
        <v>193</v>
      </c>
      <c r="B194" t="s">
        <v>223</v>
      </c>
      <c r="C194">
        <v>12</v>
      </c>
      <c r="D194">
        <v>380</v>
      </c>
      <c r="E194">
        <v>78</v>
      </c>
      <c r="F194" t="s">
        <v>29</v>
      </c>
      <c r="G194" t="s">
        <v>23</v>
      </c>
      <c r="H194">
        <v>65</v>
      </c>
      <c r="I194">
        <v>65</v>
      </c>
      <c r="J194">
        <v>45</v>
      </c>
      <c r="K194">
        <v>75</v>
      </c>
      <c r="L194">
        <v>45</v>
      </c>
      <c r="M194">
        <v>95</v>
      </c>
      <c r="N194">
        <f t="shared" ref="N194:N251" si="24">SUM(H194:M194)</f>
        <v>390</v>
      </c>
      <c r="O194" s="2">
        <f t="shared" ref="O194:O251" si="25">AVERAGE(H194:M194)</f>
        <v>65</v>
      </c>
      <c r="P194" s="3">
        <f t="shared" ref="P194:P251" si="26">D194/C194</f>
        <v>31.666666666666668</v>
      </c>
      <c r="Q194">
        <f t="shared" ref="Q194:Q251" si="27">IF(G194="None", 1,2)</f>
        <v>2</v>
      </c>
      <c r="R194" t="str">
        <f t="shared" ref="R194:R251" si="28">IF(E194&lt;100,"Low",IF(E194&lt;200,"Medium",IF(E194&lt;250,"HIGH",IF(E194&gt;250,"Legendary"))))</f>
        <v>Low</v>
      </c>
      <c r="S194" s="3">
        <f t="shared" ref="S194:S251" si="29">I194+K194</f>
        <v>140</v>
      </c>
      <c r="T194">
        <f t="shared" ref="T194:T251" si="30">J194+L194</f>
        <v>90</v>
      </c>
      <c r="U194" t="str">
        <f t="shared" si="23"/>
        <v>Gen 2</v>
      </c>
    </row>
    <row r="195" spans="1:21" x14ac:dyDescent="0.25">
      <c r="A195">
        <v>194</v>
      </c>
      <c r="B195" t="s">
        <v>224</v>
      </c>
      <c r="C195">
        <v>4</v>
      </c>
      <c r="D195">
        <v>85</v>
      </c>
      <c r="E195">
        <v>42</v>
      </c>
      <c r="F195" t="s">
        <v>25</v>
      </c>
      <c r="G195" t="s">
        <v>49</v>
      </c>
      <c r="H195">
        <v>55</v>
      </c>
      <c r="I195">
        <v>45</v>
      </c>
      <c r="J195">
        <v>45</v>
      </c>
      <c r="K195">
        <v>25</v>
      </c>
      <c r="L195">
        <v>25</v>
      </c>
      <c r="M195">
        <v>15</v>
      </c>
      <c r="N195">
        <f t="shared" si="24"/>
        <v>210</v>
      </c>
      <c r="O195" s="2">
        <f t="shared" si="25"/>
        <v>35</v>
      </c>
      <c r="P195" s="3">
        <f t="shared" si="26"/>
        <v>21.25</v>
      </c>
      <c r="Q195">
        <f t="shared" si="27"/>
        <v>2</v>
      </c>
      <c r="R195" t="str">
        <f t="shared" si="28"/>
        <v>Low</v>
      </c>
      <c r="S195" s="3">
        <f t="shared" si="29"/>
        <v>70</v>
      </c>
      <c r="T195">
        <f t="shared" si="30"/>
        <v>70</v>
      </c>
      <c r="U195" t="str">
        <f t="shared" ref="U195:U250" si="31">IF(A196 &lt;= 151, "Gen 1", IF(A196 &gt; 151, "Gen 2"))</f>
        <v>Gen 2</v>
      </c>
    </row>
    <row r="196" spans="1:21" x14ac:dyDescent="0.25">
      <c r="A196">
        <v>195</v>
      </c>
      <c r="B196" t="s">
        <v>225</v>
      </c>
      <c r="C196">
        <v>14</v>
      </c>
      <c r="D196">
        <v>750</v>
      </c>
      <c r="E196">
        <v>151</v>
      </c>
      <c r="F196" t="s">
        <v>25</v>
      </c>
      <c r="G196" t="s">
        <v>49</v>
      </c>
      <c r="H196">
        <v>95</v>
      </c>
      <c r="I196">
        <v>85</v>
      </c>
      <c r="J196">
        <v>85</v>
      </c>
      <c r="K196">
        <v>65</v>
      </c>
      <c r="L196">
        <v>65</v>
      </c>
      <c r="M196">
        <v>35</v>
      </c>
      <c r="N196">
        <f t="shared" si="24"/>
        <v>430</v>
      </c>
      <c r="O196" s="2">
        <f t="shared" si="25"/>
        <v>71.666666666666671</v>
      </c>
      <c r="P196" s="3">
        <f t="shared" si="26"/>
        <v>53.571428571428569</v>
      </c>
      <c r="Q196">
        <f t="shared" si="27"/>
        <v>2</v>
      </c>
      <c r="R196" t="str">
        <f t="shared" si="28"/>
        <v>Medium</v>
      </c>
      <c r="S196" s="3">
        <f t="shared" si="29"/>
        <v>150</v>
      </c>
      <c r="T196">
        <f t="shared" si="30"/>
        <v>150</v>
      </c>
      <c r="U196" t="str">
        <f t="shared" si="31"/>
        <v>Gen 2</v>
      </c>
    </row>
    <row r="197" spans="1:21" x14ac:dyDescent="0.25">
      <c r="A197">
        <v>196</v>
      </c>
      <c r="B197" t="s">
        <v>226</v>
      </c>
      <c r="C197">
        <v>9</v>
      </c>
      <c r="D197">
        <v>265</v>
      </c>
      <c r="E197">
        <v>184</v>
      </c>
      <c r="F197" t="s">
        <v>88</v>
      </c>
      <c r="G197" t="s">
        <v>20</v>
      </c>
      <c r="H197">
        <v>65</v>
      </c>
      <c r="I197">
        <v>65</v>
      </c>
      <c r="J197">
        <v>60</v>
      </c>
      <c r="K197">
        <v>130</v>
      </c>
      <c r="L197">
        <v>95</v>
      </c>
      <c r="M197">
        <v>110</v>
      </c>
      <c r="N197">
        <f t="shared" si="24"/>
        <v>525</v>
      </c>
      <c r="O197" s="2">
        <f t="shared" si="25"/>
        <v>87.5</v>
      </c>
      <c r="P197" s="3">
        <f t="shared" si="26"/>
        <v>29.444444444444443</v>
      </c>
      <c r="Q197">
        <f t="shared" si="27"/>
        <v>1</v>
      </c>
      <c r="R197" t="str">
        <f t="shared" si="28"/>
        <v>Medium</v>
      </c>
      <c r="S197" s="3">
        <f t="shared" si="29"/>
        <v>195</v>
      </c>
      <c r="T197">
        <f t="shared" si="30"/>
        <v>155</v>
      </c>
      <c r="U197" t="str">
        <f t="shared" si="31"/>
        <v>Gen 2</v>
      </c>
    </row>
    <row r="198" spans="1:21" x14ac:dyDescent="0.25">
      <c r="A198">
        <v>197</v>
      </c>
      <c r="B198" t="s">
        <v>227</v>
      </c>
      <c r="C198">
        <v>10</v>
      </c>
      <c r="D198">
        <v>270</v>
      </c>
      <c r="E198">
        <v>184</v>
      </c>
      <c r="F198" t="s">
        <v>228</v>
      </c>
      <c r="G198" t="s">
        <v>20</v>
      </c>
      <c r="H198">
        <v>95</v>
      </c>
      <c r="I198">
        <v>65</v>
      </c>
      <c r="J198">
        <v>110</v>
      </c>
      <c r="K198">
        <v>60</v>
      </c>
      <c r="L198">
        <v>130</v>
      </c>
      <c r="M198">
        <v>65</v>
      </c>
      <c r="N198">
        <f t="shared" si="24"/>
        <v>525</v>
      </c>
      <c r="O198" s="2">
        <f t="shared" si="25"/>
        <v>87.5</v>
      </c>
      <c r="P198" s="3">
        <f t="shared" si="26"/>
        <v>27</v>
      </c>
      <c r="Q198">
        <f t="shared" si="27"/>
        <v>1</v>
      </c>
      <c r="R198" t="str">
        <f t="shared" si="28"/>
        <v>Medium</v>
      </c>
      <c r="S198" s="3">
        <f t="shared" si="29"/>
        <v>125</v>
      </c>
      <c r="T198">
        <f t="shared" si="30"/>
        <v>240</v>
      </c>
      <c r="U198" t="str">
        <f t="shared" si="31"/>
        <v>Gen 2</v>
      </c>
    </row>
    <row r="199" spans="1:21" x14ac:dyDescent="0.25">
      <c r="A199">
        <v>198</v>
      </c>
      <c r="B199" t="s">
        <v>229</v>
      </c>
      <c r="C199">
        <v>5</v>
      </c>
      <c r="D199">
        <v>21</v>
      </c>
      <c r="E199">
        <v>81</v>
      </c>
      <c r="F199" t="s">
        <v>228</v>
      </c>
      <c r="G199" t="s">
        <v>23</v>
      </c>
      <c r="H199">
        <v>60</v>
      </c>
      <c r="I199">
        <v>85</v>
      </c>
      <c r="J199">
        <v>42</v>
      </c>
      <c r="K199">
        <v>85</v>
      </c>
      <c r="L199">
        <v>42</v>
      </c>
      <c r="M199">
        <v>91</v>
      </c>
      <c r="N199">
        <f t="shared" si="24"/>
        <v>405</v>
      </c>
      <c r="O199" s="2">
        <f t="shared" si="25"/>
        <v>67.5</v>
      </c>
      <c r="P199" s="3">
        <f t="shared" si="26"/>
        <v>4.2</v>
      </c>
      <c r="Q199">
        <f t="shared" si="27"/>
        <v>2</v>
      </c>
      <c r="R199" t="str">
        <f t="shared" si="28"/>
        <v>Low</v>
      </c>
      <c r="S199" s="3">
        <f t="shared" si="29"/>
        <v>170</v>
      </c>
      <c r="T199">
        <f t="shared" si="30"/>
        <v>84</v>
      </c>
      <c r="U199" t="str">
        <f t="shared" si="31"/>
        <v>Gen 2</v>
      </c>
    </row>
    <row r="200" spans="1:21" x14ac:dyDescent="0.25">
      <c r="A200">
        <v>199</v>
      </c>
      <c r="B200" t="s">
        <v>230</v>
      </c>
      <c r="C200">
        <v>20</v>
      </c>
      <c r="D200">
        <v>795</v>
      </c>
      <c r="E200">
        <v>172</v>
      </c>
      <c r="F200" t="s">
        <v>25</v>
      </c>
      <c r="G200" t="s">
        <v>88</v>
      </c>
      <c r="H200">
        <v>95</v>
      </c>
      <c r="I200">
        <v>75</v>
      </c>
      <c r="J200">
        <v>80</v>
      </c>
      <c r="K200">
        <v>100</v>
      </c>
      <c r="L200">
        <v>110</v>
      </c>
      <c r="M200">
        <v>30</v>
      </c>
      <c r="N200">
        <f t="shared" si="24"/>
        <v>490</v>
      </c>
      <c r="O200" s="2">
        <f t="shared" si="25"/>
        <v>81.666666666666671</v>
      </c>
      <c r="P200" s="3">
        <f t="shared" si="26"/>
        <v>39.75</v>
      </c>
      <c r="Q200">
        <f t="shared" si="27"/>
        <v>2</v>
      </c>
      <c r="R200" t="str">
        <f t="shared" si="28"/>
        <v>Medium</v>
      </c>
      <c r="S200" s="3">
        <f t="shared" si="29"/>
        <v>175</v>
      </c>
      <c r="T200">
        <f t="shared" si="30"/>
        <v>190</v>
      </c>
      <c r="U200" t="str">
        <f t="shared" si="31"/>
        <v>Gen 2</v>
      </c>
    </row>
    <row r="201" spans="1:21" x14ac:dyDescent="0.25">
      <c r="A201">
        <v>200</v>
      </c>
      <c r="B201" t="s">
        <v>231</v>
      </c>
      <c r="C201">
        <v>7</v>
      </c>
      <c r="D201">
        <v>10</v>
      </c>
      <c r="E201">
        <v>87</v>
      </c>
      <c r="F201" t="s">
        <v>121</v>
      </c>
      <c r="G201" t="s">
        <v>20</v>
      </c>
      <c r="H201">
        <v>60</v>
      </c>
      <c r="I201">
        <v>60</v>
      </c>
      <c r="J201">
        <v>60</v>
      </c>
      <c r="K201">
        <v>85</v>
      </c>
      <c r="L201">
        <v>85</v>
      </c>
      <c r="M201">
        <v>85</v>
      </c>
      <c r="N201">
        <f t="shared" si="24"/>
        <v>435</v>
      </c>
      <c r="O201" s="2">
        <f t="shared" si="25"/>
        <v>72.5</v>
      </c>
      <c r="P201" s="3">
        <f t="shared" si="26"/>
        <v>1.4285714285714286</v>
      </c>
      <c r="Q201">
        <f t="shared" si="27"/>
        <v>1</v>
      </c>
      <c r="R201" t="str">
        <f t="shared" si="28"/>
        <v>Low</v>
      </c>
      <c r="S201" s="3">
        <f t="shared" si="29"/>
        <v>145</v>
      </c>
      <c r="T201">
        <f t="shared" si="30"/>
        <v>145</v>
      </c>
      <c r="U201" t="str">
        <f t="shared" si="31"/>
        <v>Gen 2</v>
      </c>
    </row>
    <row r="202" spans="1:21" x14ac:dyDescent="0.25">
      <c r="A202">
        <v>201</v>
      </c>
      <c r="B202" t="s">
        <v>232</v>
      </c>
      <c r="C202">
        <v>5</v>
      </c>
      <c r="D202">
        <v>50</v>
      </c>
      <c r="E202">
        <v>118</v>
      </c>
      <c r="F202" t="s">
        <v>88</v>
      </c>
      <c r="G202" t="s">
        <v>20</v>
      </c>
      <c r="H202">
        <v>48</v>
      </c>
      <c r="I202">
        <v>72</v>
      </c>
      <c r="J202">
        <v>48</v>
      </c>
      <c r="K202">
        <v>72</v>
      </c>
      <c r="L202">
        <v>48</v>
      </c>
      <c r="M202">
        <v>48</v>
      </c>
      <c r="N202">
        <f t="shared" si="24"/>
        <v>336</v>
      </c>
      <c r="O202" s="2">
        <f t="shared" si="25"/>
        <v>56</v>
      </c>
      <c r="P202" s="3">
        <f t="shared" si="26"/>
        <v>10</v>
      </c>
      <c r="Q202">
        <f t="shared" si="27"/>
        <v>1</v>
      </c>
      <c r="R202" t="str">
        <f t="shared" si="28"/>
        <v>Medium</v>
      </c>
      <c r="S202" s="3">
        <f t="shared" si="29"/>
        <v>144</v>
      </c>
      <c r="T202">
        <f t="shared" si="30"/>
        <v>96</v>
      </c>
      <c r="U202" t="str">
        <f t="shared" si="31"/>
        <v>Gen 2</v>
      </c>
    </row>
    <row r="203" spans="1:21" x14ac:dyDescent="0.25">
      <c r="A203">
        <v>202</v>
      </c>
      <c r="B203" t="s">
        <v>233</v>
      </c>
      <c r="C203">
        <v>13</v>
      </c>
      <c r="D203">
        <v>285</v>
      </c>
      <c r="E203">
        <v>142</v>
      </c>
      <c r="F203" t="s">
        <v>88</v>
      </c>
      <c r="G203" t="s">
        <v>20</v>
      </c>
      <c r="H203">
        <v>190</v>
      </c>
      <c r="I203">
        <v>33</v>
      </c>
      <c r="J203">
        <v>58</v>
      </c>
      <c r="K203">
        <v>33</v>
      </c>
      <c r="L203">
        <v>58</v>
      </c>
      <c r="M203">
        <v>33</v>
      </c>
      <c r="N203">
        <f t="shared" si="24"/>
        <v>405</v>
      </c>
      <c r="O203" s="2">
        <f t="shared" si="25"/>
        <v>67.5</v>
      </c>
      <c r="P203" s="3">
        <f t="shared" si="26"/>
        <v>21.923076923076923</v>
      </c>
      <c r="Q203">
        <f t="shared" si="27"/>
        <v>1</v>
      </c>
      <c r="R203" t="str">
        <f t="shared" si="28"/>
        <v>Medium</v>
      </c>
      <c r="S203" s="3">
        <f t="shared" si="29"/>
        <v>66</v>
      </c>
      <c r="T203">
        <f t="shared" si="30"/>
        <v>116</v>
      </c>
      <c r="U203" t="str">
        <f t="shared" si="31"/>
        <v>Gen 2</v>
      </c>
    </row>
    <row r="204" spans="1:21" x14ac:dyDescent="0.25">
      <c r="A204">
        <v>203</v>
      </c>
      <c r="B204" t="s">
        <v>234</v>
      </c>
      <c r="C204">
        <v>15</v>
      </c>
      <c r="D204">
        <v>415</v>
      </c>
      <c r="E204">
        <v>159</v>
      </c>
      <c r="F204" t="s">
        <v>36</v>
      </c>
      <c r="G204" t="s">
        <v>88</v>
      </c>
      <c r="H204">
        <v>70</v>
      </c>
      <c r="I204">
        <v>80</v>
      </c>
      <c r="J204">
        <v>65</v>
      </c>
      <c r="K204">
        <v>90</v>
      </c>
      <c r="L204">
        <v>65</v>
      </c>
      <c r="M204">
        <v>85</v>
      </c>
      <c r="N204">
        <f t="shared" si="24"/>
        <v>455</v>
      </c>
      <c r="O204" s="2">
        <f t="shared" si="25"/>
        <v>75.833333333333329</v>
      </c>
      <c r="P204" s="3">
        <f t="shared" si="26"/>
        <v>27.666666666666668</v>
      </c>
      <c r="Q204">
        <f t="shared" si="27"/>
        <v>2</v>
      </c>
      <c r="R204" t="str">
        <f t="shared" si="28"/>
        <v>Medium</v>
      </c>
      <c r="S204" s="3">
        <f t="shared" si="29"/>
        <v>170</v>
      </c>
      <c r="T204">
        <f t="shared" si="30"/>
        <v>130</v>
      </c>
      <c r="U204" t="str">
        <f t="shared" si="31"/>
        <v>Gen 2</v>
      </c>
    </row>
    <row r="205" spans="1:21" x14ac:dyDescent="0.25">
      <c r="A205">
        <v>204</v>
      </c>
      <c r="B205" t="s">
        <v>235</v>
      </c>
      <c r="C205">
        <v>6</v>
      </c>
      <c r="D205">
        <v>72</v>
      </c>
      <c r="E205">
        <v>58</v>
      </c>
      <c r="F205" t="s">
        <v>29</v>
      </c>
      <c r="G205" t="s">
        <v>20</v>
      </c>
      <c r="H205">
        <v>50</v>
      </c>
      <c r="I205">
        <v>65</v>
      </c>
      <c r="J205">
        <v>90</v>
      </c>
      <c r="K205">
        <v>35</v>
      </c>
      <c r="L205">
        <v>35</v>
      </c>
      <c r="M205">
        <v>15</v>
      </c>
      <c r="N205">
        <f t="shared" si="24"/>
        <v>290</v>
      </c>
      <c r="O205" s="2">
        <f t="shared" si="25"/>
        <v>48.333333333333336</v>
      </c>
      <c r="P205" s="3">
        <f t="shared" si="26"/>
        <v>12</v>
      </c>
      <c r="Q205">
        <f t="shared" si="27"/>
        <v>1</v>
      </c>
      <c r="R205" t="str">
        <f t="shared" si="28"/>
        <v>Low</v>
      </c>
      <c r="S205" s="3">
        <f t="shared" si="29"/>
        <v>100</v>
      </c>
      <c r="T205">
        <f t="shared" si="30"/>
        <v>125</v>
      </c>
      <c r="U205" t="str">
        <f t="shared" si="31"/>
        <v>Gen 2</v>
      </c>
    </row>
    <row r="206" spans="1:21" x14ac:dyDescent="0.25">
      <c r="A206">
        <v>205</v>
      </c>
      <c r="B206" t="s">
        <v>236</v>
      </c>
      <c r="C206">
        <v>12</v>
      </c>
      <c r="D206">
        <v>1258</v>
      </c>
      <c r="E206">
        <v>163</v>
      </c>
      <c r="F206" t="s">
        <v>29</v>
      </c>
      <c r="G206" t="s">
        <v>108</v>
      </c>
      <c r="H206">
        <v>75</v>
      </c>
      <c r="I206">
        <v>90</v>
      </c>
      <c r="J206">
        <v>140</v>
      </c>
      <c r="K206">
        <v>60</v>
      </c>
      <c r="L206">
        <v>60</v>
      </c>
      <c r="M206">
        <v>40</v>
      </c>
      <c r="N206">
        <f t="shared" si="24"/>
        <v>465</v>
      </c>
      <c r="O206" s="2">
        <f t="shared" si="25"/>
        <v>77.5</v>
      </c>
      <c r="P206" s="3">
        <f t="shared" si="26"/>
        <v>104.83333333333333</v>
      </c>
      <c r="Q206">
        <f t="shared" si="27"/>
        <v>2</v>
      </c>
      <c r="R206" t="str">
        <f t="shared" si="28"/>
        <v>Medium</v>
      </c>
      <c r="S206" s="3">
        <f t="shared" si="29"/>
        <v>150</v>
      </c>
      <c r="T206">
        <f t="shared" si="30"/>
        <v>200</v>
      </c>
      <c r="U206" t="str">
        <f t="shared" si="31"/>
        <v>Gen 2</v>
      </c>
    </row>
    <row r="207" spans="1:21" x14ac:dyDescent="0.25">
      <c r="A207">
        <v>206</v>
      </c>
      <c r="B207" t="s">
        <v>237</v>
      </c>
      <c r="C207">
        <v>15</v>
      </c>
      <c r="D207">
        <v>140</v>
      </c>
      <c r="E207">
        <v>145</v>
      </c>
      <c r="F207" t="s">
        <v>36</v>
      </c>
      <c r="G207" t="s">
        <v>20</v>
      </c>
      <c r="H207">
        <v>100</v>
      </c>
      <c r="I207">
        <v>70</v>
      </c>
      <c r="J207">
        <v>70</v>
      </c>
      <c r="K207">
        <v>65</v>
      </c>
      <c r="L207">
        <v>65</v>
      </c>
      <c r="M207">
        <v>45</v>
      </c>
      <c r="N207">
        <f t="shared" si="24"/>
        <v>415</v>
      </c>
      <c r="O207" s="2">
        <f t="shared" si="25"/>
        <v>69.166666666666671</v>
      </c>
      <c r="P207" s="3">
        <f t="shared" si="26"/>
        <v>9.3333333333333339</v>
      </c>
      <c r="Q207">
        <f t="shared" si="27"/>
        <v>1</v>
      </c>
      <c r="R207" t="str">
        <f t="shared" si="28"/>
        <v>Medium</v>
      </c>
      <c r="S207" s="3">
        <f t="shared" si="29"/>
        <v>135</v>
      </c>
      <c r="T207">
        <f t="shared" si="30"/>
        <v>135</v>
      </c>
      <c r="U207" t="str">
        <f t="shared" si="31"/>
        <v>Gen 2</v>
      </c>
    </row>
    <row r="208" spans="1:21" x14ac:dyDescent="0.25">
      <c r="A208">
        <v>207</v>
      </c>
      <c r="B208" t="s">
        <v>238</v>
      </c>
      <c r="C208">
        <v>11</v>
      </c>
      <c r="D208">
        <v>648</v>
      </c>
      <c r="E208">
        <v>86</v>
      </c>
      <c r="F208" t="s">
        <v>49</v>
      </c>
      <c r="G208" t="s">
        <v>23</v>
      </c>
      <c r="H208">
        <v>65</v>
      </c>
      <c r="I208">
        <v>75</v>
      </c>
      <c r="J208">
        <v>105</v>
      </c>
      <c r="K208">
        <v>35</v>
      </c>
      <c r="L208">
        <v>65</v>
      </c>
      <c r="M208">
        <v>85</v>
      </c>
      <c r="N208">
        <f t="shared" si="24"/>
        <v>430</v>
      </c>
      <c r="O208" s="2">
        <f t="shared" si="25"/>
        <v>71.666666666666671</v>
      </c>
      <c r="P208" s="3">
        <f t="shared" si="26"/>
        <v>58.909090909090907</v>
      </c>
      <c r="Q208">
        <f t="shared" si="27"/>
        <v>2</v>
      </c>
      <c r="R208" t="str">
        <f t="shared" si="28"/>
        <v>Low</v>
      </c>
      <c r="S208" s="3">
        <f t="shared" si="29"/>
        <v>110</v>
      </c>
      <c r="T208">
        <f t="shared" si="30"/>
        <v>170</v>
      </c>
      <c r="U208" t="str">
        <f t="shared" si="31"/>
        <v>Gen 2</v>
      </c>
    </row>
    <row r="209" spans="1:21" x14ac:dyDescent="0.25">
      <c r="A209">
        <v>208</v>
      </c>
      <c r="B209" t="s">
        <v>239</v>
      </c>
      <c r="C209">
        <v>92</v>
      </c>
      <c r="D209">
        <v>4000</v>
      </c>
      <c r="E209">
        <v>179</v>
      </c>
      <c r="F209" t="s">
        <v>108</v>
      </c>
      <c r="G209" t="s">
        <v>49</v>
      </c>
      <c r="H209">
        <v>75</v>
      </c>
      <c r="I209">
        <v>85</v>
      </c>
      <c r="J209">
        <v>200</v>
      </c>
      <c r="K209">
        <v>55</v>
      </c>
      <c r="L209">
        <v>65</v>
      </c>
      <c r="M209">
        <v>30</v>
      </c>
      <c r="N209">
        <f t="shared" si="24"/>
        <v>510</v>
      </c>
      <c r="O209" s="2">
        <f t="shared" si="25"/>
        <v>85</v>
      </c>
      <c r="P209" s="3">
        <f t="shared" si="26"/>
        <v>43.478260869565219</v>
      </c>
      <c r="Q209">
        <f t="shared" si="27"/>
        <v>2</v>
      </c>
      <c r="R209" t="str">
        <f t="shared" si="28"/>
        <v>Medium</v>
      </c>
      <c r="S209" s="3">
        <f t="shared" si="29"/>
        <v>140</v>
      </c>
      <c r="T209">
        <f t="shared" si="30"/>
        <v>265</v>
      </c>
      <c r="U209" t="str">
        <f t="shared" si="31"/>
        <v>Gen 2</v>
      </c>
    </row>
    <row r="210" spans="1:21" x14ac:dyDescent="0.25">
      <c r="A210">
        <v>209</v>
      </c>
      <c r="B210" t="s">
        <v>240</v>
      </c>
      <c r="C210">
        <v>6</v>
      </c>
      <c r="D210">
        <v>78</v>
      </c>
      <c r="E210">
        <v>60</v>
      </c>
      <c r="F210" t="s">
        <v>58</v>
      </c>
      <c r="G210" t="s">
        <v>20</v>
      </c>
      <c r="H210">
        <v>60</v>
      </c>
      <c r="I210">
        <v>80</v>
      </c>
      <c r="J210">
        <v>50</v>
      </c>
      <c r="K210">
        <v>40</v>
      </c>
      <c r="L210">
        <v>40</v>
      </c>
      <c r="M210">
        <v>30</v>
      </c>
      <c r="N210">
        <f t="shared" si="24"/>
        <v>300</v>
      </c>
      <c r="O210" s="2">
        <f t="shared" si="25"/>
        <v>50</v>
      </c>
      <c r="P210" s="3">
        <f t="shared" si="26"/>
        <v>13</v>
      </c>
      <c r="Q210">
        <f t="shared" si="27"/>
        <v>1</v>
      </c>
      <c r="R210" t="str">
        <f t="shared" si="28"/>
        <v>Low</v>
      </c>
      <c r="S210" s="3">
        <f t="shared" si="29"/>
        <v>120</v>
      </c>
      <c r="T210">
        <f t="shared" si="30"/>
        <v>90</v>
      </c>
      <c r="U210" t="str">
        <f t="shared" si="31"/>
        <v>Gen 2</v>
      </c>
    </row>
    <row r="211" spans="1:21" x14ac:dyDescent="0.25">
      <c r="A211">
        <v>210</v>
      </c>
      <c r="B211" t="s">
        <v>241</v>
      </c>
      <c r="C211">
        <v>14</v>
      </c>
      <c r="D211">
        <v>487</v>
      </c>
      <c r="E211">
        <v>158</v>
      </c>
      <c r="F211" t="s">
        <v>58</v>
      </c>
      <c r="G211" t="s">
        <v>20</v>
      </c>
      <c r="H211">
        <v>90</v>
      </c>
      <c r="I211">
        <v>120</v>
      </c>
      <c r="J211">
        <v>75</v>
      </c>
      <c r="K211">
        <v>60</v>
      </c>
      <c r="L211">
        <v>60</v>
      </c>
      <c r="M211">
        <v>45</v>
      </c>
      <c r="N211">
        <f t="shared" si="24"/>
        <v>450</v>
      </c>
      <c r="O211" s="2">
        <f t="shared" si="25"/>
        <v>75</v>
      </c>
      <c r="P211" s="3">
        <f t="shared" si="26"/>
        <v>34.785714285714285</v>
      </c>
      <c r="Q211">
        <f t="shared" si="27"/>
        <v>1</v>
      </c>
      <c r="R211" t="str">
        <f t="shared" si="28"/>
        <v>Medium</v>
      </c>
      <c r="S211" s="3">
        <f t="shared" si="29"/>
        <v>180</v>
      </c>
      <c r="T211">
        <f t="shared" si="30"/>
        <v>135</v>
      </c>
      <c r="U211" t="str">
        <f t="shared" si="31"/>
        <v>Gen 2</v>
      </c>
    </row>
    <row r="212" spans="1:21" x14ac:dyDescent="0.25">
      <c r="A212">
        <v>211</v>
      </c>
      <c r="B212" t="s">
        <v>242</v>
      </c>
      <c r="C212">
        <v>5</v>
      </c>
      <c r="D212">
        <v>39</v>
      </c>
      <c r="E212">
        <v>88</v>
      </c>
      <c r="F212" t="s">
        <v>25</v>
      </c>
      <c r="G212" t="s">
        <v>15</v>
      </c>
      <c r="H212">
        <v>65</v>
      </c>
      <c r="I212">
        <v>95</v>
      </c>
      <c r="J212">
        <v>85</v>
      </c>
      <c r="K212">
        <v>55</v>
      </c>
      <c r="L212">
        <v>55</v>
      </c>
      <c r="M212">
        <v>85</v>
      </c>
      <c r="N212">
        <f t="shared" si="24"/>
        <v>440</v>
      </c>
      <c r="O212" s="2">
        <f t="shared" si="25"/>
        <v>73.333333333333329</v>
      </c>
      <c r="P212" s="3">
        <f t="shared" si="26"/>
        <v>7.8</v>
      </c>
      <c r="Q212">
        <f t="shared" si="27"/>
        <v>2</v>
      </c>
      <c r="R212" t="str">
        <f t="shared" si="28"/>
        <v>Low</v>
      </c>
      <c r="S212" s="3">
        <f t="shared" si="29"/>
        <v>150</v>
      </c>
      <c r="T212">
        <f t="shared" si="30"/>
        <v>140</v>
      </c>
      <c r="U212" t="str">
        <f t="shared" si="31"/>
        <v>Gen 2</v>
      </c>
    </row>
    <row r="213" spans="1:21" x14ac:dyDescent="0.25">
      <c r="A213">
        <v>212</v>
      </c>
      <c r="B213" t="s">
        <v>243</v>
      </c>
      <c r="C213">
        <v>18</v>
      </c>
      <c r="D213">
        <v>1180</v>
      </c>
      <c r="E213">
        <v>175</v>
      </c>
      <c r="F213" t="s">
        <v>29</v>
      </c>
      <c r="G213" t="s">
        <v>108</v>
      </c>
      <c r="H213">
        <v>70</v>
      </c>
      <c r="I213">
        <v>130</v>
      </c>
      <c r="J213">
        <v>100</v>
      </c>
      <c r="K213">
        <v>55</v>
      </c>
      <c r="L213">
        <v>80</v>
      </c>
      <c r="M213">
        <v>65</v>
      </c>
      <c r="N213">
        <f t="shared" si="24"/>
        <v>500</v>
      </c>
      <c r="O213" s="2">
        <f t="shared" si="25"/>
        <v>83.333333333333329</v>
      </c>
      <c r="P213" s="3">
        <f t="shared" si="26"/>
        <v>65.555555555555557</v>
      </c>
      <c r="Q213">
        <f t="shared" si="27"/>
        <v>2</v>
      </c>
      <c r="R213" t="str">
        <f t="shared" si="28"/>
        <v>Medium</v>
      </c>
      <c r="S213" s="3">
        <f t="shared" si="29"/>
        <v>185</v>
      </c>
      <c r="T213">
        <f t="shared" si="30"/>
        <v>180</v>
      </c>
      <c r="U213" t="str">
        <f t="shared" si="31"/>
        <v>Gen 2</v>
      </c>
    </row>
    <row r="214" spans="1:21" x14ac:dyDescent="0.25">
      <c r="A214">
        <v>213</v>
      </c>
      <c r="B214" t="s">
        <v>244</v>
      </c>
      <c r="C214">
        <v>6</v>
      </c>
      <c r="D214">
        <v>205</v>
      </c>
      <c r="E214">
        <v>177</v>
      </c>
      <c r="F214" t="s">
        <v>29</v>
      </c>
      <c r="G214" t="s">
        <v>100</v>
      </c>
      <c r="H214">
        <v>20</v>
      </c>
      <c r="I214">
        <v>10</v>
      </c>
      <c r="J214">
        <v>230</v>
      </c>
      <c r="K214">
        <v>10</v>
      </c>
      <c r="L214">
        <v>230</v>
      </c>
      <c r="M214">
        <v>5</v>
      </c>
      <c r="N214">
        <f t="shared" si="24"/>
        <v>505</v>
      </c>
      <c r="O214" s="2">
        <f t="shared" si="25"/>
        <v>84.166666666666671</v>
      </c>
      <c r="P214" s="3">
        <f t="shared" si="26"/>
        <v>34.166666666666664</v>
      </c>
      <c r="Q214">
        <f t="shared" si="27"/>
        <v>2</v>
      </c>
      <c r="R214" t="str">
        <f t="shared" si="28"/>
        <v>Medium</v>
      </c>
      <c r="S214" s="3">
        <f t="shared" si="29"/>
        <v>20</v>
      </c>
      <c r="T214">
        <f t="shared" si="30"/>
        <v>460</v>
      </c>
      <c r="U214" t="str">
        <f t="shared" si="31"/>
        <v>Gen 2</v>
      </c>
    </row>
    <row r="215" spans="1:21" x14ac:dyDescent="0.25">
      <c r="A215">
        <v>214</v>
      </c>
      <c r="B215" t="s">
        <v>245</v>
      </c>
      <c r="C215">
        <v>15</v>
      </c>
      <c r="D215">
        <v>540</v>
      </c>
      <c r="E215">
        <v>175</v>
      </c>
      <c r="F215" t="s">
        <v>29</v>
      </c>
      <c r="G215" t="s">
        <v>80</v>
      </c>
      <c r="H215">
        <v>80</v>
      </c>
      <c r="I215">
        <v>125</v>
      </c>
      <c r="J215">
        <v>75</v>
      </c>
      <c r="K215">
        <v>40</v>
      </c>
      <c r="L215">
        <v>95</v>
      </c>
      <c r="M215">
        <v>85</v>
      </c>
      <c r="N215">
        <f t="shared" si="24"/>
        <v>500</v>
      </c>
      <c r="O215" s="2">
        <f t="shared" si="25"/>
        <v>83.333333333333329</v>
      </c>
      <c r="P215" s="3">
        <f t="shared" si="26"/>
        <v>36</v>
      </c>
      <c r="Q215">
        <f t="shared" si="27"/>
        <v>2</v>
      </c>
      <c r="R215" t="str">
        <f t="shared" si="28"/>
        <v>Medium</v>
      </c>
      <c r="S215" s="3">
        <f t="shared" si="29"/>
        <v>165</v>
      </c>
      <c r="T215">
        <f t="shared" si="30"/>
        <v>170</v>
      </c>
      <c r="U215" t="str">
        <f t="shared" si="31"/>
        <v>Gen 2</v>
      </c>
    </row>
    <row r="216" spans="1:21" x14ac:dyDescent="0.25">
      <c r="A216">
        <v>215</v>
      </c>
      <c r="B216" t="s">
        <v>246</v>
      </c>
      <c r="C216">
        <v>9</v>
      </c>
      <c r="D216">
        <v>280</v>
      </c>
      <c r="E216">
        <v>86</v>
      </c>
      <c r="F216" t="s">
        <v>228</v>
      </c>
      <c r="G216" t="s">
        <v>115</v>
      </c>
      <c r="H216">
        <v>55</v>
      </c>
      <c r="I216">
        <v>95</v>
      </c>
      <c r="J216">
        <v>55</v>
      </c>
      <c r="K216">
        <v>35</v>
      </c>
      <c r="L216">
        <v>75</v>
      </c>
      <c r="M216">
        <v>115</v>
      </c>
      <c r="N216">
        <f t="shared" si="24"/>
        <v>430</v>
      </c>
      <c r="O216" s="2">
        <f t="shared" si="25"/>
        <v>71.666666666666671</v>
      </c>
      <c r="P216" s="3">
        <f t="shared" si="26"/>
        <v>31.111111111111111</v>
      </c>
      <c r="Q216">
        <f t="shared" si="27"/>
        <v>2</v>
      </c>
      <c r="R216" t="str">
        <f t="shared" si="28"/>
        <v>Low</v>
      </c>
      <c r="S216" s="3">
        <f t="shared" si="29"/>
        <v>130</v>
      </c>
      <c r="T216">
        <f t="shared" si="30"/>
        <v>130</v>
      </c>
      <c r="U216" t="str">
        <f t="shared" si="31"/>
        <v>Gen 2</v>
      </c>
    </row>
    <row r="217" spans="1:21" x14ac:dyDescent="0.25">
      <c r="A217">
        <v>216</v>
      </c>
      <c r="B217" t="s">
        <v>247</v>
      </c>
      <c r="C217">
        <v>6</v>
      </c>
      <c r="D217">
        <v>88</v>
      </c>
      <c r="E217">
        <v>66</v>
      </c>
      <c r="F217" t="s">
        <v>36</v>
      </c>
      <c r="G217" t="s">
        <v>20</v>
      </c>
      <c r="H217">
        <v>60</v>
      </c>
      <c r="I217">
        <v>80</v>
      </c>
      <c r="J217">
        <v>50</v>
      </c>
      <c r="K217">
        <v>50</v>
      </c>
      <c r="L217">
        <v>50</v>
      </c>
      <c r="M217">
        <v>40</v>
      </c>
      <c r="N217">
        <f t="shared" si="24"/>
        <v>330</v>
      </c>
      <c r="O217" s="2">
        <f t="shared" si="25"/>
        <v>55</v>
      </c>
      <c r="P217" s="3">
        <f t="shared" si="26"/>
        <v>14.666666666666666</v>
      </c>
      <c r="Q217">
        <f t="shared" si="27"/>
        <v>1</v>
      </c>
      <c r="R217" t="str">
        <f t="shared" si="28"/>
        <v>Low</v>
      </c>
      <c r="S217" s="3">
        <f t="shared" si="29"/>
        <v>130</v>
      </c>
      <c r="T217">
        <f t="shared" si="30"/>
        <v>100</v>
      </c>
      <c r="U217" t="str">
        <f t="shared" si="31"/>
        <v>Gen 2</v>
      </c>
    </row>
    <row r="218" spans="1:21" x14ac:dyDescent="0.25">
      <c r="A218">
        <v>217</v>
      </c>
      <c r="B218" t="s">
        <v>248</v>
      </c>
      <c r="C218">
        <v>18</v>
      </c>
      <c r="D218">
        <v>1258</v>
      </c>
      <c r="E218">
        <v>175</v>
      </c>
      <c r="F218" t="s">
        <v>36</v>
      </c>
      <c r="G218" t="s">
        <v>20</v>
      </c>
      <c r="H218">
        <v>90</v>
      </c>
      <c r="I218">
        <v>130</v>
      </c>
      <c r="J218">
        <v>75</v>
      </c>
      <c r="K218">
        <v>75</v>
      </c>
      <c r="L218">
        <v>75</v>
      </c>
      <c r="M218">
        <v>55</v>
      </c>
      <c r="N218">
        <f t="shared" si="24"/>
        <v>500</v>
      </c>
      <c r="O218" s="2">
        <f t="shared" si="25"/>
        <v>83.333333333333329</v>
      </c>
      <c r="P218" s="3">
        <f t="shared" si="26"/>
        <v>69.888888888888886</v>
      </c>
      <c r="Q218">
        <f t="shared" si="27"/>
        <v>1</v>
      </c>
      <c r="R218" t="str">
        <f t="shared" si="28"/>
        <v>Medium</v>
      </c>
      <c r="S218" s="3">
        <f t="shared" si="29"/>
        <v>205</v>
      </c>
      <c r="T218">
        <f t="shared" si="30"/>
        <v>150</v>
      </c>
      <c r="U218" t="str">
        <f t="shared" si="31"/>
        <v>Gen 2</v>
      </c>
    </row>
    <row r="219" spans="1:21" x14ac:dyDescent="0.25">
      <c r="A219">
        <v>218</v>
      </c>
      <c r="B219" t="s">
        <v>249</v>
      </c>
      <c r="C219">
        <v>7</v>
      </c>
      <c r="D219">
        <v>350</v>
      </c>
      <c r="E219">
        <v>50</v>
      </c>
      <c r="F219" t="s">
        <v>19</v>
      </c>
      <c r="G219" t="s">
        <v>20</v>
      </c>
      <c r="H219">
        <v>40</v>
      </c>
      <c r="I219">
        <v>40</v>
      </c>
      <c r="J219">
        <v>40</v>
      </c>
      <c r="K219">
        <v>70</v>
      </c>
      <c r="L219">
        <v>40</v>
      </c>
      <c r="M219">
        <v>20</v>
      </c>
      <c r="N219">
        <f t="shared" si="24"/>
        <v>250</v>
      </c>
      <c r="O219" s="2">
        <f t="shared" si="25"/>
        <v>41.666666666666664</v>
      </c>
      <c r="P219" s="3">
        <f t="shared" si="26"/>
        <v>50</v>
      </c>
      <c r="Q219">
        <f t="shared" si="27"/>
        <v>1</v>
      </c>
      <c r="R219" t="str">
        <f t="shared" si="28"/>
        <v>Low</v>
      </c>
      <c r="S219" s="3">
        <f t="shared" si="29"/>
        <v>110</v>
      </c>
      <c r="T219">
        <f t="shared" si="30"/>
        <v>80</v>
      </c>
      <c r="U219" t="str">
        <f t="shared" si="31"/>
        <v>Gen 2</v>
      </c>
    </row>
    <row r="220" spans="1:21" x14ac:dyDescent="0.25">
      <c r="A220">
        <v>219</v>
      </c>
      <c r="B220" t="s">
        <v>250</v>
      </c>
      <c r="C220">
        <v>8</v>
      </c>
      <c r="D220">
        <v>550</v>
      </c>
      <c r="E220">
        <v>151</v>
      </c>
      <c r="F220" t="s">
        <v>19</v>
      </c>
      <c r="G220" t="s">
        <v>100</v>
      </c>
      <c r="H220">
        <v>60</v>
      </c>
      <c r="I220">
        <v>50</v>
      </c>
      <c r="J220">
        <v>120</v>
      </c>
      <c r="K220">
        <v>90</v>
      </c>
      <c r="L220">
        <v>80</v>
      </c>
      <c r="M220">
        <v>30</v>
      </c>
      <c r="N220">
        <f t="shared" si="24"/>
        <v>430</v>
      </c>
      <c r="O220" s="2">
        <f t="shared" si="25"/>
        <v>71.666666666666671</v>
      </c>
      <c r="P220" s="3">
        <f t="shared" si="26"/>
        <v>68.75</v>
      </c>
      <c r="Q220">
        <f t="shared" si="27"/>
        <v>2</v>
      </c>
      <c r="R220" t="str">
        <f t="shared" si="28"/>
        <v>Medium</v>
      </c>
      <c r="S220" s="3">
        <f t="shared" si="29"/>
        <v>140</v>
      </c>
      <c r="T220">
        <f t="shared" si="30"/>
        <v>200</v>
      </c>
      <c r="U220" t="str">
        <f t="shared" si="31"/>
        <v>Gen 2</v>
      </c>
    </row>
    <row r="221" spans="1:21" x14ac:dyDescent="0.25">
      <c r="A221">
        <v>220</v>
      </c>
      <c r="B221" t="s">
        <v>251</v>
      </c>
      <c r="C221">
        <v>4</v>
      </c>
      <c r="D221">
        <v>65</v>
      </c>
      <c r="E221">
        <v>50</v>
      </c>
      <c r="F221" t="s">
        <v>115</v>
      </c>
      <c r="G221" t="s">
        <v>49</v>
      </c>
      <c r="H221">
        <v>50</v>
      </c>
      <c r="I221">
        <v>50</v>
      </c>
      <c r="J221">
        <v>40</v>
      </c>
      <c r="K221">
        <v>30</v>
      </c>
      <c r="L221">
        <v>30</v>
      </c>
      <c r="M221">
        <v>50</v>
      </c>
      <c r="N221">
        <f t="shared" si="24"/>
        <v>250</v>
      </c>
      <c r="O221" s="2">
        <f t="shared" si="25"/>
        <v>41.666666666666664</v>
      </c>
      <c r="P221" s="3">
        <f t="shared" si="26"/>
        <v>16.25</v>
      </c>
      <c r="Q221">
        <f t="shared" si="27"/>
        <v>2</v>
      </c>
      <c r="R221" t="str">
        <f t="shared" si="28"/>
        <v>Low</v>
      </c>
      <c r="S221" s="3">
        <f t="shared" si="29"/>
        <v>80</v>
      </c>
      <c r="T221">
        <f t="shared" si="30"/>
        <v>70</v>
      </c>
      <c r="U221" t="str">
        <f t="shared" si="31"/>
        <v>Gen 2</v>
      </c>
    </row>
    <row r="222" spans="1:21" x14ac:dyDescent="0.25">
      <c r="A222">
        <v>221</v>
      </c>
      <c r="B222" t="s">
        <v>252</v>
      </c>
      <c r="C222">
        <v>11</v>
      </c>
      <c r="D222">
        <v>558</v>
      </c>
      <c r="E222">
        <v>158</v>
      </c>
      <c r="F222" t="s">
        <v>115</v>
      </c>
      <c r="G222" t="s">
        <v>49</v>
      </c>
      <c r="H222">
        <v>100</v>
      </c>
      <c r="I222">
        <v>100</v>
      </c>
      <c r="J222">
        <v>80</v>
      </c>
      <c r="K222">
        <v>60</v>
      </c>
      <c r="L222">
        <v>60</v>
      </c>
      <c r="M222">
        <v>50</v>
      </c>
      <c r="N222">
        <f t="shared" si="24"/>
        <v>450</v>
      </c>
      <c r="O222" s="2">
        <f t="shared" si="25"/>
        <v>75</v>
      </c>
      <c r="P222" s="3">
        <f t="shared" si="26"/>
        <v>50.727272727272727</v>
      </c>
      <c r="Q222">
        <f t="shared" si="27"/>
        <v>2</v>
      </c>
      <c r="R222" t="str">
        <f t="shared" si="28"/>
        <v>Medium</v>
      </c>
      <c r="S222" s="3">
        <f t="shared" si="29"/>
        <v>160</v>
      </c>
      <c r="T222">
        <f t="shared" si="30"/>
        <v>140</v>
      </c>
      <c r="U222" t="str">
        <f t="shared" si="31"/>
        <v>Gen 2</v>
      </c>
    </row>
    <row r="223" spans="1:21" x14ac:dyDescent="0.25">
      <c r="A223">
        <v>222</v>
      </c>
      <c r="B223" t="s">
        <v>253</v>
      </c>
      <c r="C223">
        <v>6</v>
      </c>
      <c r="D223">
        <v>50</v>
      </c>
      <c r="E223">
        <v>144</v>
      </c>
      <c r="F223" t="s">
        <v>25</v>
      </c>
      <c r="G223" t="s">
        <v>100</v>
      </c>
      <c r="H223">
        <v>65</v>
      </c>
      <c r="I223">
        <v>55</v>
      </c>
      <c r="J223">
        <v>95</v>
      </c>
      <c r="K223">
        <v>65</v>
      </c>
      <c r="L223">
        <v>95</v>
      </c>
      <c r="M223">
        <v>35</v>
      </c>
      <c r="N223">
        <f t="shared" si="24"/>
        <v>410</v>
      </c>
      <c r="O223" s="2">
        <f t="shared" si="25"/>
        <v>68.333333333333329</v>
      </c>
      <c r="P223" s="3">
        <f t="shared" si="26"/>
        <v>8.3333333333333339</v>
      </c>
      <c r="Q223">
        <f t="shared" si="27"/>
        <v>2</v>
      </c>
      <c r="R223" t="str">
        <f t="shared" si="28"/>
        <v>Medium</v>
      </c>
      <c r="S223" s="3">
        <f t="shared" si="29"/>
        <v>120</v>
      </c>
      <c r="T223">
        <f t="shared" si="30"/>
        <v>190</v>
      </c>
      <c r="U223" t="str">
        <f t="shared" si="31"/>
        <v>Gen 2</v>
      </c>
    </row>
    <row r="224" spans="1:21" x14ac:dyDescent="0.25">
      <c r="A224">
        <v>223</v>
      </c>
      <c r="B224" t="s">
        <v>254</v>
      </c>
      <c r="C224">
        <v>6</v>
      </c>
      <c r="D224">
        <v>120</v>
      </c>
      <c r="E224">
        <v>60</v>
      </c>
      <c r="F224" t="s">
        <v>25</v>
      </c>
      <c r="G224" t="s">
        <v>20</v>
      </c>
      <c r="H224">
        <v>35</v>
      </c>
      <c r="I224">
        <v>65</v>
      </c>
      <c r="J224">
        <v>35</v>
      </c>
      <c r="K224">
        <v>65</v>
      </c>
      <c r="L224">
        <v>35</v>
      </c>
      <c r="M224">
        <v>65</v>
      </c>
      <c r="N224">
        <f t="shared" si="24"/>
        <v>300</v>
      </c>
      <c r="O224" s="2">
        <f t="shared" si="25"/>
        <v>50</v>
      </c>
      <c r="P224" s="3">
        <f t="shared" si="26"/>
        <v>20</v>
      </c>
      <c r="Q224">
        <f t="shared" si="27"/>
        <v>1</v>
      </c>
      <c r="R224" t="str">
        <f t="shared" si="28"/>
        <v>Low</v>
      </c>
      <c r="S224" s="3">
        <f t="shared" si="29"/>
        <v>130</v>
      </c>
      <c r="T224">
        <f t="shared" si="30"/>
        <v>70</v>
      </c>
      <c r="U224" t="str">
        <f t="shared" si="31"/>
        <v>Gen 2</v>
      </c>
    </row>
    <row r="225" spans="1:21" x14ac:dyDescent="0.25">
      <c r="A225">
        <v>224</v>
      </c>
      <c r="B225" t="s">
        <v>255</v>
      </c>
      <c r="C225">
        <v>9</v>
      </c>
      <c r="D225">
        <v>285</v>
      </c>
      <c r="E225">
        <v>168</v>
      </c>
      <c r="F225" t="s">
        <v>25</v>
      </c>
      <c r="G225" t="s">
        <v>20</v>
      </c>
      <c r="H225">
        <v>75</v>
      </c>
      <c r="I225">
        <v>105</v>
      </c>
      <c r="J225">
        <v>75</v>
      </c>
      <c r="K225">
        <v>105</v>
      </c>
      <c r="L225">
        <v>75</v>
      </c>
      <c r="M225">
        <v>45</v>
      </c>
      <c r="N225">
        <f t="shared" si="24"/>
        <v>480</v>
      </c>
      <c r="O225" s="2">
        <f t="shared" si="25"/>
        <v>80</v>
      </c>
      <c r="P225" s="3">
        <f t="shared" si="26"/>
        <v>31.666666666666668</v>
      </c>
      <c r="Q225">
        <f t="shared" si="27"/>
        <v>1</v>
      </c>
      <c r="R225" t="str">
        <f t="shared" si="28"/>
        <v>Medium</v>
      </c>
      <c r="S225" s="3">
        <f t="shared" si="29"/>
        <v>210</v>
      </c>
      <c r="T225">
        <f t="shared" si="30"/>
        <v>150</v>
      </c>
      <c r="U225" t="str">
        <f t="shared" si="31"/>
        <v>Gen 2</v>
      </c>
    </row>
    <row r="226" spans="1:21" x14ac:dyDescent="0.25">
      <c r="A226">
        <v>225</v>
      </c>
      <c r="B226" t="s">
        <v>256</v>
      </c>
      <c r="C226">
        <v>9</v>
      </c>
      <c r="D226">
        <v>160</v>
      </c>
      <c r="E226">
        <v>116</v>
      </c>
      <c r="F226" t="s">
        <v>115</v>
      </c>
      <c r="G226" t="s">
        <v>23</v>
      </c>
      <c r="H226">
        <v>45</v>
      </c>
      <c r="I226">
        <v>55</v>
      </c>
      <c r="J226">
        <v>45</v>
      </c>
      <c r="K226">
        <v>65</v>
      </c>
      <c r="L226">
        <v>45</v>
      </c>
      <c r="M226">
        <v>75</v>
      </c>
      <c r="N226">
        <f t="shared" si="24"/>
        <v>330</v>
      </c>
      <c r="O226" s="2">
        <f t="shared" si="25"/>
        <v>55</v>
      </c>
      <c r="P226" s="3">
        <f t="shared" si="26"/>
        <v>17.777777777777779</v>
      </c>
      <c r="Q226">
        <f t="shared" si="27"/>
        <v>2</v>
      </c>
      <c r="R226" t="str">
        <f t="shared" si="28"/>
        <v>Medium</v>
      </c>
      <c r="S226" s="3">
        <f t="shared" si="29"/>
        <v>120</v>
      </c>
      <c r="T226">
        <f t="shared" si="30"/>
        <v>90</v>
      </c>
      <c r="U226" t="str">
        <f t="shared" si="31"/>
        <v>Gen 2</v>
      </c>
    </row>
    <row r="227" spans="1:21" x14ac:dyDescent="0.25">
      <c r="A227">
        <v>226</v>
      </c>
      <c r="B227" t="s">
        <v>257</v>
      </c>
      <c r="C227">
        <v>21</v>
      </c>
      <c r="D227">
        <v>2200</v>
      </c>
      <c r="E227">
        <v>170</v>
      </c>
      <c r="F227" t="s">
        <v>25</v>
      </c>
      <c r="G227" t="s">
        <v>23</v>
      </c>
      <c r="H227">
        <v>85</v>
      </c>
      <c r="I227">
        <v>40</v>
      </c>
      <c r="J227">
        <v>70</v>
      </c>
      <c r="K227">
        <v>80</v>
      </c>
      <c r="L227">
        <v>140</v>
      </c>
      <c r="M227">
        <v>70</v>
      </c>
      <c r="N227">
        <f t="shared" si="24"/>
        <v>485</v>
      </c>
      <c r="O227" s="2">
        <f t="shared" si="25"/>
        <v>80.833333333333329</v>
      </c>
      <c r="P227" s="3">
        <f t="shared" si="26"/>
        <v>104.76190476190476</v>
      </c>
      <c r="Q227">
        <f t="shared" si="27"/>
        <v>2</v>
      </c>
      <c r="R227" t="str">
        <f t="shared" si="28"/>
        <v>Medium</v>
      </c>
      <c r="S227" s="3">
        <f t="shared" si="29"/>
        <v>120</v>
      </c>
      <c r="T227">
        <f t="shared" si="30"/>
        <v>210</v>
      </c>
      <c r="U227" t="str">
        <f t="shared" si="31"/>
        <v>Gen 2</v>
      </c>
    </row>
    <row r="228" spans="1:21" x14ac:dyDescent="0.25">
      <c r="A228">
        <v>227</v>
      </c>
      <c r="B228" t="s">
        <v>258</v>
      </c>
      <c r="C228">
        <v>17</v>
      </c>
      <c r="D228">
        <v>505</v>
      </c>
      <c r="E228">
        <v>163</v>
      </c>
      <c r="F228" t="s">
        <v>108</v>
      </c>
      <c r="G228" t="s">
        <v>23</v>
      </c>
      <c r="H228">
        <v>65</v>
      </c>
      <c r="I228">
        <v>80</v>
      </c>
      <c r="J228">
        <v>140</v>
      </c>
      <c r="K228">
        <v>40</v>
      </c>
      <c r="L228">
        <v>70</v>
      </c>
      <c r="M228">
        <v>70</v>
      </c>
      <c r="N228">
        <f t="shared" si="24"/>
        <v>465</v>
      </c>
      <c r="O228" s="2">
        <f t="shared" si="25"/>
        <v>77.5</v>
      </c>
      <c r="P228" s="3">
        <f t="shared" si="26"/>
        <v>29.705882352941178</v>
      </c>
      <c r="Q228">
        <f t="shared" si="27"/>
        <v>2</v>
      </c>
      <c r="R228" t="str">
        <f t="shared" si="28"/>
        <v>Medium</v>
      </c>
      <c r="S228" s="3">
        <f t="shared" si="29"/>
        <v>120</v>
      </c>
      <c r="T228">
        <f t="shared" si="30"/>
        <v>210</v>
      </c>
      <c r="U228" t="str">
        <f t="shared" si="31"/>
        <v>Gen 2</v>
      </c>
    </row>
    <row r="229" spans="1:21" x14ac:dyDescent="0.25">
      <c r="A229">
        <v>228</v>
      </c>
      <c r="B229" t="s">
        <v>259</v>
      </c>
      <c r="C229">
        <v>6</v>
      </c>
      <c r="D229">
        <v>108</v>
      </c>
      <c r="E229">
        <v>66</v>
      </c>
      <c r="F229" t="s">
        <v>228</v>
      </c>
      <c r="G229" t="s">
        <v>19</v>
      </c>
      <c r="H229">
        <v>45</v>
      </c>
      <c r="I229">
        <v>60</v>
      </c>
      <c r="J229">
        <v>30</v>
      </c>
      <c r="K229">
        <v>80</v>
      </c>
      <c r="L229">
        <v>50</v>
      </c>
      <c r="M229">
        <v>65</v>
      </c>
      <c r="N229">
        <f t="shared" si="24"/>
        <v>330</v>
      </c>
      <c r="O229" s="2">
        <f t="shared" si="25"/>
        <v>55</v>
      </c>
      <c r="P229" s="3">
        <f t="shared" si="26"/>
        <v>18</v>
      </c>
      <c r="Q229">
        <f t="shared" si="27"/>
        <v>2</v>
      </c>
      <c r="R229" t="str">
        <f t="shared" si="28"/>
        <v>Low</v>
      </c>
      <c r="S229" s="3">
        <f t="shared" si="29"/>
        <v>140</v>
      </c>
      <c r="T229">
        <f t="shared" si="30"/>
        <v>80</v>
      </c>
      <c r="U229" t="str">
        <f t="shared" si="31"/>
        <v>Gen 2</v>
      </c>
    </row>
    <row r="230" spans="1:21" x14ac:dyDescent="0.25">
      <c r="A230">
        <v>229</v>
      </c>
      <c r="B230" t="s">
        <v>260</v>
      </c>
      <c r="C230">
        <v>14</v>
      </c>
      <c r="D230">
        <v>350</v>
      </c>
      <c r="E230">
        <v>175</v>
      </c>
      <c r="F230" t="s">
        <v>228</v>
      </c>
      <c r="G230" t="s">
        <v>19</v>
      </c>
      <c r="H230">
        <v>75</v>
      </c>
      <c r="I230">
        <v>90</v>
      </c>
      <c r="J230">
        <v>50</v>
      </c>
      <c r="K230">
        <v>110</v>
      </c>
      <c r="L230">
        <v>80</v>
      </c>
      <c r="M230">
        <v>95</v>
      </c>
      <c r="N230">
        <f t="shared" si="24"/>
        <v>500</v>
      </c>
      <c r="O230" s="2">
        <f t="shared" si="25"/>
        <v>83.333333333333329</v>
      </c>
      <c r="P230" s="3">
        <f t="shared" si="26"/>
        <v>25</v>
      </c>
      <c r="Q230">
        <f t="shared" si="27"/>
        <v>2</v>
      </c>
      <c r="R230" t="str">
        <f t="shared" si="28"/>
        <v>Medium</v>
      </c>
      <c r="S230" s="3">
        <f t="shared" si="29"/>
        <v>200</v>
      </c>
      <c r="T230">
        <f t="shared" si="30"/>
        <v>130</v>
      </c>
      <c r="U230" t="str">
        <f t="shared" si="31"/>
        <v>Gen 2</v>
      </c>
    </row>
    <row r="231" spans="1:21" x14ac:dyDescent="0.25">
      <c r="A231">
        <v>230</v>
      </c>
      <c r="B231" t="s">
        <v>261</v>
      </c>
      <c r="C231">
        <v>18</v>
      </c>
      <c r="D231">
        <v>1520</v>
      </c>
      <c r="E231">
        <v>243</v>
      </c>
      <c r="F231" t="s">
        <v>25</v>
      </c>
      <c r="G231" t="s">
        <v>177</v>
      </c>
      <c r="H231">
        <v>75</v>
      </c>
      <c r="I231">
        <v>95</v>
      </c>
      <c r="J231">
        <v>95</v>
      </c>
      <c r="K231">
        <v>95</v>
      </c>
      <c r="L231">
        <v>95</v>
      </c>
      <c r="M231">
        <v>85</v>
      </c>
      <c r="N231">
        <f t="shared" si="24"/>
        <v>540</v>
      </c>
      <c r="O231" s="2">
        <f t="shared" si="25"/>
        <v>90</v>
      </c>
      <c r="P231" s="3">
        <f t="shared" si="26"/>
        <v>84.444444444444443</v>
      </c>
      <c r="Q231">
        <f t="shared" si="27"/>
        <v>2</v>
      </c>
      <c r="R231" t="str">
        <f t="shared" si="28"/>
        <v>HIGH</v>
      </c>
      <c r="S231" s="3">
        <f t="shared" si="29"/>
        <v>190</v>
      </c>
      <c r="T231">
        <f t="shared" si="30"/>
        <v>190</v>
      </c>
      <c r="U231" t="str">
        <f t="shared" si="31"/>
        <v>Gen 2</v>
      </c>
    </row>
    <row r="232" spans="1:21" x14ac:dyDescent="0.25">
      <c r="A232">
        <v>231</v>
      </c>
      <c r="B232" t="s">
        <v>262</v>
      </c>
      <c r="C232">
        <v>5</v>
      </c>
      <c r="D232">
        <v>335</v>
      </c>
      <c r="E232">
        <v>66</v>
      </c>
      <c r="F232" t="s">
        <v>49</v>
      </c>
      <c r="G232" t="s">
        <v>20</v>
      </c>
      <c r="H232">
        <v>90</v>
      </c>
      <c r="I232">
        <v>60</v>
      </c>
      <c r="J232">
        <v>60</v>
      </c>
      <c r="K232">
        <v>40</v>
      </c>
      <c r="L232">
        <v>40</v>
      </c>
      <c r="M232">
        <v>40</v>
      </c>
      <c r="N232">
        <f t="shared" si="24"/>
        <v>330</v>
      </c>
      <c r="O232" s="2">
        <f t="shared" si="25"/>
        <v>55</v>
      </c>
      <c r="P232" s="3">
        <f t="shared" si="26"/>
        <v>67</v>
      </c>
      <c r="Q232">
        <f t="shared" si="27"/>
        <v>1</v>
      </c>
      <c r="R232" t="str">
        <f t="shared" si="28"/>
        <v>Low</v>
      </c>
      <c r="S232" s="3">
        <f t="shared" si="29"/>
        <v>100</v>
      </c>
      <c r="T232">
        <f t="shared" si="30"/>
        <v>100</v>
      </c>
      <c r="U232" t="str">
        <f t="shared" si="31"/>
        <v>Gen 2</v>
      </c>
    </row>
    <row r="233" spans="1:21" x14ac:dyDescent="0.25">
      <c r="A233">
        <v>232</v>
      </c>
      <c r="B233" t="s">
        <v>263</v>
      </c>
      <c r="C233">
        <v>11</v>
      </c>
      <c r="D233">
        <v>1200</v>
      </c>
      <c r="E233">
        <v>175</v>
      </c>
      <c r="F233" t="s">
        <v>49</v>
      </c>
      <c r="G233" t="s">
        <v>20</v>
      </c>
      <c r="H233">
        <v>90</v>
      </c>
      <c r="I233">
        <v>120</v>
      </c>
      <c r="J233">
        <v>120</v>
      </c>
      <c r="K233">
        <v>60</v>
      </c>
      <c r="L233">
        <v>60</v>
      </c>
      <c r="M233">
        <v>50</v>
      </c>
      <c r="N233">
        <f t="shared" si="24"/>
        <v>500</v>
      </c>
      <c r="O233" s="2">
        <f t="shared" si="25"/>
        <v>83.333333333333329</v>
      </c>
      <c r="P233" s="3">
        <f t="shared" si="26"/>
        <v>109.09090909090909</v>
      </c>
      <c r="Q233">
        <f t="shared" si="27"/>
        <v>1</v>
      </c>
      <c r="R233" t="str">
        <f t="shared" si="28"/>
        <v>Medium</v>
      </c>
      <c r="S233" s="3">
        <f t="shared" si="29"/>
        <v>180</v>
      </c>
      <c r="T233">
        <f t="shared" si="30"/>
        <v>180</v>
      </c>
      <c r="U233" t="str">
        <f t="shared" si="31"/>
        <v>Gen 2</v>
      </c>
    </row>
    <row r="234" spans="1:21" x14ac:dyDescent="0.25">
      <c r="A234">
        <v>233</v>
      </c>
      <c r="B234" t="s">
        <v>264</v>
      </c>
      <c r="C234">
        <v>6</v>
      </c>
      <c r="D234">
        <v>325</v>
      </c>
      <c r="E234">
        <v>180</v>
      </c>
      <c r="F234" t="s">
        <v>36</v>
      </c>
      <c r="G234" t="s">
        <v>20</v>
      </c>
      <c r="H234">
        <v>85</v>
      </c>
      <c r="I234">
        <v>80</v>
      </c>
      <c r="J234">
        <v>90</v>
      </c>
      <c r="K234">
        <v>105</v>
      </c>
      <c r="L234">
        <v>95</v>
      </c>
      <c r="M234">
        <v>60</v>
      </c>
      <c r="N234">
        <f t="shared" si="24"/>
        <v>515</v>
      </c>
      <c r="O234" s="2">
        <f t="shared" si="25"/>
        <v>85.833333333333329</v>
      </c>
      <c r="P234" s="3">
        <f t="shared" si="26"/>
        <v>54.166666666666664</v>
      </c>
      <c r="Q234">
        <f t="shared" si="27"/>
        <v>1</v>
      </c>
      <c r="R234" t="str">
        <f t="shared" si="28"/>
        <v>Medium</v>
      </c>
      <c r="S234" s="3">
        <f t="shared" si="29"/>
        <v>185</v>
      </c>
      <c r="T234">
        <f t="shared" si="30"/>
        <v>185</v>
      </c>
      <c r="U234" t="str">
        <f t="shared" si="31"/>
        <v>Gen 2</v>
      </c>
    </row>
    <row r="235" spans="1:21" x14ac:dyDescent="0.25">
      <c r="A235">
        <v>234</v>
      </c>
      <c r="B235" t="s">
        <v>265</v>
      </c>
      <c r="C235">
        <v>14</v>
      </c>
      <c r="D235">
        <v>712</v>
      </c>
      <c r="E235">
        <v>163</v>
      </c>
      <c r="F235" t="s">
        <v>36</v>
      </c>
      <c r="G235" t="s">
        <v>20</v>
      </c>
      <c r="H235">
        <v>73</v>
      </c>
      <c r="I235">
        <v>95</v>
      </c>
      <c r="J235">
        <v>62</v>
      </c>
      <c r="K235">
        <v>85</v>
      </c>
      <c r="L235">
        <v>65</v>
      </c>
      <c r="M235">
        <v>85</v>
      </c>
      <c r="N235">
        <f t="shared" si="24"/>
        <v>465</v>
      </c>
      <c r="O235" s="2">
        <f t="shared" si="25"/>
        <v>77.5</v>
      </c>
      <c r="P235" s="3">
        <f t="shared" si="26"/>
        <v>50.857142857142854</v>
      </c>
      <c r="Q235">
        <f t="shared" si="27"/>
        <v>1</v>
      </c>
      <c r="R235" t="str">
        <f t="shared" si="28"/>
        <v>Medium</v>
      </c>
      <c r="S235" s="3">
        <f t="shared" si="29"/>
        <v>180</v>
      </c>
      <c r="T235">
        <f t="shared" si="30"/>
        <v>127</v>
      </c>
      <c r="U235" t="str">
        <f t="shared" si="31"/>
        <v>Gen 2</v>
      </c>
    </row>
    <row r="236" spans="1:21" x14ac:dyDescent="0.25">
      <c r="A236">
        <v>235</v>
      </c>
      <c r="B236" t="s">
        <v>266</v>
      </c>
      <c r="C236">
        <v>12</v>
      </c>
      <c r="D236">
        <v>580</v>
      </c>
      <c r="E236">
        <v>88</v>
      </c>
      <c r="F236" t="s">
        <v>36</v>
      </c>
      <c r="G236" t="s">
        <v>20</v>
      </c>
      <c r="H236">
        <v>55</v>
      </c>
      <c r="I236">
        <v>20</v>
      </c>
      <c r="J236">
        <v>35</v>
      </c>
      <c r="K236">
        <v>20</v>
      </c>
      <c r="L236">
        <v>45</v>
      </c>
      <c r="M236">
        <v>75</v>
      </c>
      <c r="N236">
        <f t="shared" si="24"/>
        <v>250</v>
      </c>
      <c r="O236" s="2">
        <f t="shared" si="25"/>
        <v>41.666666666666664</v>
      </c>
      <c r="P236" s="3">
        <f t="shared" si="26"/>
        <v>48.333333333333336</v>
      </c>
      <c r="Q236">
        <f t="shared" si="27"/>
        <v>1</v>
      </c>
      <c r="R236" t="str">
        <f t="shared" si="28"/>
        <v>Low</v>
      </c>
      <c r="S236" s="3">
        <f t="shared" si="29"/>
        <v>40</v>
      </c>
      <c r="T236">
        <f t="shared" si="30"/>
        <v>80</v>
      </c>
      <c r="U236" t="str">
        <f t="shared" si="31"/>
        <v>Gen 2</v>
      </c>
    </row>
    <row r="237" spans="1:21" x14ac:dyDescent="0.25">
      <c r="A237">
        <v>236</v>
      </c>
      <c r="B237" t="s">
        <v>267</v>
      </c>
      <c r="C237">
        <v>7</v>
      </c>
      <c r="D237">
        <v>210</v>
      </c>
      <c r="E237">
        <v>42</v>
      </c>
      <c r="F237" t="s">
        <v>80</v>
      </c>
      <c r="G237" t="s">
        <v>20</v>
      </c>
      <c r="H237">
        <v>35</v>
      </c>
      <c r="I237">
        <v>35</v>
      </c>
      <c r="J237">
        <v>35</v>
      </c>
      <c r="K237">
        <v>35</v>
      </c>
      <c r="L237">
        <v>35</v>
      </c>
      <c r="M237">
        <v>35</v>
      </c>
      <c r="N237">
        <f t="shared" si="24"/>
        <v>210</v>
      </c>
      <c r="O237" s="2">
        <f t="shared" si="25"/>
        <v>35</v>
      </c>
      <c r="P237" s="3">
        <f t="shared" si="26"/>
        <v>30</v>
      </c>
      <c r="Q237">
        <f t="shared" si="27"/>
        <v>1</v>
      </c>
      <c r="R237" t="str">
        <f t="shared" si="28"/>
        <v>Low</v>
      </c>
      <c r="S237" s="3">
        <f t="shared" si="29"/>
        <v>70</v>
      </c>
      <c r="T237">
        <f t="shared" si="30"/>
        <v>70</v>
      </c>
      <c r="U237" t="str">
        <f t="shared" si="31"/>
        <v>Gen 2</v>
      </c>
    </row>
    <row r="238" spans="1:21" x14ac:dyDescent="0.25">
      <c r="A238">
        <v>237</v>
      </c>
      <c r="B238" t="s">
        <v>268</v>
      </c>
      <c r="C238">
        <v>14</v>
      </c>
      <c r="D238">
        <v>480</v>
      </c>
      <c r="E238">
        <v>159</v>
      </c>
      <c r="F238" t="s">
        <v>80</v>
      </c>
      <c r="G238" t="s">
        <v>20</v>
      </c>
      <c r="H238">
        <v>50</v>
      </c>
      <c r="I238">
        <v>95</v>
      </c>
      <c r="J238">
        <v>95</v>
      </c>
      <c r="K238">
        <v>35</v>
      </c>
      <c r="L238">
        <v>110</v>
      </c>
      <c r="M238">
        <v>70</v>
      </c>
      <c r="N238">
        <f t="shared" si="24"/>
        <v>455</v>
      </c>
      <c r="O238" s="2">
        <f t="shared" si="25"/>
        <v>75.833333333333329</v>
      </c>
      <c r="P238" s="3">
        <f t="shared" si="26"/>
        <v>34.285714285714285</v>
      </c>
      <c r="Q238">
        <f t="shared" si="27"/>
        <v>1</v>
      </c>
      <c r="R238" t="str">
        <f t="shared" si="28"/>
        <v>Medium</v>
      </c>
      <c r="S238" s="3">
        <f t="shared" si="29"/>
        <v>130</v>
      </c>
      <c r="T238">
        <f t="shared" si="30"/>
        <v>205</v>
      </c>
      <c r="U238" t="str">
        <f t="shared" si="31"/>
        <v>Gen 2</v>
      </c>
    </row>
    <row r="239" spans="1:21" x14ac:dyDescent="0.25">
      <c r="A239">
        <v>238</v>
      </c>
      <c r="B239" t="s">
        <v>269</v>
      </c>
      <c r="C239">
        <v>4</v>
      </c>
      <c r="D239">
        <v>60</v>
      </c>
      <c r="E239">
        <v>61</v>
      </c>
      <c r="F239" t="s">
        <v>115</v>
      </c>
      <c r="G239" t="s">
        <v>88</v>
      </c>
      <c r="H239">
        <v>45</v>
      </c>
      <c r="I239">
        <v>30</v>
      </c>
      <c r="J239">
        <v>15</v>
      </c>
      <c r="K239">
        <v>85</v>
      </c>
      <c r="L239">
        <v>65</v>
      </c>
      <c r="M239">
        <v>65</v>
      </c>
      <c r="N239">
        <f t="shared" si="24"/>
        <v>305</v>
      </c>
      <c r="O239" s="2">
        <f t="shared" si="25"/>
        <v>50.833333333333336</v>
      </c>
      <c r="P239" s="3">
        <f t="shared" si="26"/>
        <v>15</v>
      </c>
      <c r="Q239">
        <f t="shared" si="27"/>
        <v>2</v>
      </c>
      <c r="R239" t="str">
        <f t="shared" si="28"/>
        <v>Low</v>
      </c>
      <c r="S239" s="3">
        <f t="shared" si="29"/>
        <v>115</v>
      </c>
      <c r="T239">
        <f t="shared" si="30"/>
        <v>80</v>
      </c>
      <c r="U239" t="str">
        <f t="shared" si="31"/>
        <v>Gen 2</v>
      </c>
    </row>
    <row r="240" spans="1:21" x14ac:dyDescent="0.25">
      <c r="A240">
        <v>239</v>
      </c>
      <c r="B240" t="s">
        <v>270</v>
      </c>
      <c r="C240">
        <v>6</v>
      </c>
      <c r="D240">
        <v>235</v>
      </c>
      <c r="E240">
        <v>72</v>
      </c>
      <c r="F240" t="s">
        <v>46</v>
      </c>
      <c r="G240" t="s">
        <v>20</v>
      </c>
      <c r="H240">
        <v>45</v>
      </c>
      <c r="I240">
        <v>63</v>
      </c>
      <c r="J240">
        <v>37</v>
      </c>
      <c r="K240">
        <v>65</v>
      </c>
      <c r="L240">
        <v>55</v>
      </c>
      <c r="M240">
        <v>95</v>
      </c>
      <c r="N240">
        <f t="shared" si="24"/>
        <v>360</v>
      </c>
      <c r="O240" s="2">
        <f t="shared" si="25"/>
        <v>60</v>
      </c>
      <c r="P240" s="3">
        <f t="shared" si="26"/>
        <v>39.166666666666664</v>
      </c>
      <c r="Q240">
        <f t="shared" si="27"/>
        <v>1</v>
      </c>
      <c r="R240" t="str">
        <f t="shared" si="28"/>
        <v>Low</v>
      </c>
      <c r="S240" s="3">
        <f t="shared" si="29"/>
        <v>128</v>
      </c>
      <c r="T240">
        <f t="shared" si="30"/>
        <v>92</v>
      </c>
      <c r="U240" t="str">
        <f t="shared" si="31"/>
        <v>Gen 2</v>
      </c>
    </row>
    <row r="241" spans="1:21" x14ac:dyDescent="0.25">
      <c r="A241">
        <v>240</v>
      </c>
      <c r="B241" t="s">
        <v>271</v>
      </c>
      <c r="C241">
        <v>7</v>
      </c>
      <c r="D241">
        <v>214</v>
      </c>
      <c r="E241">
        <v>73</v>
      </c>
      <c r="F241" t="s">
        <v>19</v>
      </c>
      <c r="G241" t="s">
        <v>20</v>
      </c>
      <c r="H241">
        <v>45</v>
      </c>
      <c r="I241">
        <v>75</v>
      </c>
      <c r="J241">
        <v>37</v>
      </c>
      <c r="K241">
        <v>70</v>
      </c>
      <c r="L241">
        <v>55</v>
      </c>
      <c r="M241">
        <v>83</v>
      </c>
      <c r="N241">
        <f t="shared" si="24"/>
        <v>365</v>
      </c>
      <c r="O241" s="2">
        <f t="shared" si="25"/>
        <v>60.833333333333336</v>
      </c>
      <c r="P241" s="3">
        <f t="shared" si="26"/>
        <v>30.571428571428573</v>
      </c>
      <c r="Q241">
        <f t="shared" si="27"/>
        <v>1</v>
      </c>
      <c r="R241" t="str">
        <f t="shared" si="28"/>
        <v>Low</v>
      </c>
      <c r="S241" s="3">
        <f t="shared" si="29"/>
        <v>145</v>
      </c>
      <c r="T241">
        <f t="shared" si="30"/>
        <v>92</v>
      </c>
      <c r="U241" t="str">
        <f t="shared" si="31"/>
        <v>Gen 2</v>
      </c>
    </row>
    <row r="242" spans="1:21" x14ac:dyDescent="0.25">
      <c r="A242">
        <v>241</v>
      </c>
      <c r="B242" t="s">
        <v>272</v>
      </c>
      <c r="C242">
        <v>12</v>
      </c>
      <c r="D242">
        <v>755</v>
      </c>
      <c r="E242">
        <v>172</v>
      </c>
      <c r="F242" t="s">
        <v>36</v>
      </c>
      <c r="G242" t="s">
        <v>20</v>
      </c>
      <c r="H242">
        <v>95</v>
      </c>
      <c r="I242">
        <v>80</v>
      </c>
      <c r="J242">
        <v>105</v>
      </c>
      <c r="K242">
        <v>40</v>
      </c>
      <c r="L242">
        <v>70</v>
      </c>
      <c r="M242">
        <v>100</v>
      </c>
      <c r="N242">
        <f t="shared" si="24"/>
        <v>490</v>
      </c>
      <c r="O242" s="2">
        <f t="shared" si="25"/>
        <v>81.666666666666671</v>
      </c>
      <c r="P242" s="3">
        <f t="shared" si="26"/>
        <v>62.916666666666664</v>
      </c>
      <c r="Q242">
        <f t="shared" si="27"/>
        <v>1</v>
      </c>
      <c r="R242" t="str">
        <f t="shared" si="28"/>
        <v>Medium</v>
      </c>
      <c r="S242" s="3">
        <f t="shared" si="29"/>
        <v>120</v>
      </c>
      <c r="T242">
        <f t="shared" si="30"/>
        <v>175</v>
      </c>
      <c r="U242" t="str">
        <f t="shared" si="31"/>
        <v>Gen 2</v>
      </c>
    </row>
    <row r="243" spans="1:21" x14ac:dyDescent="0.25">
      <c r="A243">
        <v>242</v>
      </c>
      <c r="B243" t="s">
        <v>273</v>
      </c>
      <c r="C243">
        <v>15</v>
      </c>
      <c r="D243">
        <v>468</v>
      </c>
      <c r="E243">
        <v>608</v>
      </c>
      <c r="F243" t="s">
        <v>36</v>
      </c>
      <c r="G243" t="s">
        <v>20</v>
      </c>
      <c r="H243">
        <v>255</v>
      </c>
      <c r="I243">
        <v>10</v>
      </c>
      <c r="J243">
        <v>10</v>
      </c>
      <c r="K243">
        <v>75</v>
      </c>
      <c r="L243">
        <v>135</v>
      </c>
      <c r="M243">
        <v>55</v>
      </c>
      <c r="N243">
        <f t="shared" si="24"/>
        <v>540</v>
      </c>
      <c r="O243" s="2">
        <f t="shared" si="25"/>
        <v>90</v>
      </c>
      <c r="P243" s="3">
        <f t="shared" si="26"/>
        <v>31.2</v>
      </c>
      <c r="Q243">
        <f t="shared" si="27"/>
        <v>1</v>
      </c>
      <c r="R243" t="str">
        <f t="shared" si="28"/>
        <v>Legendary</v>
      </c>
      <c r="S243" s="3">
        <f t="shared" si="29"/>
        <v>85</v>
      </c>
      <c r="T243">
        <f t="shared" si="30"/>
        <v>145</v>
      </c>
      <c r="U243" t="str">
        <f t="shared" si="31"/>
        <v>Gen 2</v>
      </c>
    </row>
    <row r="244" spans="1:21" x14ac:dyDescent="0.25">
      <c r="A244">
        <v>243</v>
      </c>
      <c r="B244" t="s">
        <v>274</v>
      </c>
      <c r="C244">
        <v>19</v>
      </c>
      <c r="D244">
        <v>1780</v>
      </c>
      <c r="E244">
        <v>261</v>
      </c>
      <c r="F244" t="s">
        <v>46</v>
      </c>
      <c r="G244" t="s">
        <v>20</v>
      </c>
      <c r="H244">
        <v>90</v>
      </c>
      <c r="I244">
        <v>85</v>
      </c>
      <c r="J244">
        <v>75</v>
      </c>
      <c r="K244">
        <v>115</v>
      </c>
      <c r="L244">
        <v>100</v>
      </c>
      <c r="M244">
        <v>115</v>
      </c>
      <c r="N244">
        <f t="shared" si="24"/>
        <v>580</v>
      </c>
      <c r="O244" s="2">
        <f t="shared" si="25"/>
        <v>96.666666666666671</v>
      </c>
      <c r="P244" s="3">
        <f t="shared" si="26"/>
        <v>93.684210526315795</v>
      </c>
      <c r="Q244">
        <f t="shared" si="27"/>
        <v>1</v>
      </c>
      <c r="R244" t="str">
        <f t="shared" si="28"/>
        <v>Legendary</v>
      </c>
      <c r="S244" s="3">
        <f t="shared" si="29"/>
        <v>200</v>
      </c>
      <c r="T244">
        <f t="shared" si="30"/>
        <v>175</v>
      </c>
      <c r="U244" t="str">
        <f t="shared" si="31"/>
        <v>Gen 2</v>
      </c>
    </row>
    <row r="245" spans="1:21" x14ac:dyDescent="0.25">
      <c r="A245">
        <v>244</v>
      </c>
      <c r="B245" t="s">
        <v>275</v>
      </c>
      <c r="C245">
        <v>21</v>
      </c>
      <c r="D245">
        <v>1980</v>
      </c>
      <c r="E245">
        <v>261</v>
      </c>
      <c r="F245" t="s">
        <v>19</v>
      </c>
      <c r="G245" t="s">
        <v>20</v>
      </c>
      <c r="H245">
        <v>115</v>
      </c>
      <c r="I245">
        <v>115</v>
      </c>
      <c r="J245">
        <v>85</v>
      </c>
      <c r="K245">
        <v>90</v>
      </c>
      <c r="L245">
        <v>75</v>
      </c>
      <c r="M245">
        <v>100</v>
      </c>
      <c r="N245">
        <f t="shared" si="24"/>
        <v>580</v>
      </c>
      <c r="O245" s="2">
        <f t="shared" si="25"/>
        <v>96.666666666666671</v>
      </c>
      <c r="P245" s="3">
        <f t="shared" si="26"/>
        <v>94.285714285714292</v>
      </c>
      <c r="Q245">
        <f t="shared" si="27"/>
        <v>1</v>
      </c>
      <c r="R245" t="str">
        <f t="shared" si="28"/>
        <v>Legendary</v>
      </c>
      <c r="S245" s="3">
        <f t="shared" si="29"/>
        <v>205</v>
      </c>
      <c r="T245">
        <f t="shared" si="30"/>
        <v>160</v>
      </c>
      <c r="U245" t="str">
        <f t="shared" si="31"/>
        <v>Gen 2</v>
      </c>
    </row>
    <row r="246" spans="1:21" x14ac:dyDescent="0.25">
      <c r="A246">
        <v>245</v>
      </c>
      <c r="B246" t="s">
        <v>276</v>
      </c>
      <c r="C246">
        <v>20</v>
      </c>
      <c r="D246">
        <v>1870</v>
      </c>
      <c r="E246">
        <v>261</v>
      </c>
      <c r="F246" t="s">
        <v>25</v>
      </c>
      <c r="G246" t="s">
        <v>20</v>
      </c>
      <c r="H246">
        <v>100</v>
      </c>
      <c r="I246">
        <v>75</v>
      </c>
      <c r="J246">
        <v>115</v>
      </c>
      <c r="K246">
        <v>90</v>
      </c>
      <c r="L246">
        <v>115</v>
      </c>
      <c r="M246">
        <v>85</v>
      </c>
      <c r="N246">
        <f t="shared" si="24"/>
        <v>580</v>
      </c>
      <c r="O246" s="2">
        <f t="shared" si="25"/>
        <v>96.666666666666671</v>
      </c>
      <c r="P246" s="3">
        <f t="shared" si="26"/>
        <v>93.5</v>
      </c>
      <c r="Q246">
        <f t="shared" si="27"/>
        <v>1</v>
      </c>
      <c r="R246" t="str">
        <f t="shared" si="28"/>
        <v>Legendary</v>
      </c>
      <c r="S246" s="3">
        <f t="shared" si="29"/>
        <v>165</v>
      </c>
      <c r="T246">
        <f t="shared" si="30"/>
        <v>230</v>
      </c>
      <c r="U246" t="str">
        <f t="shared" si="31"/>
        <v>Gen 2</v>
      </c>
    </row>
    <row r="247" spans="1:21" x14ac:dyDescent="0.25">
      <c r="A247">
        <v>246</v>
      </c>
      <c r="B247" t="s">
        <v>277</v>
      </c>
      <c r="C247">
        <v>6</v>
      </c>
      <c r="D247">
        <v>720</v>
      </c>
      <c r="E247">
        <v>60</v>
      </c>
      <c r="F247" t="s">
        <v>100</v>
      </c>
      <c r="G247" t="s">
        <v>49</v>
      </c>
      <c r="H247">
        <v>50</v>
      </c>
      <c r="I247">
        <v>64</v>
      </c>
      <c r="J247">
        <v>50</v>
      </c>
      <c r="K247">
        <v>45</v>
      </c>
      <c r="L247">
        <v>50</v>
      </c>
      <c r="M247">
        <v>41</v>
      </c>
      <c r="N247">
        <f t="shared" si="24"/>
        <v>300</v>
      </c>
      <c r="O247" s="2">
        <f t="shared" si="25"/>
        <v>50</v>
      </c>
      <c r="P247" s="3">
        <f t="shared" si="26"/>
        <v>120</v>
      </c>
      <c r="Q247">
        <f t="shared" si="27"/>
        <v>2</v>
      </c>
      <c r="R247" t="str">
        <f t="shared" si="28"/>
        <v>Low</v>
      </c>
      <c r="S247" s="3">
        <f t="shared" si="29"/>
        <v>109</v>
      </c>
      <c r="T247">
        <f t="shared" si="30"/>
        <v>100</v>
      </c>
      <c r="U247" t="str">
        <f t="shared" si="31"/>
        <v>Gen 2</v>
      </c>
    </row>
    <row r="248" spans="1:21" x14ac:dyDescent="0.25">
      <c r="A248">
        <v>247</v>
      </c>
      <c r="B248" t="s">
        <v>278</v>
      </c>
      <c r="C248">
        <v>12</v>
      </c>
      <c r="D248">
        <v>1520</v>
      </c>
      <c r="E248">
        <v>144</v>
      </c>
      <c r="F248" t="s">
        <v>100</v>
      </c>
      <c r="G248" t="s">
        <v>49</v>
      </c>
      <c r="H248">
        <v>70</v>
      </c>
      <c r="I248">
        <v>84</v>
      </c>
      <c r="J248">
        <v>70</v>
      </c>
      <c r="K248">
        <v>65</v>
      </c>
      <c r="L248">
        <v>70</v>
      </c>
      <c r="M248">
        <v>51</v>
      </c>
      <c r="N248">
        <f t="shared" si="24"/>
        <v>410</v>
      </c>
      <c r="O248" s="2">
        <f t="shared" si="25"/>
        <v>68.333333333333329</v>
      </c>
      <c r="P248" s="3">
        <f t="shared" si="26"/>
        <v>126.66666666666667</v>
      </c>
      <c r="Q248">
        <f t="shared" si="27"/>
        <v>2</v>
      </c>
      <c r="R248" t="str">
        <f t="shared" si="28"/>
        <v>Medium</v>
      </c>
      <c r="S248" s="3">
        <f t="shared" si="29"/>
        <v>149</v>
      </c>
      <c r="T248">
        <f t="shared" si="30"/>
        <v>140</v>
      </c>
      <c r="U248" t="str">
        <f t="shared" si="31"/>
        <v>Gen 2</v>
      </c>
    </row>
    <row r="249" spans="1:21" x14ac:dyDescent="0.25">
      <c r="A249">
        <v>248</v>
      </c>
      <c r="B249" t="s">
        <v>279</v>
      </c>
      <c r="C249">
        <v>20</v>
      </c>
      <c r="D249">
        <v>2020</v>
      </c>
      <c r="E249">
        <v>270</v>
      </c>
      <c r="F249" t="s">
        <v>100</v>
      </c>
      <c r="G249" t="s">
        <v>228</v>
      </c>
      <c r="H249">
        <v>100</v>
      </c>
      <c r="I249">
        <v>134</v>
      </c>
      <c r="J249">
        <v>110</v>
      </c>
      <c r="K249">
        <v>95</v>
      </c>
      <c r="L249">
        <v>100</v>
      </c>
      <c r="M249">
        <v>61</v>
      </c>
      <c r="N249">
        <f t="shared" si="24"/>
        <v>600</v>
      </c>
      <c r="O249" s="2">
        <f t="shared" si="25"/>
        <v>100</v>
      </c>
      <c r="P249" s="3">
        <f t="shared" si="26"/>
        <v>101</v>
      </c>
      <c r="Q249">
        <f t="shared" si="27"/>
        <v>2</v>
      </c>
      <c r="R249" t="str">
        <f t="shared" si="28"/>
        <v>Legendary</v>
      </c>
      <c r="S249" s="3">
        <f t="shared" si="29"/>
        <v>229</v>
      </c>
      <c r="T249">
        <f t="shared" si="30"/>
        <v>210</v>
      </c>
      <c r="U249" t="str">
        <f t="shared" si="31"/>
        <v>Gen 2</v>
      </c>
    </row>
    <row r="250" spans="1:21" x14ac:dyDescent="0.25">
      <c r="A250">
        <v>249</v>
      </c>
      <c r="B250" t="s">
        <v>280</v>
      </c>
      <c r="C250">
        <v>52</v>
      </c>
      <c r="D250">
        <v>2160</v>
      </c>
      <c r="E250">
        <v>306</v>
      </c>
      <c r="F250" t="s">
        <v>88</v>
      </c>
      <c r="G250" t="s">
        <v>23</v>
      </c>
      <c r="H250">
        <v>106</v>
      </c>
      <c r="I250">
        <v>90</v>
      </c>
      <c r="J250">
        <v>130</v>
      </c>
      <c r="K250">
        <v>90</v>
      </c>
      <c r="L250">
        <v>154</v>
      </c>
      <c r="M250">
        <v>110</v>
      </c>
      <c r="N250">
        <f t="shared" si="24"/>
        <v>680</v>
      </c>
      <c r="O250" s="2">
        <f t="shared" si="25"/>
        <v>113.33333333333333</v>
      </c>
      <c r="P250" s="3">
        <f t="shared" si="26"/>
        <v>41.53846153846154</v>
      </c>
      <c r="Q250">
        <f t="shared" si="27"/>
        <v>2</v>
      </c>
      <c r="R250" t="str">
        <f t="shared" si="28"/>
        <v>Legendary</v>
      </c>
      <c r="S250" s="3">
        <f t="shared" si="29"/>
        <v>180</v>
      </c>
      <c r="T250">
        <f t="shared" si="30"/>
        <v>284</v>
      </c>
      <c r="U250" t="str">
        <f t="shared" si="31"/>
        <v>Gen 2</v>
      </c>
    </row>
    <row r="251" spans="1:21" x14ac:dyDescent="0.25">
      <c r="A251">
        <v>250</v>
      </c>
      <c r="B251" t="s">
        <v>281</v>
      </c>
      <c r="C251">
        <v>38</v>
      </c>
      <c r="D251">
        <v>1990</v>
      </c>
      <c r="E251">
        <v>306</v>
      </c>
      <c r="F251" t="s">
        <v>19</v>
      </c>
      <c r="G251" t="s">
        <v>23</v>
      </c>
      <c r="H251">
        <v>106</v>
      </c>
      <c r="I251">
        <v>130</v>
      </c>
      <c r="J251">
        <v>90</v>
      </c>
      <c r="K251">
        <v>110</v>
      </c>
      <c r="L251">
        <v>154</v>
      </c>
      <c r="M251">
        <v>90</v>
      </c>
      <c r="N251">
        <f t="shared" si="24"/>
        <v>680</v>
      </c>
      <c r="O251" s="2">
        <f t="shared" si="25"/>
        <v>113.33333333333333</v>
      </c>
      <c r="P251" s="3">
        <f t="shared" si="26"/>
        <v>52.368421052631582</v>
      </c>
      <c r="Q251">
        <f t="shared" si="27"/>
        <v>2</v>
      </c>
      <c r="R251" t="str">
        <f t="shared" si="28"/>
        <v>Legendary</v>
      </c>
      <c r="S251" s="3">
        <f t="shared" si="29"/>
        <v>240</v>
      </c>
      <c r="T251">
        <f t="shared" si="30"/>
        <v>244</v>
      </c>
      <c r="U251" t="s">
        <v>416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EB1BA-9877-4626-BE8E-FABECF89A4F9}">
  <dimension ref="A1:M251"/>
  <sheetViews>
    <sheetView workbookViewId="0">
      <pane ySplit="1" topLeftCell="A2" activePane="bottomLeft" state="frozen"/>
      <selection pane="bottomLeft" activeCell="N1" sqref="N1"/>
    </sheetView>
  </sheetViews>
  <sheetFormatPr defaultRowHeight="15" x14ac:dyDescent="0.25"/>
  <cols>
    <col min="1" max="1" width="19.7109375" customWidth="1"/>
    <col min="11" max="11" width="13.5703125" customWidth="1"/>
    <col min="12" max="12" width="16" customWidth="1"/>
    <col min="13" max="13" width="17.85546875"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1</v>
      </c>
      <c r="B2" t="s">
        <v>13</v>
      </c>
      <c r="C2">
        <v>7</v>
      </c>
      <c r="D2">
        <v>69</v>
      </c>
      <c r="E2">
        <v>64</v>
      </c>
      <c r="F2" t="s">
        <v>14</v>
      </c>
      <c r="G2" t="s">
        <v>15</v>
      </c>
      <c r="H2">
        <v>45</v>
      </c>
      <c r="I2">
        <v>49</v>
      </c>
      <c r="J2">
        <v>49</v>
      </c>
      <c r="K2">
        <v>65</v>
      </c>
      <c r="L2">
        <v>65</v>
      </c>
      <c r="M2">
        <v>45</v>
      </c>
    </row>
    <row r="3" spans="1:13" x14ac:dyDescent="0.25">
      <c r="A3">
        <v>2</v>
      </c>
      <c r="B3" t="s">
        <v>16</v>
      </c>
      <c r="C3">
        <v>10</v>
      </c>
      <c r="D3">
        <v>130</v>
      </c>
      <c r="E3">
        <v>142</v>
      </c>
      <c r="F3" t="s">
        <v>14</v>
      </c>
      <c r="G3" t="s">
        <v>15</v>
      </c>
      <c r="H3">
        <v>60</v>
      </c>
      <c r="I3">
        <v>62</v>
      </c>
      <c r="J3">
        <v>63</v>
      </c>
      <c r="K3">
        <v>80</v>
      </c>
      <c r="L3">
        <v>80</v>
      </c>
      <c r="M3">
        <v>60</v>
      </c>
    </row>
    <row r="4" spans="1:13" x14ac:dyDescent="0.25">
      <c r="A4">
        <v>3</v>
      </c>
      <c r="B4" t="s">
        <v>17</v>
      </c>
      <c r="C4">
        <v>20</v>
      </c>
      <c r="D4">
        <v>1000</v>
      </c>
      <c r="E4">
        <v>236</v>
      </c>
      <c r="F4" t="s">
        <v>14</v>
      </c>
      <c r="G4" t="s">
        <v>15</v>
      </c>
      <c r="H4">
        <v>80</v>
      </c>
      <c r="I4">
        <v>82</v>
      </c>
      <c r="J4">
        <v>83</v>
      </c>
      <c r="K4">
        <v>100</v>
      </c>
      <c r="L4">
        <v>100</v>
      </c>
      <c r="M4">
        <v>80</v>
      </c>
    </row>
    <row r="5" spans="1:13" x14ac:dyDescent="0.25">
      <c r="A5">
        <v>4</v>
      </c>
      <c r="B5" t="s">
        <v>18</v>
      </c>
      <c r="C5">
        <v>6</v>
      </c>
      <c r="D5">
        <v>85</v>
      </c>
      <c r="E5">
        <v>62</v>
      </c>
      <c r="F5" t="s">
        <v>19</v>
      </c>
      <c r="G5" t="s">
        <v>20</v>
      </c>
      <c r="H5">
        <v>39</v>
      </c>
      <c r="I5">
        <v>52</v>
      </c>
      <c r="J5">
        <v>43</v>
      </c>
      <c r="K5">
        <v>60</v>
      </c>
      <c r="L5">
        <v>50</v>
      </c>
      <c r="M5">
        <v>65</v>
      </c>
    </row>
    <row r="6" spans="1:13" x14ac:dyDescent="0.25">
      <c r="A6">
        <v>5</v>
      </c>
      <c r="B6" t="s">
        <v>21</v>
      </c>
      <c r="C6">
        <v>11</v>
      </c>
      <c r="D6">
        <v>190</v>
      </c>
      <c r="E6">
        <v>142</v>
      </c>
      <c r="F6" t="s">
        <v>19</v>
      </c>
      <c r="G6" t="s">
        <v>20</v>
      </c>
      <c r="H6">
        <v>58</v>
      </c>
      <c r="I6">
        <v>64</v>
      </c>
      <c r="J6">
        <v>58</v>
      </c>
      <c r="K6">
        <v>80</v>
      </c>
      <c r="L6">
        <v>65</v>
      </c>
      <c r="M6">
        <v>80</v>
      </c>
    </row>
    <row r="7" spans="1:13" x14ac:dyDescent="0.25">
      <c r="A7">
        <v>6</v>
      </c>
      <c r="B7" t="s">
        <v>22</v>
      </c>
      <c r="C7">
        <v>17</v>
      </c>
      <c r="D7">
        <v>905</v>
      </c>
      <c r="E7">
        <v>240</v>
      </c>
      <c r="F7" t="s">
        <v>19</v>
      </c>
      <c r="G7" t="s">
        <v>23</v>
      </c>
      <c r="H7">
        <v>78</v>
      </c>
      <c r="I7">
        <v>84</v>
      </c>
      <c r="J7">
        <v>78</v>
      </c>
      <c r="K7">
        <v>109</v>
      </c>
      <c r="L7">
        <v>85</v>
      </c>
      <c r="M7">
        <v>100</v>
      </c>
    </row>
    <row r="8" spans="1:13" x14ac:dyDescent="0.25">
      <c r="A8">
        <v>7</v>
      </c>
      <c r="B8" t="s">
        <v>24</v>
      </c>
      <c r="C8">
        <v>5</v>
      </c>
      <c r="D8">
        <v>90</v>
      </c>
      <c r="E8">
        <v>63</v>
      </c>
      <c r="F8" t="s">
        <v>25</v>
      </c>
      <c r="G8" t="s">
        <v>20</v>
      </c>
      <c r="H8">
        <v>44</v>
      </c>
      <c r="I8">
        <v>48</v>
      </c>
      <c r="J8">
        <v>65</v>
      </c>
      <c r="K8">
        <v>50</v>
      </c>
      <c r="L8">
        <v>64</v>
      </c>
      <c r="M8">
        <v>43</v>
      </c>
    </row>
    <row r="9" spans="1:13" x14ac:dyDescent="0.25">
      <c r="A9">
        <v>8</v>
      </c>
      <c r="B9" t="s">
        <v>26</v>
      </c>
      <c r="C9">
        <v>10</v>
      </c>
      <c r="D9">
        <v>225</v>
      </c>
      <c r="E9">
        <v>142</v>
      </c>
      <c r="F9" t="s">
        <v>25</v>
      </c>
      <c r="G9" t="s">
        <v>20</v>
      </c>
      <c r="H9">
        <v>59</v>
      </c>
      <c r="I9">
        <v>63</v>
      </c>
      <c r="J9">
        <v>80</v>
      </c>
      <c r="K9">
        <v>65</v>
      </c>
      <c r="L9">
        <v>80</v>
      </c>
      <c r="M9">
        <v>58</v>
      </c>
    </row>
    <row r="10" spans="1:13" x14ac:dyDescent="0.25">
      <c r="A10">
        <v>9</v>
      </c>
      <c r="B10" t="s">
        <v>27</v>
      </c>
      <c r="C10">
        <v>16</v>
      </c>
      <c r="D10">
        <v>855</v>
      </c>
      <c r="E10">
        <v>239</v>
      </c>
      <c r="F10" t="s">
        <v>25</v>
      </c>
      <c r="G10" t="s">
        <v>20</v>
      </c>
      <c r="H10">
        <v>79</v>
      </c>
      <c r="I10">
        <v>83</v>
      </c>
      <c r="J10">
        <v>100</v>
      </c>
      <c r="K10">
        <v>85</v>
      </c>
      <c r="L10">
        <v>105</v>
      </c>
      <c r="M10">
        <v>78</v>
      </c>
    </row>
    <row r="11" spans="1:13" x14ac:dyDescent="0.25">
      <c r="A11">
        <v>10</v>
      </c>
      <c r="B11" t="s">
        <v>28</v>
      </c>
      <c r="C11">
        <v>3</v>
      </c>
      <c r="D11">
        <v>29</v>
      </c>
      <c r="E11">
        <v>39</v>
      </c>
      <c r="F11" t="s">
        <v>29</v>
      </c>
      <c r="G11" t="s">
        <v>20</v>
      </c>
      <c r="H11">
        <v>45</v>
      </c>
      <c r="I11">
        <v>30</v>
      </c>
      <c r="J11">
        <v>35</v>
      </c>
      <c r="K11">
        <v>20</v>
      </c>
      <c r="L11">
        <v>20</v>
      </c>
      <c r="M11">
        <v>45</v>
      </c>
    </row>
    <row r="12" spans="1:13" x14ac:dyDescent="0.25">
      <c r="A12">
        <v>11</v>
      </c>
      <c r="B12" t="s">
        <v>30</v>
      </c>
      <c r="C12">
        <v>7</v>
      </c>
      <c r="D12">
        <v>99</v>
      </c>
      <c r="E12">
        <v>72</v>
      </c>
      <c r="F12" t="s">
        <v>29</v>
      </c>
      <c r="G12" t="s">
        <v>20</v>
      </c>
      <c r="H12">
        <v>50</v>
      </c>
      <c r="I12">
        <v>20</v>
      </c>
      <c r="J12">
        <v>55</v>
      </c>
      <c r="K12">
        <v>25</v>
      </c>
      <c r="L12">
        <v>25</v>
      </c>
      <c r="M12">
        <v>30</v>
      </c>
    </row>
    <row r="13" spans="1:13" x14ac:dyDescent="0.25">
      <c r="A13">
        <v>12</v>
      </c>
      <c r="B13" t="s">
        <v>31</v>
      </c>
      <c r="C13">
        <v>11</v>
      </c>
      <c r="D13">
        <v>320</v>
      </c>
      <c r="E13">
        <v>178</v>
      </c>
      <c r="F13" t="s">
        <v>29</v>
      </c>
      <c r="G13" t="s">
        <v>23</v>
      </c>
      <c r="H13">
        <v>60</v>
      </c>
      <c r="I13">
        <v>45</v>
      </c>
      <c r="J13">
        <v>50</v>
      </c>
      <c r="K13">
        <v>90</v>
      </c>
      <c r="L13">
        <v>80</v>
      </c>
      <c r="M13">
        <v>70</v>
      </c>
    </row>
    <row r="14" spans="1:13" x14ac:dyDescent="0.25">
      <c r="A14">
        <v>13</v>
      </c>
      <c r="B14" t="s">
        <v>32</v>
      </c>
      <c r="C14">
        <v>3</v>
      </c>
      <c r="D14">
        <v>32</v>
      </c>
      <c r="E14">
        <v>39</v>
      </c>
      <c r="F14" t="s">
        <v>29</v>
      </c>
      <c r="G14" t="s">
        <v>15</v>
      </c>
      <c r="H14">
        <v>40</v>
      </c>
      <c r="I14">
        <v>35</v>
      </c>
      <c r="J14">
        <v>30</v>
      </c>
      <c r="K14">
        <v>20</v>
      </c>
      <c r="L14">
        <v>20</v>
      </c>
      <c r="M14">
        <v>50</v>
      </c>
    </row>
    <row r="15" spans="1:13" x14ac:dyDescent="0.25">
      <c r="A15">
        <v>14</v>
      </c>
      <c r="B15" t="s">
        <v>33</v>
      </c>
      <c r="C15">
        <v>6</v>
      </c>
      <c r="D15">
        <v>100</v>
      </c>
      <c r="E15">
        <v>72</v>
      </c>
      <c r="F15" t="s">
        <v>29</v>
      </c>
      <c r="G15" t="s">
        <v>15</v>
      </c>
      <c r="H15">
        <v>45</v>
      </c>
      <c r="I15">
        <v>25</v>
      </c>
      <c r="J15">
        <v>50</v>
      </c>
      <c r="K15">
        <v>25</v>
      </c>
      <c r="L15">
        <v>25</v>
      </c>
      <c r="M15">
        <v>35</v>
      </c>
    </row>
    <row r="16" spans="1:13" x14ac:dyDescent="0.25">
      <c r="A16">
        <v>15</v>
      </c>
      <c r="B16" t="s">
        <v>34</v>
      </c>
      <c r="C16">
        <v>10</v>
      </c>
      <c r="D16">
        <v>295</v>
      </c>
      <c r="E16">
        <v>178</v>
      </c>
      <c r="F16" t="s">
        <v>29</v>
      </c>
      <c r="G16" t="s">
        <v>15</v>
      </c>
      <c r="H16">
        <v>65</v>
      </c>
      <c r="I16">
        <v>90</v>
      </c>
      <c r="J16">
        <v>40</v>
      </c>
      <c r="K16">
        <v>45</v>
      </c>
      <c r="L16">
        <v>80</v>
      </c>
      <c r="M16">
        <v>75</v>
      </c>
    </row>
    <row r="17" spans="1:13" x14ac:dyDescent="0.25">
      <c r="A17">
        <v>16</v>
      </c>
      <c r="B17" t="s">
        <v>35</v>
      </c>
      <c r="C17">
        <v>3</v>
      </c>
      <c r="D17">
        <v>18</v>
      </c>
      <c r="E17">
        <v>50</v>
      </c>
      <c r="F17" t="s">
        <v>36</v>
      </c>
      <c r="G17" t="s">
        <v>23</v>
      </c>
      <c r="H17">
        <v>40</v>
      </c>
      <c r="I17">
        <v>45</v>
      </c>
      <c r="J17">
        <v>40</v>
      </c>
      <c r="K17">
        <v>35</v>
      </c>
      <c r="L17">
        <v>35</v>
      </c>
      <c r="M17">
        <v>56</v>
      </c>
    </row>
    <row r="18" spans="1:13" x14ac:dyDescent="0.25">
      <c r="A18">
        <v>17</v>
      </c>
      <c r="B18" t="s">
        <v>37</v>
      </c>
      <c r="C18">
        <v>11</v>
      </c>
      <c r="D18">
        <v>300</v>
      </c>
      <c r="E18">
        <v>122</v>
      </c>
      <c r="F18" t="s">
        <v>36</v>
      </c>
      <c r="G18" t="s">
        <v>23</v>
      </c>
      <c r="H18">
        <v>63</v>
      </c>
      <c r="I18">
        <v>60</v>
      </c>
      <c r="J18">
        <v>55</v>
      </c>
      <c r="K18">
        <v>50</v>
      </c>
      <c r="L18">
        <v>50</v>
      </c>
      <c r="M18">
        <v>71</v>
      </c>
    </row>
    <row r="19" spans="1:13" x14ac:dyDescent="0.25">
      <c r="A19">
        <v>18</v>
      </c>
      <c r="B19" t="s">
        <v>38</v>
      </c>
      <c r="C19">
        <v>15</v>
      </c>
      <c r="D19">
        <v>395</v>
      </c>
      <c r="E19">
        <v>216</v>
      </c>
      <c r="F19" t="s">
        <v>36</v>
      </c>
      <c r="G19" t="s">
        <v>23</v>
      </c>
      <c r="H19">
        <v>83</v>
      </c>
      <c r="I19">
        <v>80</v>
      </c>
      <c r="J19">
        <v>75</v>
      </c>
      <c r="K19">
        <v>70</v>
      </c>
      <c r="L19">
        <v>70</v>
      </c>
      <c r="M19">
        <v>101</v>
      </c>
    </row>
    <row r="20" spans="1:13" x14ac:dyDescent="0.25">
      <c r="A20">
        <v>19</v>
      </c>
      <c r="B20" t="s">
        <v>39</v>
      </c>
      <c r="C20">
        <v>3</v>
      </c>
      <c r="D20">
        <v>35</v>
      </c>
      <c r="E20">
        <v>51</v>
      </c>
      <c r="F20" t="s">
        <v>36</v>
      </c>
      <c r="G20" t="s">
        <v>20</v>
      </c>
      <c r="H20">
        <v>30</v>
      </c>
      <c r="I20">
        <v>56</v>
      </c>
      <c r="J20">
        <v>35</v>
      </c>
      <c r="K20">
        <v>25</v>
      </c>
      <c r="L20">
        <v>35</v>
      </c>
      <c r="M20">
        <v>72</v>
      </c>
    </row>
    <row r="21" spans="1:13" x14ac:dyDescent="0.25">
      <c r="A21">
        <v>20</v>
      </c>
      <c r="B21" t="s">
        <v>40</v>
      </c>
      <c r="C21">
        <v>7</v>
      </c>
      <c r="D21">
        <v>185</v>
      </c>
      <c r="E21">
        <v>145</v>
      </c>
      <c r="F21" t="s">
        <v>36</v>
      </c>
      <c r="G21" t="s">
        <v>20</v>
      </c>
      <c r="H21">
        <v>55</v>
      </c>
      <c r="I21">
        <v>81</v>
      </c>
      <c r="J21">
        <v>60</v>
      </c>
      <c r="K21">
        <v>50</v>
      </c>
      <c r="L21">
        <v>70</v>
      </c>
      <c r="M21">
        <v>97</v>
      </c>
    </row>
    <row r="22" spans="1:13" x14ac:dyDescent="0.25">
      <c r="A22">
        <v>21</v>
      </c>
      <c r="B22" t="s">
        <v>41</v>
      </c>
      <c r="C22">
        <v>3</v>
      </c>
      <c r="D22">
        <v>20</v>
      </c>
      <c r="E22">
        <v>52</v>
      </c>
      <c r="F22" t="s">
        <v>36</v>
      </c>
      <c r="G22" t="s">
        <v>23</v>
      </c>
      <c r="H22">
        <v>40</v>
      </c>
      <c r="I22">
        <v>60</v>
      </c>
      <c r="J22">
        <v>30</v>
      </c>
      <c r="K22">
        <v>31</v>
      </c>
      <c r="L22">
        <v>31</v>
      </c>
      <c r="M22">
        <v>70</v>
      </c>
    </row>
    <row r="23" spans="1:13" x14ac:dyDescent="0.25">
      <c r="A23">
        <v>22</v>
      </c>
      <c r="B23" t="s">
        <v>42</v>
      </c>
      <c r="C23">
        <v>12</v>
      </c>
      <c r="D23">
        <v>380</v>
      </c>
      <c r="E23">
        <v>155</v>
      </c>
      <c r="F23" t="s">
        <v>36</v>
      </c>
      <c r="G23" t="s">
        <v>23</v>
      </c>
      <c r="H23">
        <v>65</v>
      </c>
      <c r="I23">
        <v>90</v>
      </c>
      <c r="J23">
        <v>65</v>
      </c>
      <c r="K23">
        <v>61</v>
      </c>
      <c r="L23">
        <v>61</v>
      </c>
      <c r="M23">
        <v>100</v>
      </c>
    </row>
    <row r="24" spans="1:13" x14ac:dyDescent="0.25">
      <c r="A24">
        <v>23</v>
      </c>
      <c r="B24" t="s">
        <v>43</v>
      </c>
      <c r="C24">
        <v>20</v>
      </c>
      <c r="D24">
        <v>69</v>
      </c>
      <c r="E24">
        <v>58</v>
      </c>
      <c r="F24" t="s">
        <v>15</v>
      </c>
      <c r="G24" t="s">
        <v>20</v>
      </c>
      <c r="H24">
        <v>35</v>
      </c>
      <c r="I24">
        <v>60</v>
      </c>
      <c r="J24">
        <v>44</v>
      </c>
      <c r="K24">
        <v>40</v>
      </c>
      <c r="L24">
        <v>54</v>
      </c>
      <c r="M24">
        <v>55</v>
      </c>
    </row>
    <row r="25" spans="1:13" x14ac:dyDescent="0.25">
      <c r="A25">
        <v>24</v>
      </c>
      <c r="B25" t="s">
        <v>44</v>
      </c>
      <c r="C25">
        <v>35</v>
      </c>
      <c r="D25">
        <v>650</v>
      </c>
      <c r="E25">
        <v>157</v>
      </c>
      <c r="F25" t="s">
        <v>15</v>
      </c>
      <c r="G25" t="s">
        <v>20</v>
      </c>
      <c r="H25">
        <v>60</v>
      </c>
      <c r="I25">
        <v>95</v>
      </c>
      <c r="J25">
        <v>69</v>
      </c>
      <c r="K25">
        <v>65</v>
      </c>
      <c r="L25">
        <v>79</v>
      </c>
      <c r="M25">
        <v>80</v>
      </c>
    </row>
    <row r="26" spans="1:13" x14ac:dyDescent="0.25">
      <c r="A26">
        <v>25</v>
      </c>
      <c r="B26" t="s">
        <v>45</v>
      </c>
      <c r="C26">
        <v>4</v>
      </c>
      <c r="D26">
        <v>60</v>
      </c>
      <c r="E26">
        <v>112</v>
      </c>
      <c r="F26" t="s">
        <v>46</v>
      </c>
      <c r="G26" t="s">
        <v>20</v>
      </c>
      <c r="H26">
        <v>35</v>
      </c>
      <c r="I26">
        <v>55</v>
      </c>
      <c r="J26">
        <v>40</v>
      </c>
      <c r="K26">
        <v>50</v>
      </c>
      <c r="L26">
        <v>50</v>
      </c>
      <c r="M26">
        <v>90</v>
      </c>
    </row>
    <row r="27" spans="1:13" x14ac:dyDescent="0.25">
      <c r="A27">
        <v>26</v>
      </c>
      <c r="B27" t="s">
        <v>47</v>
      </c>
      <c r="C27">
        <v>8</v>
      </c>
      <c r="D27">
        <v>300</v>
      </c>
      <c r="E27">
        <v>218</v>
      </c>
      <c r="F27" t="s">
        <v>46</v>
      </c>
      <c r="G27" t="s">
        <v>20</v>
      </c>
      <c r="H27">
        <v>60</v>
      </c>
      <c r="I27">
        <v>90</v>
      </c>
      <c r="J27">
        <v>55</v>
      </c>
      <c r="K27">
        <v>90</v>
      </c>
      <c r="L27">
        <v>80</v>
      </c>
      <c r="M27">
        <v>110</v>
      </c>
    </row>
    <row r="28" spans="1:13" x14ac:dyDescent="0.25">
      <c r="A28">
        <v>27</v>
      </c>
      <c r="B28" t="s">
        <v>48</v>
      </c>
      <c r="C28">
        <v>6</v>
      </c>
      <c r="D28">
        <v>120</v>
      </c>
      <c r="E28">
        <v>60</v>
      </c>
      <c r="F28" t="s">
        <v>49</v>
      </c>
      <c r="G28" t="s">
        <v>20</v>
      </c>
      <c r="H28">
        <v>50</v>
      </c>
      <c r="I28">
        <v>75</v>
      </c>
      <c r="J28">
        <v>85</v>
      </c>
      <c r="K28">
        <v>20</v>
      </c>
      <c r="L28">
        <v>30</v>
      </c>
      <c r="M28">
        <v>40</v>
      </c>
    </row>
    <row r="29" spans="1:13" x14ac:dyDescent="0.25">
      <c r="A29">
        <v>28</v>
      </c>
      <c r="B29" t="s">
        <v>50</v>
      </c>
      <c r="C29">
        <v>10</v>
      </c>
      <c r="D29">
        <v>295</v>
      </c>
      <c r="E29">
        <v>158</v>
      </c>
      <c r="F29" t="s">
        <v>49</v>
      </c>
      <c r="G29" t="s">
        <v>20</v>
      </c>
      <c r="H29">
        <v>75</v>
      </c>
      <c r="I29">
        <v>100</v>
      </c>
      <c r="J29">
        <v>110</v>
      </c>
      <c r="K29">
        <v>45</v>
      </c>
      <c r="L29">
        <v>55</v>
      </c>
      <c r="M29">
        <v>65</v>
      </c>
    </row>
    <row r="30" spans="1:13" x14ac:dyDescent="0.25">
      <c r="A30">
        <v>29</v>
      </c>
      <c r="B30" t="s">
        <v>51</v>
      </c>
      <c r="C30">
        <v>4</v>
      </c>
      <c r="D30">
        <v>70</v>
      </c>
      <c r="E30">
        <v>55</v>
      </c>
      <c r="F30" t="s">
        <v>15</v>
      </c>
      <c r="G30" t="s">
        <v>20</v>
      </c>
      <c r="H30">
        <v>55</v>
      </c>
      <c r="I30">
        <v>47</v>
      </c>
      <c r="J30">
        <v>52</v>
      </c>
      <c r="K30">
        <v>40</v>
      </c>
      <c r="L30">
        <v>40</v>
      </c>
      <c r="M30">
        <v>41</v>
      </c>
    </row>
    <row r="31" spans="1:13" x14ac:dyDescent="0.25">
      <c r="A31">
        <v>30</v>
      </c>
      <c r="B31" t="s">
        <v>52</v>
      </c>
      <c r="C31">
        <v>8</v>
      </c>
      <c r="D31">
        <v>200</v>
      </c>
      <c r="E31">
        <v>128</v>
      </c>
      <c r="F31" t="s">
        <v>15</v>
      </c>
      <c r="G31" t="s">
        <v>20</v>
      </c>
      <c r="H31">
        <v>70</v>
      </c>
      <c r="I31">
        <v>62</v>
      </c>
      <c r="J31">
        <v>67</v>
      </c>
      <c r="K31">
        <v>55</v>
      </c>
      <c r="L31">
        <v>55</v>
      </c>
      <c r="M31">
        <v>56</v>
      </c>
    </row>
    <row r="32" spans="1:13" x14ac:dyDescent="0.25">
      <c r="A32">
        <v>31</v>
      </c>
      <c r="B32" t="s">
        <v>53</v>
      </c>
      <c r="C32">
        <v>13</v>
      </c>
      <c r="D32">
        <v>600</v>
      </c>
      <c r="E32">
        <v>227</v>
      </c>
      <c r="F32" t="s">
        <v>15</v>
      </c>
      <c r="G32" t="s">
        <v>49</v>
      </c>
      <c r="H32">
        <v>90</v>
      </c>
      <c r="I32">
        <v>92</v>
      </c>
      <c r="J32">
        <v>87</v>
      </c>
      <c r="K32">
        <v>75</v>
      </c>
      <c r="L32">
        <v>85</v>
      </c>
      <c r="M32">
        <v>76</v>
      </c>
    </row>
    <row r="33" spans="1:13" x14ac:dyDescent="0.25">
      <c r="A33">
        <v>32</v>
      </c>
      <c r="B33" t="s">
        <v>54</v>
      </c>
      <c r="C33">
        <v>5</v>
      </c>
      <c r="D33">
        <v>90</v>
      </c>
      <c r="E33">
        <v>55</v>
      </c>
      <c r="F33" t="s">
        <v>15</v>
      </c>
      <c r="G33" t="s">
        <v>20</v>
      </c>
      <c r="H33">
        <v>46</v>
      </c>
      <c r="I33">
        <v>57</v>
      </c>
      <c r="J33">
        <v>40</v>
      </c>
      <c r="K33">
        <v>40</v>
      </c>
      <c r="L33">
        <v>40</v>
      </c>
      <c r="M33">
        <v>50</v>
      </c>
    </row>
    <row r="34" spans="1:13" x14ac:dyDescent="0.25">
      <c r="A34">
        <v>33</v>
      </c>
      <c r="B34" t="s">
        <v>55</v>
      </c>
      <c r="C34">
        <v>9</v>
      </c>
      <c r="D34">
        <v>195</v>
      </c>
      <c r="E34">
        <v>128</v>
      </c>
      <c r="F34" t="s">
        <v>15</v>
      </c>
      <c r="G34" t="s">
        <v>20</v>
      </c>
      <c r="H34">
        <v>61</v>
      </c>
      <c r="I34">
        <v>72</v>
      </c>
      <c r="J34">
        <v>57</v>
      </c>
      <c r="K34">
        <v>55</v>
      </c>
      <c r="L34">
        <v>55</v>
      </c>
      <c r="M34">
        <v>65</v>
      </c>
    </row>
    <row r="35" spans="1:13" x14ac:dyDescent="0.25">
      <c r="A35">
        <v>34</v>
      </c>
      <c r="B35" t="s">
        <v>56</v>
      </c>
      <c r="C35">
        <v>14</v>
      </c>
      <c r="D35">
        <v>620</v>
      </c>
      <c r="E35">
        <v>227</v>
      </c>
      <c r="F35" t="s">
        <v>15</v>
      </c>
      <c r="G35" t="s">
        <v>49</v>
      </c>
      <c r="H35">
        <v>81</v>
      </c>
      <c r="I35">
        <v>102</v>
      </c>
      <c r="J35">
        <v>77</v>
      </c>
      <c r="K35">
        <v>85</v>
      </c>
      <c r="L35">
        <v>75</v>
      </c>
      <c r="M35">
        <v>85</v>
      </c>
    </row>
    <row r="36" spans="1:13" x14ac:dyDescent="0.25">
      <c r="A36">
        <v>35</v>
      </c>
      <c r="B36" t="s">
        <v>57</v>
      </c>
      <c r="C36">
        <v>6</v>
      </c>
      <c r="D36">
        <v>75</v>
      </c>
      <c r="E36">
        <v>113</v>
      </c>
      <c r="F36" t="s">
        <v>58</v>
      </c>
      <c r="G36" t="s">
        <v>20</v>
      </c>
      <c r="H36">
        <v>70</v>
      </c>
      <c r="I36">
        <v>45</v>
      </c>
      <c r="J36">
        <v>48</v>
      </c>
      <c r="K36">
        <v>60</v>
      </c>
      <c r="L36">
        <v>65</v>
      </c>
      <c r="M36">
        <v>35</v>
      </c>
    </row>
    <row r="37" spans="1:13" x14ac:dyDescent="0.25">
      <c r="A37">
        <v>36</v>
      </c>
      <c r="B37" t="s">
        <v>59</v>
      </c>
      <c r="C37">
        <v>13</v>
      </c>
      <c r="D37">
        <v>400</v>
      </c>
      <c r="E37">
        <v>217</v>
      </c>
      <c r="F37" t="s">
        <v>58</v>
      </c>
      <c r="G37" t="s">
        <v>20</v>
      </c>
      <c r="H37">
        <v>95</v>
      </c>
      <c r="I37">
        <v>70</v>
      </c>
      <c r="J37">
        <v>73</v>
      </c>
      <c r="K37">
        <v>95</v>
      </c>
      <c r="L37">
        <v>90</v>
      </c>
      <c r="M37">
        <v>60</v>
      </c>
    </row>
    <row r="38" spans="1:13" x14ac:dyDescent="0.25">
      <c r="A38">
        <v>37</v>
      </c>
      <c r="B38" t="s">
        <v>60</v>
      </c>
      <c r="C38">
        <v>6</v>
      </c>
      <c r="D38">
        <v>99</v>
      </c>
      <c r="E38">
        <v>60</v>
      </c>
      <c r="F38" t="s">
        <v>19</v>
      </c>
      <c r="G38" t="s">
        <v>20</v>
      </c>
      <c r="H38">
        <v>38</v>
      </c>
      <c r="I38">
        <v>41</v>
      </c>
      <c r="J38">
        <v>40</v>
      </c>
      <c r="K38">
        <v>50</v>
      </c>
      <c r="L38">
        <v>65</v>
      </c>
      <c r="M38">
        <v>65</v>
      </c>
    </row>
    <row r="39" spans="1:13" x14ac:dyDescent="0.25">
      <c r="A39">
        <v>38</v>
      </c>
      <c r="B39" t="s">
        <v>61</v>
      </c>
      <c r="C39">
        <v>11</v>
      </c>
      <c r="D39">
        <v>199</v>
      </c>
      <c r="E39">
        <v>177</v>
      </c>
      <c r="F39" t="s">
        <v>19</v>
      </c>
      <c r="G39" t="s">
        <v>20</v>
      </c>
      <c r="H39">
        <v>73</v>
      </c>
      <c r="I39">
        <v>76</v>
      </c>
      <c r="J39">
        <v>75</v>
      </c>
      <c r="K39">
        <v>81</v>
      </c>
      <c r="L39">
        <v>100</v>
      </c>
      <c r="M39">
        <v>100</v>
      </c>
    </row>
    <row r="40" spans="1:13" x14ac:dyDescent="0.25">
      <c r="A40">
        <v>39</v>
      </c>
      <c r="B40" t="s">
        <v>62</v>
      </c>
      <c r="C40">
        <v>5</v>
      </c>
      <c r="D40">
        <v>55</v>
      </c>
      <c r="E40">
        <v>95</v>
      </c>
      <c r="F40" t="s">
        <v>36</v>
      </c>
      <c r="G40" t="s">
        <v>58</v>
      </c>
      <c r="H40">
        <v>115</v>
      </c>
      <c r="I40">
        <v>45</v>
      </c>
      <c r="J40">
        <v>20</v>
      </c>
      <c r="K40">
        <v>45</v>
      </c>
      <c r="L40">
        <v>25</v>
      </c>
      <c r="M40">
        <v>20</v>
      </c>
    </row>
    <row r="41" spans="1:13" x14ac:dyDescent="0.25">
      <c r="A41">
        <v>40</v>
      </c>
      <c r="B41" t="s">
        <v>63</v>
      </c>
      <c r="C41">
        <v>10</v>
      </c>
      <c r="D41">
        <v>120</v>
      </c>
      <c r="E41">
        <v>196</v>
      </c>
      <c r="F41" t="s">
        <v>36</v>
      </c>
      <c r="G41" t="s">
        <v>58</v>
      </c>
      <c r="H41">
        <v>140</v>
      </c>
      <c r="I41">
        <v>70</v>
      </c>
      <c r="J41">
        <v>45</v>
      </c>
      <c r="K41">
        <v>85</v>
      </c>
      <c r="L41">
        <v>50</v>
      </c>
      <c r="M41">
        <v>45</v>
      </c>
    </row>
    <row r="42" spans="1:13" x14ac:dyDescent="0.25">
      <c r="A42">
        <v>41</v>
      </c>
      <c r="B42" t="s">
        <v>64</v>
      </c>
      <c r="C42">
        <v>8</v>
      </c>
      <c r="D42">
        <v>75</v>
      </c>
      <c r="E42">
        <v>49</v>
      </c>
      <c r="F42" t="s">
        <v>15</v>
      </c>
      <c r="G42" t="s">
        <v>23</v>
      </c>
      <c r="H42">
        <v>40</v>
      </c>
      <c r="I42">
        <v>45</v>
      </c>
      <c r="J42">
        <v>35</v>
      </c>
      <c r="K42">
        <v>30</v>
      </c>
      <c r="L42">
        <v>40</v>
      </c>
      <c r="M42">
        <v>55</v>
      </c>
    </row>
    <row r="43" spans="1:13" x14ac:dyDescent="0.25">
      <c r="A43">
        <v>42</v>
      </c>
      <c r="B43" t="s">
        <v>65</v>
      </c>
      <c r="C43">
        <v>16</v>
      </c>
      <c r="D43">
        <v>550</v>
      </c>
      <c r="E43">
        <v>159</v>
      </c>
      <c r="F43" t="s">
        <v>15</v>
      </c>
      <c r="G43" t="s">
        <v>23</v>
      </c>
      <c r="H43">
        <v>75</v>
      </c>
      <c r="I43">
        <v>80</v>
      </c>
      <c r="J43">
        <v>70</v>
      </c>
      <c r="K43">
        <v>65</v>
      </c>
      <c r="L43">
        <v>75</v>
      </c>
      <c r="M43">
        <v>90</v>
      </c>
    </row>
    <row r="44" spans="1:13" x14ac:dyDescent="0.25">
      <c r="A44">
        <v>43</v>
      </c>
      <c r="B44" t="s">
        <v>66</v>
      </c>
      <c r="C44">
        <v>5</v>
      </c>
      <c r="D44">
        <v>54</v>
      </c>
      <c r="E44">
        <v>64</v>
      </c>
      <c r="F44" t="s">
        <v>14</v>
      </c>
      <c r="G44" t="s">
        <v>15</v>
      </c>
      <c r="H44">
        <v>45</v>
      </c>
      <c r="I44">
        <v>50</v>
      </c>
      <c r="J44">
        <v>55</v>
      </c>
      <c r="K44">
        <v>75</v>
      </c>
      <c r="L44">
        <v>65</v>
      </c>
      <c r="M44">
        <v>30</v>
      </c>
    </row>
    <row r="45" spans="1:13" x14ac:dyDescent="0.25">
      <c r="A45">
        <v>44</v>
      </c>
      <c r="B45" t="s">
        <v>67</v>
      </c>
      <c r="C45">
        <v>8</v>
      </c>
      <c r="D45">
        <v>86</v>
      </c>
      <c r="E45">
        <v>138</v>
      </c>
      <c r="F45" t="s">
        <v>14</v>
      </c>
      <c r="G45" t="s">
        <v>15</v>
      </c>
      <c r="H45">
        <v>60</v>
      </c>
      <c r="I45">
        <v>65</v>
      </c>
      <c r="J45">
        <v>70</v>
      </c>
      <c r="K45">
        <v>85</v>
      </c>
      <c r="L45">
        <v>75</v>
      </c>
      <c r="M45">
        <v>40</v>
      </c>
    </row>
    <row r="46" spans="1:13" x14ac:dyDescent="0.25">
      <c r="A46">
        <v>45</v>
      </c>
      <c r="B46" t="s">
        <v>68</v>
      </c>
      <c r="C46">
        <v>12</v>
      </c>
      <c r="D46">
        <v>186</v>
      </c>
      <c r="E46">
        <v>221</v>
      </c>
      <c r="F46" t="s">
        <v>14</v>
      </c>
      <c r="G46" t="s">
        <v>15</v>
      </c>
      <c r="H46">
        <v>75</v>
      </c>
      <c r="I46">
        <v>80</v>
      </c>
      <c r="J46">
        <v>85</v>
      </c>
      <c r="K46">
        <v>110</v>
      </c>
      <c r="L46">
        <v>90</v>
      </c>
      <c r="M46">
        <v>50</v>
      </c>
    </row>
    <row r="47" spans="1:13" x14ac:dyDescent="0.25">
      <c r="A47">
        <v>46</v>
      </c>
      <c r="B47" t="s">
        <v>69</v>
      </c>
      <c r="C47">
        <v>3</v>
      </c>
      <c r="D47">
        <v>54</v>
      </c>
      <c r="E47">
        <v>57</v>
      </c>
      <c r="F47" t="s">
        <v>29</v>
      </c>
      <c r="G47" t="s">
        <v>14</v>
      </c>
      <c r="H47">
        <v>35</v>
      </c>
      <c r="I47">
        <v>70</v>
      </c>
      <c r="J47">
        <v>55</v>
      </c>
      <c r="K47">
        <v>45</v>
      </c>
      <c r="L47">
        <v>55</v>
      </c>
      <c r="M47">
        <v>25</v>
      </c>
    </row>
    <row r="48" spans="1:13" x14ac:dyDescent="0.25">
      <c r="A48">
        <v>47</v>
      </c>
      <c r="B48" t="s">
        <v>70</v>
      </c>
      <c r="C48">
        <v>10</v>
      </c>
      <c r="D48">
        <v>295</v>
      </c>
      <c r="E48">
        <v>142</v>
      </c>
      <c r="F48" t="s">
        <v>29</v>
      </c>
      <c r="G48" t="s">
        <v>14</v>
      </c>
      <c r="H48">
        <v>60</v>
      </c>
      <c r="I48">
        <v>95</v>
      </c>
      <c r="J48">
        <v>80</v>
      </c>
      <c r="K48">
        <v>60</v>
      </c>
      <c r="L48">
        <v>80</v>
      </c>
      <c r="M48">
        <v>30</v>
      </c>
    </row>
    <row r="49" spans="1:13" x14ac:dyDescent="0.25">
      <c r="A49">
        <v>48</v>
      </c>
      <c r="B49" t="s">
        <v>71</v>
      </c>
      <c r="C49">
        <v>10</v>
      </c>
      <c r="D49">
        <v>300</v>
      </c>
      <c r="E49">
        <v>61</v>
      </c>
      <c r="F49" t="s">
        <v>29</v>
      </c>
      <c r="G49" t="s">
        <v>15</v>
      </c>
      <c r="H49">
        <v>60</v>
      </c>
      <c r="I49">
        <v>55</v>
      </c>
      <c r="J49">
        <v>50</v>
      </c>
      <c r="K49">
        <v>40</v>
      </c>
      <c r="L49">
        <v>55</v>
      </c>
      <c r="M49">
        <v>45</v>
      </c>
    </row>
    <row r="50" spans="1:13" x14ac:dyDescent="0.25">
      <c r="A50">
        <v>49</v>
      </c>
      <c r="B50" t="s">
        <v>72</v>
      </c>
      <c r="C50">
        <v>15</v>
      </c>
      <c r="D50">
        <v>125</v>
      </c>
      <c r="E50">
        <v>158</v>
      </c>
      <c r="F50" t="s">
        <v>29</v>
      </c>
      <c r="G50" t="s">
        <v>15</v>
      </c>
      <c r="H50">
        <v>70</v>
      </c>
      <c r="I50">
        <v>65</v>
      </c>
      <c r="J50">
        <v>60</v>
      </c>
      <c r="K50">
        <v>90</v>
      </c>
      <c r="L50">
        <v>75</v>
      </c>
      <c r="M50">
        <v>90</v>
      </c>
    </row>
    <row r="51" spans="1:13" x14ac:dyDescent="0.25">
      <c r="A51">
        <v>50</v>
      </c>
      <c r="B51" t="s">
        <v>73</v>
      </c>
      <c r="C51">
        <v>2</v>
      </c>
      <c r="D51">
        <v>8</v>
      </c>
      <c r="E51">
        <v>53</v>
      </c>
      <c r="F51" t="s">
        <v>49</v>
      </c>
      <c r="G51" t="s">
        <v>20</v>
      </c>
      <c r="H51">
        <v>10</v>
      </c>
      <c r="I51">
        <v>55</v>
      </c>
      <c r="J51">
        <v>25</v>
      </c>
      <c r="K51">
        <v>35</v>
      </c>
      <c r="L51">
        <v>45</v>
      </c>
      <c r="M51">
        <v>95</v>
      </c>
    </row>
    <row r="52" spans="1:13" x14ac:dyDescent="0.25">
      <c r="A52">
        <v>51</v>
      </c>
      <c r="B52" t="s">
        <v>74</v>
      </c>
      <c r="C52">
        <v>7</v>
      </c>
      <c r="D52">
        <v>333</v>
      </c>
      <c r="E52">
        <v>149</v>
      </c>
      <c r="F52" t="s">
        <v>49</v>
      </c>
      <c r="G52" t="s">
        <v>20</v>
      </c>
      <c r="H52">
        <v>35</v>
      </c>
      <c r="I52">
        <v>100</v>
      </c>
      <c r="J52">
        <v>50</v>
      </c>
      <c r="K52">
        <v>50</v>
      </c>
      <c r="L52">
        <v>70</v>
      </c>
      <c r="M52">
        <v>120</v>
      </c>
    </row>
    <row r="53" spans="1:13" x14ac:dyDescent="0.25">
      <c r="A53">
        <v>52</v>
      </c>
      <c r="B53" t="s">
        <v>75</v>
      </c>
      <c r="C53">
        <v>4</v>
      </c>
      <c r="D53">
        <v>42</v>
      </c>
      <c r="E53">
        <v>58</v>
      </c>
      <c r="F53" t="s">
        <v>36</v>
      </c>
      <c r="G53" t="s">
        <v>20</v>
      </c>
      <c r="H53">
        <v>40</v>
      </c>
      <c r="I53">
        <v>45</v>
      </c>
      <c r="J53">
        <v>35</v>
      </c>
      <c r="K53">
        <v>40</v>
      </c>
      <c r="L53">
        <v>40</v>
      </c>
      <c r="M53">
        <v>90</v>
      </c>
    </row>
    <row r="54" spans="1:13" x14ac:dyDescent="0.25">
      <c r="A54">
        <v>53</v>
      </c>
      <c r="B54" t="s">
        <v>76</v>
      </c>
      <c r="C54">
        <v>10</v>
      </c>
      <c r="D54">
        <v>320</v>
      </c>
      <c r="E54">
        <v>154</v>
      </c>
      <c r="F54" t="s">
        <v>36</v>
      </c>
      <c r="G54" t="s">
        <v>20</v>
      </c>
      <c r="H54">
        <v>65</v>
      </c>
      <c r="I54">
        <v>70</v>
      </c>
      <c r="J54">
        <v>60</v>
      </c>
      <c r="K54">
        <v>65</v>
      </c>
      <c r="L54">
        <v>65</v>
      </c>
      <c r="M54">
        <v>115</v>
      </c>
    </row>
    <row r="55" spans="1:13" x14ac:dyDescent="0.25">
      <c r="A55">
        <v>54</v>
      </c>
      <c r="B55" t="s">
        <v>77</v>
      </c>
      <c r="C55">
        <v>8</v>
      </c>
      <c r="D55">
        <v>196</v>
      </c>
      <c r="E55">
        <v>64</v>
      </c>
      <c r="F55" t="s">
        <v>25</v>
      </c>
      <c r="G55" t="s">
        <v>20</v>
      </c>
      <c r="H55">
        <v>50</v>
      </c>
      <c r="I55">
        <v>52</v>
      </c>
      <c r="J55">
        <v>48</v>
      </c>
      <c r="K55">
        <v>65</v>
      </c>
      <c r="L55">
        <v>50</v>
      </c>
      <c r="M55">
        <v>55</v>
      </c>
    </row>
    <row r="56" spans="1:13" x14ac:dyDescent="0.25">
      <c r="A56">
        <v>55</v>
      </c>
      <c r="B56" t="s">
        <v>78</v>
      </c>
      <c r="C56">
        <v>17</v>
      </c>
      <c r="D56">
        <v>766</v>
      </c>
      <c r="E56">
        <v>175</v>
      </c>
      <c r="F56" t="s">
        <v>25</v>
      </c>
      <c r="G56" t="s">
        <v>20</v>
      </c>
      <c r="H56">
        <v>80</v>
      </c>
      <c r="I56">
        <v>82</v>
      </c>
      <c r="J56">
        <v>78</v>
      </c>
      <c r="K56">
        <v>95</v>
      </c>
      <c r="L56">
        <v>80</v>
      </c>
      <c r="M56">
        <v>85</v>
      </c>
    </row>
    <row r="57" spans="1:13" x14ac:dyDescent="0.25">
      <c r="A57">
        <v>56</v>
      </c>
      <c r="B57" t="s">
        <v>79</v>
      </c>
      <c r="C57">
        <v>5</v>
      </c>
      <c r="D57">
        <v>280</v>
      </c>
      <c r="E57">
        <v>61</v>
      </c>
      <c r="F57" t="s">
        <v>80</v>
      </c>
      <c r="G57" t="s">
        <v>20</v>
      </c>
      <c r="H57">
        <v>40</v>
      </c>
      <c r="I57">
        <v>80</v>
      </c>
      <c r="J57">
        <v>35</v>
      </c>
      <c r="K57">
        <v>35</v>
      </c>
      <c r="L57">
        <v>45</v>
      </c>
      <c r="M57">
        <v>70</v>
      </c>
    </row>
    <row r="58" spans="1:13" x14ac:dyDescent="0.25">
      <c r="A58">
        <v>57</v>
      </c>
      <c r="B58" t="s">
        <v>81</v>
      </c>
      <c r="C58">
        <v>10</v>
      </c>
      <c r="D58">
        <v>320</v>
      </c>
      <c r="E58">
        <v>159</v>
      </c>
      <c r="F58" t="s">
        <v>80</v>
      </c>
      <c r="G58" t="s">
        <v>20</v>
      </c>
      <c r="H58">
        <v>65</v>
      </c>
      <c r="I58">
        <v>105</v>
      </c>
      <c r="J58">
        <v>60</v>
      </c>
      <c r="K58">
        <v>60</v>
      </c>
      <c r="L58">
        <v>70</v>
      </c>
      <c r="M58">
        <v>95</v>
      </c>
    </row>
    <row r="59" spans="1:13" x14ac:dyDescent="0.25">
      <c r="A59">
        <v>58</v>
      </c>
      <c r="B59" t="s">
        <v>82</v>
      </c>
      <c r="C59">
        <v>7</v>
      </c>
      <c r="D59">
        <v>190</v>
      </c>
      <c r="E59">
        <v>70</v>
      </c>
      <c r="F59" t="s">
        <v>19</v>
      </c>
      <c r="G59" t="s">
        <v>20</v>
      </c>
      <c r="H59">
        <v>55</v>
      </c>
      <c r="I59">
        <v>70</v>
      </c>
      <c r="J59">
        <v>45</v>
      </c>
      <c r="K59">
        <v>70</v>
      </c>
      <c r="L59">
        <v>50</v>
      </c>
      <c r="M59">
        <v>60</v>
      </c>
    </row>
    <row r="60" spans="1:13" x14ac:dyDescent="0.25">
      <c r="A60">
        <v>59</v>
      </c>
      <c r="B60" t="s">
        <v>83</v>
      </c>
      <c r="C60">
        <v>19</v>
      </c>
      <c r="D60">
        <v>1550</v>
      </c>
      <c r="E60">
        <v>194</v>
      </c>
      <c r="F60" t="s">
        <v>19</v>
      </c>
      <c r="G60" t="s">
        <v>20</v>
      </c>
      <c r="H60">
        <v>90</v>
      </c>
      <c r="I60">
        <v>110</v>
      </c>
      <c r="J60">
        <v>80</v>
      </c>
      <c r="K60">
        <v>100</v>
      </c>
      <c r="L60">
        <v>80</v>
      </c>
      <c r="M60">
        <v>95</v>
      </c>
    </row>
    <row r="61" spans="1:13" x14ac:dyDescent="0.25">
      <c r="A61">
        <v>60</v>
      </c>
      <c r="B61" t="s">
        <v>84</v>
      </c>
      <c r="C61">
        <v>6</v>
      </c>
      <c r="D61">
        <v>124</v>
      </c>
      <c r="E61">
        <v>60</v>
      </c>
      <c r="F61" t="s">
        <v>25</v>
      </c>
      <c r="G61" t="s">
        <v>20</v>
      </c>
      <c r="H61">
        <v>40</v>
      </c>
      <c r="I61">
        <v>50</v>
      </c>
      <c r="J61">
        <v>40</v>
      </c>
      <c r="K61">
        <v>40</v>
      </c>
      <c r="L61">
        <v>40</v>
      </c>
      <c r="M61">
        <v>90</v>
      </c>
    </row>
    <row r="62" spans="1:13" x14ac:dyDescent="0.25">
      <c r="A62">
        <v>61</v>
      </c>
      <c r="B62" t="s">
        <v>85</v>
      </c>
      <c r="C62">
        <v>10</v>
      </c>
      <c r="D62">
        <v>200</v>
      </c>
      <c r="E62">
        <v>135</v>
      </c>
      <c r="F62" t="s">
        <v>25</v>
      </c>
      <c r="G62" t="s">
        <v>20</v>
      </c>
      <c r="H62">
        <v>65</v>
      </c>
      <c r="I62">
        <v>65</v>
      </c>
      <c r="J62">
        <v>65</v>
      </c>
      <c r="K62">
        <v>50</v>
      </c>
      <c r="L62">
        <v>50</v>
      </c>
      <c r="M62">
        <v>90</v>
      </c>
    </row>
    <row r="63" spans="1:13" x14ac:dyDescent="0.25">
      <c r="A63">
        <v>62</v>
      </c>
      <c r="B63" t="s">
        <v>86</v>
      </c>
      <c r="C63">
        <v>13</v>
      </c>
      <c r="D63">
        <v>540</v>
      </c>
      <c r="E63">
        <v>230</v>
      </c>
      <c r="F63" t="s">
        <v>25</v>
      </c>
      <c r="G63" t="s">
        <v>80</v>
      </c>
      <c r="H63">
        <v>90</v>
      </c>
      <c r="I63">
        <v>95</v>
      </c>
      <c r="J63">
        <v>95</v>
      </c>
      <c r="K63">
        <v>70</v>
      </c>
      <c r="L63">
        <v>90</v>
      </c>
      <c r="M63">
        <v>70</v>
      </c>
    </row>
    <row r="64" spans="1:13" x14ac:dyDescent="0.25">
      <c r="A64">
        <v>63</v>
      </c>
      <c r="B64" t="s">
        <v>87</v>
      </c>
      <c r="C64">
        <v>9</v>
      </c>
      <c r="D64">
        <v>195</v>
      </c>
      <c r="E64">
        <v>62</v>
      </c>
      <c r="F64" t="s">
        <v>88</v>
      </c>
      <c r="G64" t="s">
        <v>20</v>
      </c>
      <c r="H64">
        <v>25</v>
      </c>
      <c r="I64">
        <v>20</v>
      </c>
      <c r="J64">
        <v>15</v>
      </c>
      <c r="K64">
        <v>105</v>
      </c>
      <c r="L64">
        <v>55</v>
      </c>
      <c r="M64">
        <v>90</v>
      </c>
    </row>
    <row r="65" spans="1:13" x14ac:dyDescent="0.25">
      <c r="A65">
        <v>64</v>
      </c>
      <c r="B65" t="s">
        <v>89</v>
      </c>
      <c r="C65">
        <v>13</v>
      </c>
      <c r="D65">
        <v>565</v>
      </c>
      <c r="E65">
        <v>140</v>
      </c>
      <c r="F65" t="s">
        <v>88</v>
      </c>
      <c r="G65" t="s">
        <v>20</v>
      </c>
      <c r="H65">
        <v>40</v>
      </c>
      <c r="I65">
        <v>35</v>
      </c>
      <c r="J65">
        <v>30</v>
      </c>
      <c r="K65">
        <v>120</v>
      </c>
      <c r="L65">
        <v>70</v>
      </c>
      <c r="M65">
        <v>105</v>
      </c>
    </row>
    <row r="66" spans="1:13" x14ac:dyDescent="0.25">
      <c r="A66">
        <v>65</v>
      </c>
      <c r="B66" t="s">
        <v>90</v>
      </c>
      <c r="C66">
        <v>15</v>
      </c>
      <c r="D66">
        <v>480</v>
      </c>
      <c r="E66">
        <v>225</v>
      </c>
      <c r="F66" t="s">
        <v>88</v>
      </c>
      <c r="G66" t="s">
        <v>20</v>
      </c>
      <c r="H66">
        <v>55</v>
      </c>
      <c r="I66">
        <v>50</v>
      </c>
      <c r="J66">
        <v>45</v>
      </c>
      <c r="K66">
        <v>135</v>
      </c>
      <c r="L66">
        <v>95</v>
      </c>
      <c r="M66">
        <v>120</v>
      </c>
    </row>
    <row r="67" spans="1:13" x14ac:dyDescent="0.25">
      <c r="A67">
        <v>66</v>
      </c>
      <c r="B67" t="s">
        <v>91</v>
      </c>
      <c r="C67">
        <v>8</v>
      </c>
      <c r="D67">
        <v>195</v>
      </c>
      <c r="E67">
        <v>61</v>
      </c>
      <c r="F67" t="s">
        <v>80</v>
      </c>
      <c r="G67" t="s">
        <v>20</v>
      </c>
      <c r="H67">
        <v>70</v>
      </c>
      <c r="I67">
        <v>80</v>
      </c>
      <c r="J67">
        <v>50</v>
      </c>
      <c r="K67">
        <v>35</v>
      </c>
      <c r="L67">
        <v>35</v>
      </c>
      <c r="M67">
        <v>35</v>
      </c>
    </row>
    <row r="68" spans="1:13" x14ac:dyDescent="0.25">
      <c r="A68">
        <v>67</v>
      </c>
      <c r="B68" t="s">
        <v>92</v>
      </c>
      <c r="C68">
        <v>15</v>
      </c>
      <c r="D68">
        <v>705</v>
      </c>
      <c r="E68">
        <v>142</v>
      </c>
      <c r="F68" t="s">
        <v>80</v>
      </c>
      <c r="G68" t="s">
        <v>20</v>
      </c>
      <c r="H68">
        <v>80</v>
      </c>
      <c r="I68">
        <v>100</v>
      </c>
      <c r="J68">
        <v>70</v>
      </c>
      <c r="K68">
        <v>50</v>
      </c>
      <c r="L68">
        <v>60</v>
      </c>
      <c r="M68">
        <v>45</v>
      </c>
    </row>
    <row r="69" spans="1:13" x14ac:dyDescent="0.25">
      <c r="A69">
        <v>68</v>
      </c>
      <c r="B69" t="s">
        <v>93</v>
      </c>
      <c r="C69">
        <v>16</v>
      </c>
      <c r="D69">
        <v>1300</v>
      </c>
      <c r="E69">
        <v>227</v>
      </c>
      <c r="F69" t="s">
        <v>80</v>
      </c>
      <c r="G69" t="s">
        <v>20</v>
      </c>
      <c r="H69">
        <v>90</v>
      </c>
      <c r="I69">
        <v>130</v>
      </c>
      <c r="J69">
        <v>80</v>
      </c>
      <c r="K69">
        <v>65</v>
      </c>
      <c r="L69">
        <v>85</v>
      </c>
      <c r="M69">
        <v>55</v>
      </c>
    </row>
    <row r="70" spans="1:13" x14ac:dyDescent="0.25">
      <c r="A70">
        <v>69</v>
      </c>
      <c r="B70" t="s">
        <v>94</v>
      </c>
      <c r="C70">
        <v>7</v>
      </c>
      <c r="D70">
        <v>40</v>
      </c>
      <c r="E70">
        <v>60</v>
      </c>
      <c r="F70" t="s">
        <v>14</v>
      </c>
      <c r="G70" t="s">
        <v>15</v>
      </c>
      <c r="H70">
        <v>50</v>
      </c>
      <c r="I70">
        <v>75</v>
      </c>
      <c r="J70">
        <v>35</v>
      </c>
      <c r="K70">
        <v>70</v>
      </c>
      <c r="L70">
        <v>30</v>
      </c>
      <c r="M70">
        <v>40</v>
      </c>
    </row>
    <row r="71" spans="1:13" x14ac:dyDescent="0.25">
      <c r="A71">
        <v>70</v>
      </c>
      <c r="B71" t="s">
        <v>95</v>
      </c>
      <c r="C71">
        <v>10</v>
      </c>
      <c r="D71">
        <v>64</v>
      </c>
      <c r="E71">
        <v>137</v>
      </c>
      <c r="F71" t="s">
        <v>14</v>
      </c>
      <c r="G71" t="s">
        <v>15</v>
      </c>
      <c r="H71">
        <v>65</v>
      </c>
      <c r="I71">
        <v>90</v>
      </c>
      <c r="J71">
        <v>50</v>
      </c>
      <c r="K71">
        <v>85</v>
      </c>
      <c r="L71">
        <v>45</v>
      </c>
      <c r="M71">
        <v>55</v>
      </c>
    </row>
    <row r="72" spans="1:13" x14ac:dyDescent="0.25">
      <c r="A72">
        <v>71</v>
      </c>
      <c r="B72" t="s">
        <v>96</v>
      </c>
      <c r="C72">
        <v>17</v>
      </c>
      <c r="D72">
        <v>155</v>
      </c>
      <c r="E72">
        <v>221</v>
      </c>
      <c r="F72" t="s">
        <v>14</v>
      </c>
      <c r="G72" t="s">
        <v>15</v>
      </c>
      <c r="H72">
        <v>80</v>
      </c>
      <c r="I72">
        <v>105</v>
      </c>
      <c r="J72">
        <v>65</v>
      </c>
      <c r="K72">
        <v>100</v>
      </c>
      <c r="L72">
        <v>70</v>
      </c>
      <c r="M72">
        <v>70</v>
      </c>
    </row>
    <row r="73" spans="1:13" x14ac:dyDescent="0.25">
      <c r="A73">
        <v>72</v>
      </c>
      <c r="B73" t="s">
        <v>97</v>
      </c>
      <c r="C73">
        <v>9</v>
      </c>
      <c r="D73">
        <v>455</v>
      </c>
      <c r="E73">
        <v>67</v>
      </c>
      <c r="F73" t="s">
        <v>25</v>
      </c>
      <c r="G73" t="s">
        <v>15</v>
      </c>
      <c r="H73">
        <v>40</v>
      </c>
      <c r="I73">
        <v>40</v>
      </c>
      <c r="J73">
        <v>35</v>
      </c>
      <c r="K73">
        <v>50</v>
      </c>
      <c r="L73">
        <v>100</v>
      </c>
      <c r="M73">
        <v>70</v>
      </c>
    </row>
    <row r="74" spans="1:13" x14ac:dyDescent="0.25">
      <c r="A74">
        <v>73</v>
      </c>
      <c r="B74" t="s">
        <v>98</v>
      </c>
      <c r="C74">
        <v>16</v>
      </c>
      <c r="D74">
        <v>550</v>
      </c>
      <c r="E74">
        <v>180</v>
      </c>
      <c r="F74" t="s">
        <v>25</v>
      </c>
      <c r="G74" t="s">
        <v>15</v>
      </c>
      <c r="H74">
        <v>80</v>
      </c>
      <c r="I74">
        <v>70</v>
      </c>
      <c r="J74">
        <v>65</v>
      </c>
      <c r="K74">
        <v>80</v>
      </c>
      <c r="L74">
        <v>120</v>
      </c>
      <c r="M74">
        <v>100</v>
      </c>
    </row>
    <row r="75" spans="1:13" x14ac:dyDescent="0.25">
      <c r="A75">
        <v>74</v>
      </c>
      <c r="B75" t="s">
        <v>99</v>
      </c>
      <c r="C75">
        <v>4</v>
      </c>
      <c r="D75">
        <v>200</v>
      </c>
      <c r="E75">
        <v>60</v>
      </c>
      <c r="F75" t="s">
        <v>100</v>
      </c>
      <c r="G75" t="s">
        <v>49</v>
      </c>
      <c r="H75">
        <v>40</v>
      </c>
      <c r="I75">
        <v>80</v>
      </c>
      <c r="J75">
        <v>100</v>
      </c>
      <c r="K75">
        <v>30</v>
      </c>
      <c r="L75">
        <v>30</v>
      </c>
      <c r="M75">
        <v>20</v>
      </c>
    </row>
    <row r="76" spans="1:13" x14ac:dyDescent="0.25">
      <c r="A76">
        <v>75</v>
      </c>
      <c r="B76" t="s">
        <v>101</v>
      </c>
      <c r="C76">
        <v>10</v>
      </c>
      <c r="D76">
        <v>1050</v>
      </c>
      <c r="E76">
        <v>137</v>
      </c>
      <c r="F76" t="s">
        <v>100</v>
      </c>
      <c r="G76" t="s">
        <v>49</v>
      </c>
      <c r="H76">
        <v>55</v>
      </c>
      <c r="I76">
        <v>95</v>
      </c>
      <c r="J76">
        <v>115</v>
      </c>
      <c r="K76">
        <v>45</v>
      </c>
      <c r="L76">
        <v>45</v>
      </c>
      <c r="M76">
        <v>35</v>
      </c>
    </row>
    <row r="77" spans="1:13" x14ac:dyDescent="0.25">
      <c r="A77">
        <v>76</v>
      </c>
      <c r="B77" t="s">
        <v>102</v>
      </c>
      <c r="C77">
        <v>14</v>
      </c>
      <c r="D77">
        <v>3000</v>
      </c>
      <c r="E77">
        <v>223</v>
      </c>
      <c r="F77" t="s">
        <v>100</v>
      </c>
      <c r="G77" t="s">
        <v>49</v>
      </c>
      <c r="H77">
        <v>80</v>
      </c>
      <c r="I77">
        <v>120</v>
      </c>
      <c r="J77">
        <v>130</v>
      </c>
      <c r="K77">
        <v>55</v>
      </c>
      <c r="L77">
        <v>65</v>
      </c>
      <c r="M77">
        <v>45</v>
      </c>
    </row>
    <row r="78" spans="1:13" x14ac:dyDescent="0.25">
      <c r="A78">
        <v>77</v>
      </c>
      <c r="B78" t="s">
        <v>103</v>
      </c>
      <c r="C78">
        <v>10</v>
      </c>
      <c r="D78">
        <v>300</v>
      </c>
      <c r="E78">
        <v>82</v>
      </c>
      <c r="F78" t="s">
        <v>19</v>
      </c>
      <c r="G78" t="s">
        <v>20</v>
      </c>
      <c r="H78">
        <v>50</v>
      </c>
      <c r="I78">
        <v>85</v>
      </c>
      <c r="J78">
        <v>55</v>
      </c>
      <c r="K78">
        <v>65</v>
      </c>
      <c r="L78">
        <v>65</v>
      </c>
      <c r="M78">
        <v>90</v>
      </c>
    </row>
    <row r="79" spans="1:13" x14ac:dyDescent="0.25">
      <c r="A79">
        <v>78</v>
      </c>
      <c r="B79" t="s">
        <v>104</v>
      </c>
      <c r="C79">
        <v>17</v>
      </c>
      <c r="D79">
        <v>950</v>
      </c>
      <c r="E79">
        <v>175</v>
      </c>
      <c r="F79" t="s">
        <v>19</v>
      </c>
      <c r="G79" t="s">
        <v>20</v>
      </c>
      <c r="H79">
        <v>65</v>
      </c>
      <c r="I79">
        <v>100</v>
      </c>
      <c r="J79">
        <v>70</v>
      </c>
      <c r="K79">
        <v>80</v>
      </c>
      <c r="L79">
        <v>80</v>
      </c>
      <c r="M79">
        <v>105</v>
      </c>
    </row>
    <row r="80" spans="1:13" x14ac:dyDescent="0.25">
      <c r="A80">
        <v>79</v>
      </c>
      <c r="B80" t="s">
        <v>105</v>
      </c>
      <c r="C80">
        <v>12</v>
      </c>
      <c r="D80">
        <v>360</v>
      </c>
      <c r="E80">
        <v>63</v>
      </c>
      <c r="F80" t="s">
        <v>25</v>
      </c>
      <c r="G80" t="s">
        <v>88</v>
      </c>
      <c r="H80">
        <v>90</v>
      </c>
      <c r="I80">
        <v>65</v>
      </c>
      <c r="J80">
        <v>65</v>
      </c>
      <c r="K80">
        <v>40</v>
      </c>
      <c r="L80">
        <v>40</v>
      </c>
      <c r="M80">
        <v>15</v>
      </c>
    </row>
    <row r="81" spans="1:13" x14ac:dyDescent="0.25">
      <c r="A81">
        <v>80</v>
      </c>
      <c r="B81" t="s">
        <v>106</v>
      </c>
      <c r="C81">
        <v>16</v>
      </c>
      <c r="D81">
        <v>785</v>
      </c>
      <c r="E81">
        <v>172</v>
      </c>
      <c r="F81" t="s">
        <v>25</v>
      </c>
      <c r="G81" t="s">
        <v>88</v>
      </c>
      <c r="H81">
        <v>95</v>
      </c>
      <c r="I81">
        <v>75</v>
      </c>
      <c r="J81">
        <v>110</v>
      </c>
      <c r="K81">
        <v>100</v>
      </c>
      <c r="L81">
        <v>80</v>
      </c>
      <c r="M81">
        <v>30</v>
      </c>
    </row>
    <row r="82" spans="1:13" x14ac:dyDescent="0.25">
      <c r="A82">
        <v>81</v>
      </c>
      <c r="B82" t="s">
        <v>107</v>
      </c>
      <c r="C82">
        <v>3</v>
      </c>
      <c r="D82">
        <v>60</v>
      </c>
      <c r="E82">
        <v>65</v>
      </c>
      <c r="F82" t="s">
        <v>46</v>
      </c>
      <c r="G82" t="s">
        <v>108</v>
      </c>
      <c r="H82">
        <v>25</v>
      </c>
      <c r="I82">
        <v>35</v>
      </c>
      <c r="J82">
        <v>70</v>
      </c>
      <c r="K82">
        <v>95</v>
      </c>
      <c r="L82">
        <v>55</v>
      </c>
      <c r="M82">
        <v>45</v>
      </c>
    </row>
    <row r="83" spans="1:13" x14ac:dyDescent="0.25">
      <c r="A83">
        <v>82</v>
      </c>
      <c r="B83" t="s">
        <v>109</v>
      </c>
      <c r="C83">
        <v>10</v>
      </c>
      <c r="D83">
        <v>600</v>
      </c>
      <c r="E83">
        <v>163</v>
      </c>
      <c r="F83" t="s">
        <v>46</v>
      </c>
      <c r="G83" t="s">
        <v>108</v>
      </c>
      <c r="H83">
        <v>50</v>
      </c>
      <c r="I83">
        <v>60</v>
      </c>
      <c r="J83">
        <v>95</v>
      </c>
      <c r="K83">
        <v>120</v>
      </c>
      <c r="L83">
        <v>70</v>
      </c>
      <c r="M83">
        <v>70</v>
      </c>
    </row>
    <row r="84" spans="1:13" x14ac:dyDescent="0.25">
      <c r="A84">
        <v>83</v>
      </c>
      <c r="B84" t="s">
        <v>110</v>
      </c>
      <c r="C84">
        <v>8</v>
      </c>
      <c r="D84">
        <v>150</v>
      </c>
      <c r="E84">
        <v>132</v>
      </c>
      <c r="F84" t="s">
        <v>36</v>
      </c>
      <c r="G84" t="s">
        <v>23</v>
      </c>
      <c r="H84">
        <v>52</v>
      </c>
      <c r="I84">
        <v>90</v>
      </c>
      <c r="J84">
        <v>55</v>
      </c>
      <c r="K84">
        <v>58</v>
      </c>
      <c r="L84">
        <v>62</v>
      </c>
      <c r="M84">
        <v>60</v>
      </c>
    </row>
    <row r="85" spans="1:13" x14ac:dyDescent="0.25">
      <c r="A85">
        <v>84</v>
      </c>
      <c r="B85" t="s">
        <v>111</v>
      </c>
      <c r="C85">
        <v>14</v>
      </c>
      <c r="D85">
        <v>392</v>
      </c>
      <c r="E85">
        <v>62</v>
      </c>
      <c r="F85" t="s">
        <v>36</v>
      </c>
      <c r="G85" t="s">
        <v>23</v>
      </c>
      <c r="H85">
        <v>35</v>
      </c>
      <c r="I85">
        <v>85</v>
      </c>
      <c r="J85">
        <v>45</v>
      </c>
      <c r="K85">
        <v>35</v>
      </c>
      <c r="L85">
        <v>35</v>
      </c>
      <c r="M85">
        <v>75</v>
      </c>
    </row>
    <row r="86" spans="1:13" x14ac:dyDescent="0.25">
      <c r="A86">
        <v>85</v>
      </c>
      <c r="B86" t="s">
        <v>112</v>
      </c>
      <c r="C86">
        <v>18</v>
      </c>
      <c r="D86">
        <v>852</v>
      </c>
      <c r="E86">
        <v>165</v>
      </c>
      <c r="F86" t="s">
        <v>36</v>
      </c>
      <c r="G86" t="s">
        <v>23</v>
      </c>
      <c r="H86">
        <v>60</v>
      </c>
      <c r="I86">
        <v>110</v>
      </c>
      <c r="J86">
        <v>70</v>
      </c>
      <c r="K86">
        <v>60</v>
      </c>
      <c r="L86">
        <v>60</v>
      </c>
      <c r="M86">
        <v>110</v>
      </c>
    </row>
    <row r="87" spans="1:13" x14ac:dyDescent="0.25">
      <c r="A87">
        <v>86</v>
      </c>
      <c r="B87" t="s">
        <v>113</v>
      </c>
      <c r="C87">
        <v>11</v>
      </c>
      <c r="D87">
        <v>900</v>
      </c>
      <c r="E87">
        <v>65</v>
      </c>
      <c r="F87" t="s">
        <v>25</v>
      </c>
      <c r="G87" t="s">
        <v>20</v>
      </c>
      <c r="H87">
        <v>65</v>
      </c>
      <c r="I87">
        <v>45</v>
      </c>
      <c r="J87">
        <v>55</v>
      </c>
      <c r="K87">
        <v>45</v>
      </c>
      <c r="L87">
        <v>70</v>
      </c>
      <c r="M87">
        <v>45</v>
      </c>
    </row>
    <row r="88" spans="1:13" x14ac:dyDescent="0.25">
      <c r="A88">
        <v>87</v>
      </c>
      <c r="B88" t="s">
        <v>114</v>
      </c>
      <c r="C88">
        <v>17</v>
      </c>
      <c r="D88">
        <v>1200</v>
      </c>
      <c r="E88">
        <v>166</v>
      </c>
      <c r="F88" t="s">
        <v>25</v>
      </c>
      <c r="G88" t="s">
        <v>115</v>
      </c>
      <c r="H88">
        <v>90</v>
      </c>
      <c r="I88">
        <v>70</v>
      </c>
      <c r="J88">
        <v>80</v>
      </c>
      <c r="K88">
        <v>70</v>
      </c>
      <c r="L88">
        <v>95</v>
      </c>
      <c r="M88">
        <v>70</v>
      </c>
    </row>
    <row r="89" spans="1:13" x14ac:dyDescent="0.25">
      <c r="A89">
        <v>88</v>
      </c>
      <c r="B89" t="s">
        <v>116</v>
      </c>
      <c r="C89">
        <v>9</v>
      </c>
      <c r="D89">
        <v>300</v>
      </c>
      <c r="E89">
        <v>65</v>
      </c>
      <c r="F89" t="s">
        <v>15</v>
      </c>
      <c r="G89" t="s">
        <v>20</v>
      </c>
      <c r="H89">
        <v>80</v>
      </c>
      <c r="I89">
        <v>80</v>
      </c>
      <c r="J89">
        <v>50</v>
      </c>
      <c r="K89">
        <v>40</v>
      </c>
      <c r="L89">
        <v>50</v>
      </c>
      <c r="M89">
        <v>25</v>
      </c>
    </row>
    <row r="90" spans="1:13" x14ac:dyDescent="0.25">
      <c r="A90">
        <v>89</v>
      </c>
      <c r="B90" t="s">
        <v>117</v>
      </c>
      <c r="C90">
        <v>12</v>
      </c>
      <c r="D90">
        <v>300</v>
      </c>
      <c r="E90">
        <v>175</v>
      </c>
      <c r="F90" t="s">
        <v>15</v>
      </c>
      <c r="G90" t="s">
        <v>20</v>
      </c>
      <c r="H90">
        <v>105</v>
      </c>
      <c r="I90">
        <v>105</v>
      </c>
      <c r="J90">
        <v>75</v>
      </c>
      <c r="K90">
        <v>65</v>
      </c>
      <c r="L90">
        <v>100</v>
      </c>
      <c r="M90">
        <v>50</v>
      </c>
    </row>
    <row r="91" spans="1:13" x14ac:dyDescent="0.25">
      <c r="A91">
        <v>90</v>
      </c>
      <c r="B91" t="s">
        <v>118</v>
      </c>
      <c r="C91">
        <v>3</v>
      </c>
      <c r="D91">
        <v>40</v>
      </c>
      <c r="E91">
        <v>61</v>
      </c>
      <c r="F91" t="s">
        <v>25</v>
      </c>
      <c r="G91" t="s">
        <v>20</v>
      </c>
      <c r="H91">
        <v>30</v>
      </c>
      <c r="I91">
        <v>65</v>
      </c>
      <c r="J91">
        <v>100</v>
      </c>
      <c r="K91">
        <v>45</v>
      </c>
      <c r="L91">
        <v>25</v>
      </c>
      <c r="M91">
        <v>40</v>
      </c>
    </row>
    <row r="92" spans="1:13" x14ac:dyDescent="0.25">
      <c r="A92">
        <v>91</v>
      </c>
      <c r="B92" t="s">
        <v>119</v>
      </c>
      <c r="C92">
        <v>15</v>
      </c>
      <c r="D92">
        <v>1325</v>
      </c>
      <c r="E92">
        <v>184</v>
      </c>
      <c r="F92" t="s">
        <v>25</v>
      </c>
      <c r="G92" t="s">
        <v>115</v>
      </c>
      <c r="H92">
        <v>50</v>
      </c>
      <c r="I92">
        <v>95</v>
      </c>
      <c r="J92">
        <v>180</v>
      </c>
      <c r="K92">
        <v>85</v>
      </c>
      <c r="L92">
        <v>45</v>
      </c>
      <c r="M92">
        <v>70</v>
      </c>
    </row>
    <row r="93" spans="1:13" x14ac:dyDescent="0.25">
      <c r="A93">
        <v>92</v>
      </c>
      <c r="B93" t="s">
        <v>120</v>
      </c>
      <c r="C93">
        <v>13</v>
      </c>
      <c r="D93">
        <v>1</v>
      </c>
      <c r="E93">
        <v>62</v>
      </c>
      <c r="F93" t="s">
        <v>121</v>
      </c>
      <c r="G93" t="s">
        <v>15</v>
      </c>
      <c r="H93">
        <v>30</v>
      </c>
      <c r="I93">
        <v>35</v>
      </c>
      <c r="J93">
        <v>30</v>
      </c>
      <c r="K93">
        <v>100</v>
      </c>
      <c r="L93">
        <v>35</v>
      </c>
      <c r="M93">
        <v>80</v>
      </c>
    </row>
    <row r="94" spans="1:13" x14ac:dyDescent="0.25">
      <c r="A94">
        <v>93</v>
      </c>
      <c r="B94" t="s">
        <v>122</v>
      </c>
      <c r="C94">
        <v>16</v>
      </c>
      <c r="D94">
        <v>1</v>
      </c>
      <c r="E94">
        <v>142</v>
      </c>
      <c r="F94" t="s">
        <v>121</v>
      </c>
      <c r="G94" t="s">
        <v>15</v>
      </c>
      <c r="H94">
        <v>45</v>
      </c>
      <c r="I94">
        <v>50</v>
      </c>
      <c r="J94">
        <v>45</v>
      </c>
      <c r="K94">
        <v>115</v>
      </c>
      <c r="L94">
        <v>55</v>
      </c>
      <c r="M94">
        <v>95</v>
      </c>
    </row>
    <row r="95" spans="1:13" x14ac:dyDescent="0.25">
      <c r="A95">
        <v>94</v>
      </c>
      <c r="B95" t="s">
        <v>123</v>
      </c>
      <c r="C95">
        <v>15</v>
      </c>
      <c r="D95">
        <v>405</v>
      </c>
      <c r="E95">
        <v>225</v>
      </c>
      <c r="F95" t="s">
        <v>121</v>
      </c>
      <c r="G95" t="s">
        <v>15</v>
      </c>
      <c r="H95">
        <v>60</v>
      </c>
      <c r="I95">
        <v>65</v>
      </c>
      <c r="J95">
        <v>60</v>
      </c>
      <c r="K95">
        <v>130</v>
      </c>
      <c r="L95">
        <v>75</v>
      </c>
      <c r="M95">
        <v>110</v>
      </c>
    </row>
    <row r="96" spans="1:13" x14ac:dyDescent="0.25">
      <c r="A96">
        <v>95</v>
      </c>
      <c r="B96" t="s">
        <v>124</v>
      </c>
      <c r="C96">
        <v>88</v>
      </c>
      <c r="D96">
        <v>2100</v>
      </c>
      <c r="E96">
        <v>77</v>
      </c>
      <c r="F96" t="s">
        <v>100</v>
      </c>
      <c r="G96" t="s">
        <v>49</v>
      </c>
      <c r="H96">
        <v>35</v>
      </c>
      <c r="I96">
        <v>45</v>
      </c>
      <c r="J96">
        <v>160</v>
      </c>
      <c r="K96">
        <v>30</v>
      </c>
      <c r="L96">
        <v>45</v>
      </c>
      <c r="M96">
        <v>70</v>
      </c>
    </row>
    <row r="97" spans="1:13" x14ac:dyDescent="0.25">
      <c r="A97">
        <v>96</v>
      </c>
      <c r="B97" t="s">
        <v>125</v>
      </c>
      <c r="C97">
        <v>10</v>
      </c>
      <c r="D97">
        <v>324</v>
      </c>
      <c r="E97">
        <v>66</v>
      </c>
      <c r="F97" t="s">
        <v>88</v>
      </c>
      <c r="G97" t="s">
        <v>20</v>
      </c>
      <c r="H97">
        <v>60</v>
      </c>
      <c r="I97">
        <v>48</v>
      </c>
      <c r="J97">
        <v>45</v>
      </c>
      <c r="K97">
        <v>43</v>
      </c>
      <c r="L97">
        <v>90</v>
      </c>
      <c r="M97">
        <v>42</v>
      </c>
    </row>
    <row r="98" spans="1:13" x14ac:dyDescent="0.25">
      <c r="A98">
        <v>97</v>
      </c>
      <c r="B98" t="s">
        <v>126</v>
      </c>
      <c r="C98">
        <v>16</v>
      </c>
      <c r="D98">
        <v>756</v>
      </c>
      <c r="E98">
        <v>169</v>
      </c>
      <c r="F98" t="s">
        <v>88</v>
      </c>
      <c r="G98" t="s">
        <v>20</v>
      </c>
      <c r="H98">
        <v>85</v>
      </c>
      <c r="I98">
        <v>73</v>
      </c>
      <c r="J98">
        <v>70</v>
      </c>
      <c r="K98">
        <v>73</v>
      </c>
      <c r="L98">
        <v>115</v>
      </c>
      <c r="M98">
        <v>67</v>
      </c>
    </row>
    <row r="99" spans="1:13" x14ac:dyDescent="0.25">
      <c r="A99">
        <v>98</v>
      </c>
      <c r="B99" t="s">
        <v>127</v>
      </c>
      <c r="C99">
        <v>4</v>
      </c>
      <c r="D99">
        <v>65</v>
      </c>
      <c r="E99">
        <v>65</v>
      </c>
      <c r="F99" t="s">
        <v>25</v>
      </c>
      <c r="G99" t="s">
        <v>20</v>
      </c>
      <c r="H99">
        <v>30</v>
      </c>
      <c r="I99">
        <v>105</v>
      </c>
      <c r="J99">
        <v>90</v>
      </c>
      <c r="K99">
        <v>25</v>
      </c>
      <c r="L99">
        <v>25</v>
      </c>
      <c r="M99">
        <v>50</v>
      </c>
    </row>
    <row r="100" spans="1:13" x14ac:dyDescent="0.25">
      <c r="A100">
        <v>99</v>
      </c>
      <c r="B100" t="s">
        <v>128</v>
      </c>
      <c r="C100">
        <v>13</v>
      </c>
      <c r="D100">
        <v>600</v>
      </c>
      <c r="E100">
        <v>166</v>
      </c>
      <c r="F100" t="s">
        <v>25</v>
      </c>
      <c r="G100" t="s">
        <v>20</v>
      </c>
      <c r="H100">
        <v>55</v>
      </c>
      <c r="I100">
        <v>130</v>
      </c>
      <c r="J100">
        <v>115</v>
      </c>
      <c r="K100">
        <v>50</v>
      </c>
      <c r="L100">
        <v>50</v>
      </c>
      <c r="M100">
        <v>75</v>
      </c>
    </row>
    <row r="101" spans="1:13" x14ac:dyDescent="0.25">
      <c r="A101">
        <v>100</v>
      </c>
      <c r="B101" t="s">
        <v>129</v>
      </c>
      <c r="C101">
        <v>5</v>
      </c>
      <c r="D101">
        <v>104</v>
      </c>
      <c r="E101">
        <v>66</v>
      </c>
      <c r="F101" t="s">
        <v>46</v>
      </c>
      <c r="G101" t="s">
        <v>20</v>
      </c>
      <c r="H101">
        <v>40</v>
      </c>
      <c r="I101">
        <v>30</v>
      </c>
      <c r="J101">
        <v>50</v>
      </c>
      <c r="K101">
        <v>55</v>
      </c>
      <c r="L101">
        <v>55</v>
      </c>
      <c r="M101">
        <v>100</v>
      </c>
    </row>
    <row r="102" spans="1:13" x14ac:dyDescent="0.25">
      <c r="A102">
        <v>101</v>
      </c>
      <c r="B102" t="s">
        <v>130</v>
      </c>
      <c r="C102">
        <v>12</v>
      </c>
      <c r="D102">
        <v>666</v>
      </c>
      <c r="E102">
        <v>172</v>
      </c>
      <c r="F102" t="s">
        <v>46</v>
      </c>
      <c r="G102" t="s">
        <v>20</v>
      </c>
      <c r="H102">
        <v>60</v>
      </c>
      <c r="I102">
        <v>50</v>
      </c>
      <c r="J102">
        <v>70</v>
      </c>
      <c r="K102">
        <v>80</v>
      </c>
      <c r="L102">
        <v>80</v>
      </c>
      <c r="M102">
        <v>150</v>
      </c>
    </row>
    <row r="103" spans="1:13" x14ac:dyDescent="0.25">
      <c r="A103">
        <v>102</v>
      </c>
      <c r="B103" t="s">
        <v>131</v>
      </c>
      <c r="C103">
        <v>4</v>
      </c>
      <c r="D103">
        <v>25</v>
      </c>
      <c r="E103">
        <v>65</v>
      </c>
      <c r="F103" t="s">
        <v>14</v>
      </c>
      <c r="G103" t="s">
        <v>88</v>
      </c>
      <c r="H103">
        <v>60</v>
      </c>
      <c r="I103">
        <v>40</v>
      </c>
      <c r="J103">
        <v>80</v>
      </c>
      <c r="K103">
        <v>60</v>
      </c>
      <c r="L103">
        <v>45</v>
      </c>
      <c r="M103">
        <v>40</v>
      </c>
    </row>
    <row r="104" spans="1:13" x14ac:dyDescent="0.25">
      <c r="A104">
        <v>103</v>
      </c>
      <c r="B104" t="s">
        <v>132</v>
      </c>
      <c r="C104">
        <v>20</v>
      </c>
      <c r="D104">
        <v>1200</v>
      </c>
      <c r="E104">
        <v>186</v>
      </c>
      <c r="F104" t="s">
        <v>14</v>
      </c>
      <c r="G104" t="s">
        <v>88</v>
      </c>
      <c r="H104">
        <v>95</v>
      </c>
      <c r="I104">
        <v>95</v>
      </c>
      <c r="J104">
        <v>85</v>
      </c>
      <c r="K104">
        <v>125</v>
      </c>
      <c r="L104">
        <v>75</v>
      </c>
      <c r="M104">
        <v>55</v>
      </c>
    </row>
    <row r="105" spans="1:13" x14ac:dyDescent="0.25">
      <c r="A105">
        <v>104</v>
      </c>
      <c r="B105" t="s">
        <v>133</v>
      </c>
      <c r="C105">
        <v>4</v>
      </c>
      <c r="D105">
        <v>65</v>
      </c>
      <c r="E105">
        <v>64</v>
      </c>
      <c r="F105" t="s">
        <v>49</v>
      </c>
      <c r="G105" t="s">
        <v>20</v>
      </c>
      <c r="H105">
        <v>50</v>
      </c>
      <c r="I105">
        <v>50</v>
      </c>
      <c r="J105">
        <v>95</v>
      </c>
      <c r="K105">
        <v>40</v>
      </c>
      <c r="L105">
        <v>50</v>
      </c>
      <c r="M105">
        <v>35</v>
      </c>
    </row>
    <row r="106" spans="1:13" x14ac:dyDescent="0.25">
      <c r="A106">
        <v>105</v>
      </c>
      <c r="B106" t="s">
        <v>134</v>
      </c>
      <c r="C106">
        <v>10</v>
      </c>
      <c r="D106">
        <v>450</v>
      </c>
      <c r="E106">
        <v>149</v>
      </c>
      <c r="F106" t="s">
        <v>49</v>
      </c>
      <c r="G106" t="s">
        <v>20</v>
      </c>
      <c r="H106">
        <v>60</v>
      </c>
      <c r="I106">
        <v>80</v>
      </c>
      <c r="J106">
        <v>110</v>
      </c>
      <c r="K106">
        <v>50</v>
      </c>
      <c r="L106">
        <v>80</v>
      </c>
      <c r="M106">
        <v>45</v>
      </c>
    </row>
    <row r="107" spans="1:13" x14ac:dyDescent="0.25">
      <c r="A107">
        <v>106</v>
      </c>
      <c r="B107" t="s">
        <v>135</v>
      </c>
      <c r="C107">
        <v>15</v>
      </c>
      <c r="D107">
        <v>498</v>
      </c>
      <c r="E107">
        <v>159</v>
      </c>
      <c r="F107" t="s">
        <v>80</v>
      </c>
      <c r="G107" t="s">
        <v>20</v>
      </c>
      <c r="H107">
        <v>50</v>
      </c>
      <c r="I107">
        <v>120</v>
      </c>
      <c r="J107">
        <v>53</v>
      </c>
      <c r="K107">
        <v>35</v>
      </c>
      <c r="L107">
        <v>110</v>
      </c>
      <c r="M107">
        <v>87</v>
      </c>
    </row>
    <row r="108" spans="1:13" x14ac:dyDescent="0.25">
      <c r="A108">
        <v>107</v>
      </c>
      <c r="B108" t="s">
        <v>136</v>
      </c>
      <c r="C108">
        <v>14</v>
      </c>
      <c r="D108">
        <v>502</v>
      </c>
      <c r="E108">
        <v>159</v>
      </c>
      <c r="F108" t="s">
        <v>80</v>
      </c>
      <c r="G108" t="s">
        <v>20</v>
      </c>
      <c r="H108">
        <v>50</v>
      </c>
      <c r="I108">
        <v>105</v>
      </c>
      <c r="J108">
        <v>79</v>
      </c>
      <c r="K108">
        <v>35</v>
      </c>
      <c r="L108">
        <v>110</v>
      </c>
      <c r="M108">
        <v>76</v>
      </c>
    </row>
    <row r="109" spans="1:13" x14ac:dyDescent="0.25">
      <c r="A109">
        <v>108</v>
      </c>
      <c r="B109" t="s">
        <v>137</v>
      </c>
      <c r="C109">
        <v>12</v>
      </c>
      <c r="D109">
        <v>655</v>
      </c>
      <c r="E109">
        <v>77</v>
      </c>
      <c r="F109" t="s">
        <v>36</v>
      </c>
      <c r="G109" t="s">
        <v>20</v>
      </c>
      <c r="H109">
        <v>90</v>
      </c>
      <c r="I109">
        <v>55</v>
      </c>
      <c r="J109">
        <v>75</v>
      </c>
      <c r="K109">
        <v>60</v>
      </c>
      <c r="L109">
        <v>75</v>
      </c>
      <c r="M109">
        <v>30</v>
      </c>
    </row>
    <row r="110" spans="1:13" x14ac:dyDescent="0.25">
      <c r="A110">
        <v>109</v>
      </c>
      <c r="B110" t="s">
        <v>138</v>
      </c>
      <c r="C110">
        <v>6</v>
      </c>
      <c r="D110">
        <v>10</v>
      </c>
      <c r="E110">
        <v>68</v>
      </c>
      <c r="F110" t="s">
        <v>15</v>
      </c>
      <c r="G110" t="s">
        <v>20</v>
      </c>
      <c r="H110">
        <v>40</v>
      </c>
      <c r="I110">
        <v>65</v>
      </c>
      <c r="J110">
        <v>95</v>
      </c>
      <c r="K110">
        <v>60</v>
      </c>
      <c r="L110">
        <v>45</v>
      </c>
      <c r="M110">
        <v>35</v>
      </c>
    </row>
    <row r="111" spans="1:13" x14ac:dyDescent="0.25">
      <c r="A111">
        <v>110</v>
      </c>
      <c r="B111" t="s">
        <v>139</v>
      </c>
      <c r="C111">
        <v>12</v>
      </c>
      <c r="D111">
        <v>95</v>
      </c>
      <c r="E111">
        <v>172</v>
      </c>
      <c r="F111" t="s">
        <v>15</v>
      </c>
      <c r="G111" t="s">
        <v>20</v>
      </c>
      <c r="H111">
        <v>65</v>
      </c>
      <c r="I111">
        <v>90</v>
      </c>
      <c r="J111">
        <v>120</v>
      </c>
      <c r="K111">
        <v>85</v>
      </c>
      <c r="L111">
        <v>70</v>
      </c>
      <c r="M111">
        <v>60</v>
      </c>
    </row>
    <row r="112" spans="1:13" x14ac:dyDescent="0.25">
      <c r="A112">
        <v>111</v>
      </c>
      <c r="B112" t="s">
        <v>140</v>
      </c>
      <c r="C112">
        <v>10</v>
      </c>
      <c r="D112">
        <v>1150</v>
      </c>
      <c r="E112">
        <v>69</v>
      </c>
      <c r="F112" t="s">
        <v>49</v>
      </c>
      <c r="G112" t="s">
        <v>100</v>
      </c>
      <c r="H112">
        <v>80</v>
      </c>
      <c r="I112">
        <v>85</v>
      </c>
      <c r="J112">
        <v>95</v>
      </c>
      <c r="K112">
        <v>30</v>
      </c>
      <c r="L112">
        <v>30</v>
      </c>
      <c r="M112">
        <v>25</v>
      </c>
    </row>
    <row r="113" spans="1:13" x14ac:dyDescent="0.25">
      <c r="A113">
        <v>112</v>
      </c>
      <c r="B113" t="s">
        <v>141</v>
      </c>
      <c r="C113">
        <v>19</v>
      </c>
      <c r="D113">
        <v>1200</v>
      </c>
      <c r="E113">
        <v>170</v>
      </c>
      <c r="F113" t="s">
        <v>49</v>
      </c>
      <c r="G113" t="s">
        <v>100</v>
      </c>
      <c r="H113">
        <v>105</v>
      </c>
      <c r="I113">
        <v>130</v>
      </c>
      <c r="J113">
        <v>120</v>
      </c>
      <c r="K113">
        <v>45</v>
      </c>
      <c r="L113">
        <v>45</v>
      </c>
      <c r="M113">
        <v>40</v>
      </c>
    </row>
    <row r="114" spans="1:13" x14ac:dyDescent="0.25">
      <c r="A114">
        <v>113</v>
      </c>
      <c r="B114" t="s">
        <v>142</v>
      </c>
      <c r="C114">
        <v>11</v>
      </c>
      <c r="D114">
        <v>346</v>
      </c>
      <c r="E114">
        <v>395</v>
      </c>
      <c r="F114" t="s">
        <v>36</v>
      </c>
      <c r="G114" t="s">
        <v>20</v>
      </c>
      <c r="H114">
        <v>250</v>
      </c>
      <c r="I114">
        <v>5</v>
      </c>
      <c r="J114">
        <v>5</v>
      </c>
      <c r="K114">
        <v>35</v>
      </c>
      <c r="L114">
        <v>105</v>
      </c>
      <c r="M114">
        <v>50</v>
      </c>
    </row>
    <row r="115" spans="1:13" x14ac:dyDescent="0.25">
      <c r="A115">
        <v>114</v>
      </c>
      <c r="B115" t="s">
        <v>143</v>
      </c>
      <c r="C115">
        <v>10</v>
      </c>
      <c r="D115">
        <v>350</v>
      </c>
      <c r="E115">
        <v>87</v>
      </c>
      <c r="F115" t="s">
        <v>14</v>
      </c>
      <c r="G115" t="s">
        <v>20</v>
      </c>
      <c r="H115">
        <v>65</v>
      </c>
      <c r="I115">
        <v>55</v>
      </c>
      <c r="J115">
        <v>115</v>
      </c>
      <c r="K115">
        <v>100</v>
      </c>
      <c r="L115">
        <v>40</v>
      </c>
      <c r="M115">
        <v>60</v>
      </c>
    </row>
    <row r="116" spans="1:13" x14ac:dyDescent="0.25">
      <c r="A116">
        <v>115</v>
      </c>
      <c r="B116" t="s">
        <v>144</v>
      </c>
      <c r="C116">
        <v>22</v>
      </c>
      <c r="D116">
        <v>800</v>
      </c>
      <c r="E116">
        <v>172</v>
      </c>
      <c r="F116" t="s">
        <v>36</v>
      </c>
      <c r="G116" t="s">
        <v>20</v>
      </c>
      <c r="H116">
        <v>105</v>
      </c>
      <c r="I116">
        <v>95</v>
      </c>
      <c r="J116">
        <v>80</v>
      </c>
      <c r="K116">
        <v>40</v>
      </c>
      <c r="L116">
        <v>80</v>
      </c>
      <c r="M116">
        <v>90</v>
      </c>
    </row>
    <row r="117" spans="1:13" x14ac:dyDescent="0.25">
      <c r="A117">
        <v>116</v>
      </c>
      <c r="B117" t="s">
        <v>145</v>
      </c>
      <c r="C117">
        <v>4</v>
      </c>
      <c r="D117">
        <v>80</v>
      </c>
      <c r="E117">
        <v>59</v>
      </c>
      <c r="F117" t="s">
        <v>25</v>
      </c>
      <c r="G117" t="s">
        <v>20</v>
      </c>
      <c r="H117">
        <v>30</v>
      </c>
      <c r="I117">
        <v>40</v>
      </c>
      <c r="J117">
        <v>70</v>
      </c>
      <c r="K117">
        <v>70</v>
      </c>
      <c r="L117">
        <v>25</v>
      </c>
      <c r="M117">
        <v>60</v>
      </c>
    </row>
    <row r="118" spans="1:13" x14ac:dyDescent="0.25">
      <c r="A118">
        <v>117</v>
      </c>
      <c r="B118" t="s">
        <v>146</v>
      </c>
      <c r="C118">
        <v>12</v>
      </c>
      <c r="D118">
        <v>250</v>
      </c>
      <c r="E118">
        <v>154</v>
      </c>
      <c r="F118" t="s">
        <v>25</v>
      </c>
      <c r="G118" t="s">
        <v>20</v>
      </c>
      <c r="H118">
        <v>55</v>
      </c>
      <c r="I118">
        <v>65</v>
      </c>
      <c r="J118">
        <v>95</v>
      </c>
      <c r="K118">
        <v>95</v>
      </c>
      <c r="L118">
        <v>45</v>
      </c>
      <c r="M118">
        <v>85</v>
      </c>
    </row>
    <row r="119" spans="1:13" x14ac:dyDescent="0.25">
      <c r="A119">
        <v>118</v>
      </c>
      <c r="B119" t="s">
        <v>147</v>
      </c>
      <c r="C119">
        <v>6</v>
      </c>
      <c r="D119">
        <v>150</v>
      </c>
      <c r="E119">
        <v>64</v>
      </c>
      <c r="F119" t="s">
        <v>25</v>
      </c>
      <c r="G119" t="s">
        <v>20</v>
      </c>
      <c r="H119">
        <v>45</v>
      </c>
      <c r="I119">
        <v>67</v>
      </c>
      <c r="J119">
        <v>60</v>
      </c>
      <c r="K119">
        <v>35</v>
      </c>
      <c r="L119">
        <v>50</v>
      </c>
      <c r="M119">
        <v>63</v>
      </c>
    </row>
    <row r="120" spans="1:13" x14ac:dyDescent="0.25">
      <c r="A120">
        <v>119</v>
      </c>
      <c r="B120" t="s">
        <v>148</v>
      </c>
      <c r="C120">
        <v>13</v>
      </c>
      <c r="D120">
        <v>390</v>
      </c>
      <c r="E120">
        <v>158</v>
      </c>
      <c r="F120" t="s">
        <v>25</v>
      </c>
      <c r="G120" t="s">
        <v>20</v>
      </c>
      <c r="H120">
        <v>80</v>
      </c>
      <c r="I120">
        <v>92</v>
      </c>
      <c r="J120">
        <v>65</v>
      </c>
      <c r="K120">
        <v>65</v>
      </c>
      <c r="L120">
        <v>80</v>
      </c>
      <c r="M120">
        <v>68</v>
      </c>
    </row>
    <row r="121" spans="1:13" x14ac:dyDescent="0.25">
      <c r="A121">
        <v>120</v>
      </c>
      <c r="B121" t="s">
        <v>149</v>
      </c>
      <c r="C121">
        <v>8</v>
      </c>
      <c r="D121">
        <v>345</v>
      </c>
      <c r="E121">
        <v>68</v>
      </c>
      <c r="F121" t="s">
        <v>25</v>
      </c>
      <c r="G121" t="s">
        <v>20</v>
      </c>
      <c r="H121">
        <v>30</v>
      </c>
      <c r="I121">
        <v>45</v>
      </c>
      <c r="J121">
        <v>55</v>
      </c>
      <c r="K121">
        <v>70</v>
      </c>
      <c r="L121">
        <v>55</v>
      </c>
      <c r="M121">
        <v>85</v>
      </c>
    </row>
    <row r="122" spans="1:13" x14ac:dyDescent="0.25">
      <c r="A122">
        <v>121</v>
      </c>
      <c r="B122" t="s">
        <v>150</v>
      </c>
      <c r="C122">
        <v>11</v>
      </c>
      <c r="D122">
        <v>800</v>
      </c>
      <c r="E122">
        <v>182</v>
      </c>
      <c r="F122" t="s">
        <v>25</v>
      </c>
      <c r="G122" t="s">
        <v>88</v>
      </c>
      <c r="H122">
        <v>60</v>
      </c>
      <c r="I122">
        <v>75</v>
      </c>
      <c r="J122">
        <v>85</v>
      </c>
      <c r="K122">
        <v>100</v>
      </c>
      <c r="L122">
        <v>85</v>
      </c>
      <c r="M122">
        <v>115</v>
      </c>
    </row>
    <row r="123" spans="1:13" x14ac:dyDescent="0.25">
      <c r="A123">
        <v>122</v>
      </c>
      <c r="B123" t="s">
        <v>151</v>
      </c>
      <c r="C123">
        <v>13</v>
      </c>
      <c r="D123">
        <v>545</v>
      </c>
      <c r="E123">
        <v>161</v>
      </c>
      <c r="F123" t="s">
        <v>88</v>
      </c>
      <c r="G123" t="s">
        <v>58</v>
      </c>
      <c r="H123">
        <v>40</v>
      </c>
      <c r="I123">
        <v>45</v>
      </c>
      <c r="J123">
        <v>65</v>
      </c>
      <c r="K123">
        <v>100</v>
      </c>
      <c r="L123">
        <v>120</v>
      </c>
      <c r="M123">
        <v>90</v>
      </c>
    </row>
    <row r="124" spans="1:13" x14ac:dyDescent="0.25">
      <c r="A124">
        <v>123</v>
      </c>
      <c r="B124" t="s">
        <v>152</v>
      </c>
      <c r="C124">
        <v>15</v>
      </c>
      <c r="D124">
        <v>560</v>
      </c>
      <c r="E124">
        <v>100</v>
      </c>
      <c r="F124" t="s">
        <v>29</v>
      </c>
      <c r="G124" t="s">
        <v>23</v>
      </c>
      <c r="H124">
        <v>70</v>
      </c>
      <c r="I124">
        <v>110</v>
      </c>
      <c r="J124">
        <v>80</v>
      </c>
      <c r="K124">
        <v>55</v>
      </c>
      <c r="L124">
        <v>80</v>
      </c>
      <c r="M124">
        <v>105</v>
      </c>
    </row>
    <row r="125" spans="1:13" x14ac:dyDescent="0.25">
      <c r="A125">
        <v>124</v>
      </c>
      <c r="B125" t="s">
        <v>153</v>
      </c>
      <c r="C125">
        <v>14</v>
      </c>
      <c r="D125">
        <v>406</v>
      </c>
      <c r="E125">
        <v>159</v>
      </c>
      <c r="F125" t="s">
        <v>115</v>
      </c>
      <c r="G125" t="s">
        <v>88</v>
      </c>
      <c r="H125">
        <v>65</v>
      </c>
      <c r="I125">
        <v>50</v>
      </c>
      <c r="J125">
        <v>35</v>
      </c>
      <c r="K125">
        <v>115</v>
      </c>
      <c r="L125">
        <v>95</v>
      </c>
      <c r="M125">
        <v>95</v>
      </c>
    </row>
    <row r="126" spans="1:13" x14ac:dyDescent="0.25">
      <c r="A126">
        <v>125</v>
      </c>
      <c r="B126" t="s">
        <v>154</v>
      </c>
      <c r="C126">
        <v>11</v>
      </c>
      <c r="D126">
        <v>300</v>
      </c>
      <c r="E126">
        <v>172</v>
      </c>
      <c r="F126" t="s">
        <v>46</v>
      </c>
      <c r="G126" t="s">
        <v>20</v>
      </c>
      <c r="H126">
        <v>65</v>
      </c>
      <c r="I126">
        <v>83</v>
      </c>
      <c r="J126">
        <v>57</v>
      </c>
      <c r="K126">
        <v>95</v>
      </c>
      <c r="L126">
        <v>85</v>
      </c>
      <c r="M126">
        <v>105</v>
      </c>
    </row>
    <row r="127" spans="1:13" x14ac:dyDescent="0.25">
      <c r="A127">
        <v>126</v>
      </c>
      <c r="B127" t="s">
        <v>155</v>
      </c>
      <c r="C127">
        <v>13</v>
      </c>
      <c r="D127">
        <v>445</v>
      </c>
      <c r="E127">
        <v>173</v>
      </c>
      <c r="F127" t="s">
        <v>19</v>
      </c>
      <c r="G127" t="s">
        <v>20</v>
      </c>
      <c r="H127">
        <v>65</v>
      </c>
      <c r="I127">
        <v>95</v>
      </c>
      <c r="J127">
        <v>57</v>
      </c>
      <c r="K127">
        <v>100</v>
      </c>
      <c r="L127">
        <v>85</v>
      </c>
      <c r="M127">
        <v>93</v>
      </c>
    </row>
    <row r="128" spans="1:13" x14ac:dyDescent="0.25">
      <c r="A128">
        <v>127</v>
      </c>
      <c r="B128" t="s">
        <v>156</v>
      </c>
      <c r="C128">
        <v>15</v>
      </c>
      <c r="D128">
        <v>550</v>
      </c>
      <c r="E128">
        <v>175</v>
      </c>
      <c r="F128" t="s">
        <v>29</v>
      </c>
      <c r="G128" t="s">
        <v>20</v>
      </c>
      <c r="H128">
        <v>65</v>
      </c>
      <c r="I128">
        <v>125</v>
      </c>
      <c r="J128">
        <v>100</v>
      </c>
      <c r="K128">
        <v>55</v>
      </c>
      <c r="L128">
        <v>70</v>
      </c>
      <c r="M128">
        <v>85</v>
      </c>
    </row>
    <row r="129" spans="1:13" x14ac:dyDescent="0.25">
      <c r="A129">
        <v>128</v>
      </c>
      <c r="B129" t="s">
        <v>157</v>
      </c>
      <c r="C129">
        <v>14</v>
      </c>
      <c r="D129">
        <v>884</v>
      </c>
      <c r="E129">
        <v>172</v>
      </c>
      <c r="F129" t="s">
        <v>36</v>
      </c>
      <c r="G129" t="s">
        <v>20</v>
      </c>
      <c r="H129">
        <v>75</v>
      </c>
      <c r="I129">
        <v>100</v>
      </c>
      <c r="J129">
        <v>95</v>
      </c>
      <c r="K129">
        <v>40</v>
      </c>
      <c r="L129">
        <v>70</v>
      </c>
      <c r="M129">
        <v>110</v>
      </c>
    </row>
    <row r="130" spans="1:13" x14ac:dyDescent="0.25">
      <c r="A130">
        <v>129</v>
      </c>
      <c r="B130" t="s">
        <v>158</v>
      </c>
      <c r="C130">
        <v>9</v>
      </c>
      <c r="D130">
        <v>100</v>
      </c>
      <c r="E130">
        <v>40</v>
      </c>
      <c r="F130" t="s">
        <v>25</v>
      </c>
      <c r="G130" t="s">
        <v>20</v>
      </c>
      <c r="H130">
        <v>20</v>
      </c>
      <c r="I130">
        <v>10</v>
      </c>
      <c r="J130">
        <v>55</v>
      </c>
      <c r="K130">
        <v>15</v>
      </c>
      <c r="L130">
        <v>20</v>
      </c>
      <c r="M130">
        <v>80</v>
      </c>
    </row>
    <row r="131" spans="1:13" x14ac:dyDescent="0.25">
      <c r="A131">
        <v>130</v>
      </c>
      <c r="B131" t="s">
        <v>159</v>
      </c>
      <c r="C131">
        <v>65</v>
      </c>
      <c r="D131">
        <v>2350</v>
      </c>
      <c r="E131">
        <v>189</v>
      </c>
      <c r="F131" t="s">
        <v>25</v>
      </c>
      <c r="G131" t="s">
        <v>23</v>
      </c>
      <c r="H131">
        <v>95</v>
      </c>
      <c r="I131">
        <v>125</v>
      </c>
      <c r="J131">
        <v>79</v>
      </c>
      <c r="K131">
        <v>60</v>
      </c>
      <c r="L131">
        <v>100</v>
      </c>
      <c r="M131">
        <v>81</v>
      </c>
    </row>
    <row r="132" spans="1:13" x14ac:dyDescent="0.25">
      <c r="A132">
        <v>131</v>
      </c>
      <c r="B132" t="s">
        <v>160</v>
      </c>
      <c r="C132">
        <v>25</v>
      </c>
      <c r="D132">
        <v>2200</v>
      </c>
      <c r="E132">
        <v>187</v>
      </c>
      <c r="F132" t="s">
        <v>25</v>
      </c>
      <c r="G132" t="s">
        <v>115</v>
      </c>
      <c r="H132">
        <v>130</v>
      </c>
      <c r="I132">
        <v>85</v>
      </c>
      <c r="J132">
        <v>80</v>
      </c>
      <c r="K132">
        <v>85</v>
      </c>
      <c r="L132">
        <v>95</v>
      </c>
      <c r="M132">
        <v>60</v>
      </c>
    </row>
    <row r="133" spans="1:13" x14ac:dyDescent="0.25">
      <c r="A133">
        <v>132</v>
      </c>
      <c r="B133" t="s">
        <v>161</v>
      </c>
      <c r="C133">
        <v>3</v>
      </c>
      <c r="D133">
        <v>40</v>
      </c>
      <c r="E133">
        <v>101</v>
      </c>
      <c r="F133" t="s">
        <v>36</v>
      </c>
      <c r="G133" t="s">
        <v>20</v>
      </c>
      <c r="H133">
        <v>48</v>
      </c>
      <c r="I133">
        <v>48</v>
      </c>
      <c r="J133">
        <v>48</v>
      </c>
      <c r="K133">
        <v>48</v>
      </c>
      <c r="L133">
        <v>48</v>
      </c>
      <c r="M133">
        <v>48</v>
      </c>
    </row>
    <row r="134" spans="1:13" x14ac:dyDescent="0.25">
      <c r="A134">
        <v>133</v>
      </c>
      <c r="B134" t="s">
        <v>162</v>
      </c>
      <c r="C134">
        <v>3</v>
      </c>
      <c r="D134">
        <v>65</v>
      </c>
      <c r="E134">
        <v>65</v>
      </c>
      <c r="F134" t="s">
        <v>36</v>
      </c>
      <c r="G134" t="s">
        <v>20</v>
      </c>
      <c r="H134">
        <v>55</v>
      </c>
      <c r="I134">
        <v>55</v>
      </c>
      <c r="J134">
        <v>50</v>
      </c>
      <c r="K134">
        <v>45</v>
      </c>
      <c r="L134">
        <v>65</v>
      </c>
      <c r="M134">
        <v>55</v>
      </c>
    </row>
    <row r="135" spans="1:13" x14ac:dyDescent="0.25">
      <c r="A135">
        <v>134</v>
      </c>
      <c r="B135" t="s">
        <v>163</v>
      </c>
      <c r="C135">
        <v>10</v>
      </c>
      <c r="D135">
        <v>290</v>
      </c>
      <c r="E135">
        <v>184</v>
      </c>
      <c r="F135" t="s">
        <v>25</v>
      </c>
      <c r="G135" t="s">
        <v>20</v>
      </c>
      <c r="H135">
        <v>130</v>
      </c>
      <c r="I135">
        <v>65</v>
      </c>
      <c r="J135">
        <v>60</v>
      </c>
      <c r="K135">
        <v>110</v>
      </c>
      <c r="L135">
        <v>95</v>
      </c>
      <c r="M135">
        <v>65</v>
      </c>
    </row>
    <row r="136" spans="1:13" x14ac:dyDescent="0.25">
      <c r="A136">
        <v>135</v>
      </c>
      <c r="B136" t="s">
        <v>164</v>
      </c>
      <c r="C136">
        <v>8</v>
      </c>
      <c r="D136">
        <v>245</v>
      </c>
      <c r="E136">
        <v>184</v>
      </c>
      <c r="F136" t="s">
        <v>46</v>
      </c>
      <c r="G136" t="s">
        <v>20</v>
      </c>
      <c r="H136">
        <v>65</v>
      </c>
      <c r="I136">
        <v>65</v>
      </c>
      <c r="J136">
        <v>60</v>
      </c>
      <c r="K136">
        <v>110</v>
      </c>
      <c r="L136">
        <v>95</v>
      </c>
      <c r="M136">
        <v>130</v>
      </c>
    </row>
    <row r="137" spans="1:13" x14ac:dyDescent="0.25">
      <c r="A137">
        <v>136</v>
      </c>
      <c r="B137" t="s">
        <v>165</v>
      </c>
      <c r="C137">
        <v>9</v>
      </c>
      <c r="D137">
        <v>250</v>
      </c>
      <c r="E137">
        <v>184</v>
      </c>
      <c r="F137" t="s">
        <v>19</v>
      </c>
      <c r="G137" t="s">
        <v>20</v>
      </c>
      <c r="H137">
        <v>65</v>
      </c>
      <c r="I137">
        <v>130</v>
      </c>
      <c r="J137">
        <v>60</v>
      </c>
      <c r="K137">
        <v>95</v>
      </c>
      <c r="L137">
        <v>110</v>
      </c>
      <c r="M137">
        <v>65</v>
      </c>
    </row>
    <row r="138" spans="1:13" x14ac:dyDescent="0.25">
      <c r="A138">
        <v>137</v>
      </c>
      <c r="B138" t="s">
        <v>166</v>
      </c>
      <c r="C138">
        <v>8</v>
      </c>
      <c r="D138">
        <v>365</v>
      </c>
      <c r="E138">
        <v>79</v>
      </c>
      <c r="F138" t="s">
        <v>36</v>
      </c>
      <c r="G138" t="s">
        <v>20</v>
      </c>
      <c r="H138">
        <v>65</v>
      </c>
      <c r="I138">
        <v>60</v>
      </c>
      <c r="J138">
        <v>70</v>
      </c>
      <c r="K138">
        <v>85</v>
      </c>
      <c r="L138">
        <v>75</v>
      </c>
      <c r="M138">
        <v>40</v>
      </c>
    </row>
    <row r="139" spans="1:13" x14ac:dyDescent="0.25">
      <c r="A139">
        <v>138</v>
      </c>
      <c r="B139" t="s">
        <v>167</v>
      </c>
      <c r="C139">
        <v>4</v>
      </c>
      <c r="D139">
        <v>75</v>
      </c>
      <c r="E139">
        <v>71</v>
      </c>
      <c r="F139" t="s">
        <v>100</v>
      </c>
      <c r="G139" t="s">
        <v>25</v>
      </c>
      <c r="H139">
        <v>35</v>
      </c>
      <c r="I139">
        <v>40</v>
      </c>
      <c r="J139">
        <v>100</v>
      </c>
      <c r="K139">
        <v>90</v>
      </c>
      <c r="L139">
        <v>55</v>
      </c>
      <c r="M139">
        <v>35</v>
      </c>
    </row>
    <row r="140" spans="1:13" x14ac:dyDescent="0.25">
      <c r="A140">
        <v>139</v>
      </c>
      <c r="B140" t="s">
        <v>168</v>
      </c>
      <c r="C140">
        <v>10</v>
      </c>
      <c r="D140">
        <v>350</v>
      </c>
      <c r="E140">
        <v>173</v>
      </c>
      <c r="F140" t="s">
        <v>100</v>
      </c>
      <c r="G140" t="s">
        <v>25</v>
      </c>
      <c r="H140">
        <v>70</v>
      </c>
      <c r="I140">
        <v>60</v>
      </c>
      <c r="J140">
        <v>125</v>
      </c>
      <c r="K140">
        <v>115</v>
      </c>
      <c r="L140">
        <v>70</v>
      </c>
      <c r="M140">
        <v>55</v>
      </c>
    </row>
    <row r="141" spans="1:13" x14ac:dyDescent="0.25">
      <c r="A141">
        <v>140</v>
      </c>
      <c r="B141" t="s">
        <v>169</v>
      </c>
      <c r="C141">
        <v>5</v>
      </c>
      <c r="D141">
        <v>115</v>
      </c>
      <c r="E141">
        <v>71</v>
      </c>
      <c r="F141" t="s">
        <v>100</v>
      </c>
      <c r="G141" t="s">
        <v>25</v>
      </c>
      <c r="H141">
        <v>30</v>
      </c>
      <c r="I141">
        <v>80</v>
      </c>
      <c r="J141">
        <v>90</v>
      </c>
      <c r="K141">
        <v>55</v>
      </c>
      <c r="L141">
        <v>45</v>
      </c>
      <c r="M141">
        <v>55</v>
      </c>
    </row>
    <row r="142" spans="1:13" x14ac:dyDescent="0.25">
      <c r="A142">
        <v>141</v>
      </c>
      <c r="B142" t="s">
        <v>170</v>
      </c>
      <c r="C142">
        <v>13</v>
      </c>
      <c r="D142">
        <v>405</v>
      </c>
      <c r="E142">
        <v>173</v>
      </c>
      <c r="F142" t="s">
        <v>100</v>
      </c>
      <c r="G142" t="s">
        <v>25</v>
      </c>
      <c r="H142">
        <v>60</v>
      </c>
      <c r="I142">
        <v>115</v>
      </c>
      <c r="J142">
        <v>105</v>
      </c>
      <c r="K142">
        <v>65</v>
      </c>
      <c r="L142">
        <v>70</v>
      </c>
      <c r="M142">
        <v>80</v>
      </c>
    </row>
    <row r="143" spans="1:13" x14ac:dyDescent="0.25">
      <c r="A143">
        <v>142</v>
      </c>
      <c r="B143" t="s">
        <v>171</v>
      </c>
      <c r="C143">
        <v>18</v>
      </c>
      <c r="D143">
        <v>590</v>
      </c>
      <c r="E143">
        <v>180</v>
      </c>
      <c r="F143" t="s">
        <v>100</v>
      </c>
      <c r="G143" t="s">
        <v>23</v>
      </c>
      <c r="H143">
        <v>80</v>
      </c>
      <c r="I143">
        <v>105</v>
      </c>
      <c r="J143">
        <v>65</v>
      </c>
      <c r="K143">
        <v>60</v>
      </c>
      <c r="L143">
        <v>75</v>
      </c>
      <c r="M143">
        <v>130</v>
      </c>
    </row>
    <row r="144" spans="1:13" x14ac:dyDescent="0.25">
      <c r="A144">
        <v>143</v>
      </c>
      <c r="B144" t="s">
        <v>172</v>
      </c>
      <c r="C144">
        <v>21</v>
      </c>
      <c r="D144">
        <v>4600</v>
      </c>
      <c r="E144">
        <v>189</v>
      </c>
      <c r="F144" t="s">
        <v>36</v>
      </c>
      <c r="G144" t="s">
        <v>20</v>
      </c>
      <c r="H144">
        <v>160</v>
      </c>
      <c r="I144">
        <v>110</v>
      </c>
      <c r="J144">
        <v>65</v>
      </c>
      <c r="K144">
        <v>65</v>
      </c>
      <c r="L144">
        <v>110</v>
      </c>
      <c r="M144">
        <v>30</v>
      </c>
    </row>
    <row r="145" spans="1:13" x14ac:dyDescent="0.25">
      <c r="A145">
        <v>144</v>
      </c>
      <c r="B145" t="s">
        <v>173</v>
      </c>
      <c r="C145">
        <v>17</v>
      </c>
      <c r="D145">
        <v>554</v>
      </c>
      <c r="E145">
        <v>261</v>
      </c>
      <c r="F145" t="s">
        <v>115</v>
      </c>
      <c r="G145" t="s">
        <v>23</v>
      </c>
      <c r="H145">
        <v>90</v>
      </c>
      <c r="I145">
        <v>85</v>
      </c>
      <c r="J145">
        <v>100</v>
      </c>
      <c r="K145">
        <v>95</v>
      </c>
      <c r="L145">
        <v>125</v>
      </c>
      <c r="M145">
        <v>85</v>
      </c>
    </row>
    <row r="146" spans="1:13" x14ac:dyDescent="0.25">
      <c r="A146">
        <v>145</v>
      </c>
      <c r="B146" t="s">
        <v>174</v>
      </c>
      <c r="C146">
        <v>16</v>
      </c>
      <c r="D146">
        <v>526</v>
      </c>
      <c r="E146">
        <v>261</v>
      </c>
      <c r="F146" t="s">
        <v>46</v>
      </c>
      <c r="G146" t="s">
        <v>23</v>
      </c>
      <c r="H146">
        <v>90</v>
      </c>
      <c r="I146">
        <v>90</v>
      </c>
      <c r="J146">
        <v>85</v>
      </c>
      <c r="K146">
        <v>125</v>
      </c>
      <c r="L146">
        <v>90</v>
      </c>
      <c r="M146">
        <v>100</v>
      </c>
    </row>
    <row r="147" spans="1:13" x14ac:dyDescent="0.25">
      <c r="A147">
        <v>146</v>
      </c>
      <c r="B147" t="s">
        <v>175</v>
      </c>
      <c r="C147">
        <v>20</v>
      </c>
      <c r="D147">
        <v>600</v>
      </c>
      <c r="E147">
        <v>261</v>
      </c>
      <c r="F147" t="s">
        <v>19</v>
      </c>
      <c r="G147" t="s">
        <v>23</v>
      </c>
      <c r="H147">
        <v>90</v>
      </c>
      <c r="I147">
        <v>100</v>
      </c>
      <c r="J147">
        <v>90</v>
      </c>
      <c r="K147">
        <v>125</v>
      </c>
      <c r="L147">
        <v>85</v>
      </c>
      <c r="M147">
        <v>90</v>
      </c>
    </row>
    <row r="148" spans="1:13" x14ac:dyDescent="0.25">
      <c r="A148">
        <v>147</v>
      </c>
      <c r="B148" t="s">
        <v>176</v>
      </c>
      <c r="C148">
        <v>18</v>
      </c>
      <c r="D148">
        <v>33</v>
      </c>
      <c r="E148">
        <v>60</v>
      </c>
      <c r="F148" t="s">
        <v>177</v>
      </c>
      <c r="G148" t="s">
        <v>20</v>
      </c>
      <c r="H148">
        <v>41</v>
      </c>
      <c r="I148">
        <v>64</v>
      </c>
      <c r="J148">
        <v>45</v>
      </c>
      <c r="K148">
        <v>50</v>
      </c>
      <c r="L148">
        <v>50</v>
      </c>
      <c r="M148">
        <v>50</v>
      </c>
    </row>
    <row r="149" spans="1:13" x14ac:dyDescent="0.25">
      <c r="A149">
        <v>148</v>
      </c>
      <c r="B149" t="s">
        <v>178</v>
      </c>
      <c r="C149">
        <v>40</v>
      </c>
      <c r="D149">
        <v>165</v>
      </c>
      <c r="E149">
        <v>147</v>
      </c>
      <c r="F149" t="s">
        <v>177</v>
      </c>
      <c r="G149" t="s">
        <v>20</v>
      </c>
      <c r="H149">
        <v>61</v>
      </c>
      <c r="I149">
        <v>84</v>
      </c>
      <c r="J149">
        <v>65</v>
      </c>
      <c r="K149">
        <v>70</v>
      </c>
      <c r="L149">
        <v>70</v>
      </c>
      <c r="M149">
        <v>70</v>
      </c>
    </row>
    <row r="150" spans="1:13" x14ac:dyDescent="0.25">
      <c r="A150">
        <v>149</v>
      </c>
      <c r="B150" t="s">
        <v>179</v>
      </c>
      <c r="C150">
        <v>22</v>
      </c>
      <c r="D150">
        <v>2100</v>
      </c>
      <c r="E150">
        <v>270</v>
      </c>
      <c r="F150" t="s">
        <v>177</v>
      </c>
      <c r="G150" t="s">
        <v>23</v>
      </c>
      <c r="H150">
        <v>91</v>
      </c>
      <c r="I150">
        <v>134</v>
      </c>
      <c r="J150">
        <v>95</v>
      </c>
      <c r="K150">
        <v>100</v>
      </c>
      <c r="L150">
        <v>100</v>
      </c>
      <c r="M150">
        <v>80</v>
      </c>
    </row>
    <row r="151" spans="1:13" x14ac:dyDescent="0.25">
      <c r="A151">
        <v>150</v>
      </c>
      <c r="B151" t="s">
        <v>180</v>
      </c>
      <c r="C151">
        <v>20</v>
      </c>
      <c r="D151">
        <v>1220</v>
      </c>
      <c r="E151">
        <v>306</v>
      </c>
      <c r="F151" t="s">
        <v>88</v>
      </c>
      <c r="G151" t="s">
        <v>20</v>
      </c>
      <c r="H151">
        <v>106</v>
      </c>
      <c r="I151">
        <v>110</v>
      </c>
      <c r="J151">
        <v>90</v>
      </c>
      <c r="K151">
        <v>154</v>
      </c>
      <c r="L151">
        <v>90</v>
      </c>
      <c r="M151">
        <v>130</v>
      </c>
    </row>
    <row r="152" spans="1:13" x14ac:dyDescent="0.25">
      <c r="A152">
        <v>151</v>
      </c>
      <c r="B152" t="s">
        <v>181</v>
      </c>
      <c r="C152">
        <v>4</v>
      </c>
      <c r="D152">
        <v>40</v>
      </c>
      <c r="E152">
        <v>270</v>
      </c>
      <c r="F152" t="s">
        <v>88</v>
      </c>
      <c r="G152" t="s">
        <v>20</v>
      </c>
      <c r="H152">
        <v>100</v>
      </c>
      <c r="I152">
        <v>100</v>
      </c>
      <c r="J152">
        <v>100</v>
      </c>
      <c r="K152">
        <v>100</v>
      </c>
      <c r="L152">
        <v>100</v>
      </c>
      <c r="M152">
        <v>100</v>
      </c>
    </row>
    <row r="153" spans="1:13" x14ac:dyDescent="0.25">
      <c r="A153">
        <v>152</v>
      </c>
      <c r="B153" t="s">
        <v>182</v>
      </c>
      <c r="C153">
        <v>9</v>
      </c>
      <c r="D153">
        <v>64</v>
      </c>
      <c r="E153">
        <v>64</v>
      </c>
      <c r="F153" t="s">
        <v>14</v>
      </c>
      <c r="G153" t="s">
        <v>20</v>
      </c>
      <c r="H153">
        <v>45</v>
      </c>
      <c r="I153">
        <v>49</v>
      </c>
      <c r="J153">
        <v>65</v>
      </c>
      <c r="K153">
        <v>49</v>
      </c>
      <c r="L153">
        <v>65</v>
      </c>
      <c r="M153">
        <v>45</v>
      </c>
    </row>
    <row r="154" spans="1:13" x14ac:dyDescent="0.25">
      <c r="A154">
        <v>153</v>
      </c>
      <c r="B154" t="s">
        <v>183</v>
      </c>
      <c r="C154">
        <v>12</v>
      </c>
      <c r="D154">
        <v>158</v>
      </c>
      <c r="E154">
        <v>142</v>
      </c>
      <c r="F154" t="s">
        <v>14</v>
      </c>
      <c r="G154" t="s">
        <v>20</v>
      </c>
      <c r="H154">
        <v>60</v>
      </c>
      <c r="I154">
        <v>62</v>
      </c>
      <c r="J154">
        <v>80</v>
      </c>
      <c r="K154">
        <v>63</v>
      </c>
      <c r="L154">
        <v>80</v>
      </c>
      <c r="M154">
        <v>60</v>
      </c>
    </row>
    <row r="155" spans="1:13" x14ac:dyDescent="0.25">
      <c r="A155">
        <v>154</v>
      </c>
      <c r="B155" t="s">
        <v>184</v>
      </c>
      <c r="C155">
        <v>18</v>
      </c>
      <c r="D155">
        <v>1005</v>
      </c>
      <c r="E155">
        <v>236</v>
      </c>
      <c r="F155" t="s">
        <v>14</v>
      </c>
      <c r="G155" t="s">
        <v>20</v>
      </c>
      <c r="H155">
        <v>80</v>
      </c>
      <c r="I155">
        <v>82</v>
      </c>
      <c r="J155">
        <v>100</v>
      </c>
      <c r="K155">
        <v>83</v>
      </c>
      <c r="L155">
        <v>100</v>
      </c>
      <c r="M155">
        <v>80</v>
      </c>
    </row>
    <row r="156" spans="1:13" x14ac:dyDescent="0.25">
      <c r="A156">
        <v>155</v>
      </c>
      <c r="B156" t="s">
        <v>185</v>
      </c>
      <c r="C156">
        <v>5</v>
      </c>
      <c r="D156">
        <v>79</v>
      </c>
      <c r="E156">
        <v>62</v>
      </c>
      <c r="F156" t="s">
        <v>19</v>
      </c>
      <c r="G156" t="s">
        <v>20</v>
      </c>
      <c r="H156">
        <v>39</v>
      </c>
      <c r="I156">
        <v>52</v>
      </c>
      <c r="J156">
        <v>43</v>
      </c>
      <c r="K156">
        <v>60</v>
      </c>
      <c r="L156">
        <v>50</v>
      </c>
      <c r="M156">
        <v>65</v>
      </c>
    </row>
    <row r="157" spans="1:13" x14ac:dyDescent="0.25">
      <c r="A157">
        <v>156</v>
      </c>
      <c r="B157" t="s">
        <v>186</v>
      </c>
      <c r="C157">
        <v>9</v>
      </c>
      <c r="D157">
        <v>190</v>
      </c>
      <c r="E157">
        <v>142</v>
      </c>
      <c r="F157" t="s">
        <v>19</v>
      </c>
      <c r="G157" t="s">
        <v>20</v>
      </c>
      <c r="H157">
        <v>58</v>
      </c>
      <c r="I157">
        <v>64</v>
      </c>
      <c r="J157">
        <v>58</v>
      </c>
      <c r="K157">
        <v>80</v>
      </c>
      <c r="L157">
        <v>65</v>
      </c>
      <c r="M157">
        <v>80</v>
      </c>
    </row>
    <row r="158" spans="1:13" x14ac:dyDescent="0.25">
      <c r="A158">
        <v>157</v>
      </c>
      <c r="B158" t="s">
        <v>187</v>
      </c>
      <c r="C158">
        <v>17</v>
      </c>
      <c r="D158">
        <v>795</v>
      </c>
      <c r="E158">
        <v>240</v>
      </c>
      <c r="F158" t="s">
        <v>19</v>
      </c>
      <c r="G158" t="s">
        <v>20</v>
      </c>
      <c r="H158">
        <v>78</v>
      </c>
      <c r="I158">
        <v>84</v>
      </c>
      <c r="J158">
        <v>78</v>
      </c>
      <c r="K158">
        <v>109</v>
      </c>
      <c r="L158">
        <v>85</v>
      </c>
      <c r="M158">
        <v>100</v>
      </c>
    </row>
    <row r="159" spans="1:13" x14ac:dyDescent="0.25">
      <c r="A159">
        <v>158</v>
      </c>
      <c r="B159" t="s">
        <v>188</v>
      </c>
      <c r="C159">
        <v>6</v>
      </c>
      <c r="D159">
        <v>95</v>
      </c>
      <c r="E159">
        <v>63</v>
      </c>
      <c r="F159" t="s">
        <v>25</v>
      </c>
      <c r="G159" t="s">
        <v>20</v>
      </c>
      <c r="H159">
        <v>50</v>
      </c>
      <c r="I159">
        <v>65</v>
      </c>
      <c r="J159">
        <v>64</v>
      </c>
      <c r="K159">
        <v>44</v>
      </c>
      <c r="L159">
        <v>48</v>
      </c>
      <c r="M159">
        <v>43</v>
      </c>
    </row>
    <row r="160" spans="1:13" x14ac:dyDescent="0.25">
      <c r="A160">
        <v>159</v>
      </c>
      <c r="B160" t="s">
        <v>189</v>
      </c>
      <c r="C160">
        <v>11</v>
      </c>
      <c r="D160">
        <v>250</v>
      </c>
      <c r="E160">
        <v>142</v>
      </c>
      <c r="F160" t="s">
        <v>25</v>
      </c>
      <c r="G160" t="s">
        <v>20</v>
      </c>
      <c r="H160">
        <v>65</v>
      </c>
      <c r="I160">
        <v>80</v>
      </c>
      <c r="J160">
        <v>80</v>
      </c>
      <c r="K160">
        <v>59</v>
      </c>
      <c r="L160">
        <v>63</v>
      </c>
      <c r="M160">
        <v>58</v>
      </c>
    </row>
    <row r="161" spans="1:13" x14ac:dyDescent="0.25">
      <c r="A161">
        <v>160</v>
      </c>
      <c r="B161" t="s">
        <v>190</v>
      </c>
      <c r="C161">
        <v>23</v>
      </c>
      <c r="D161">
        <v>888</v>
      </c>
      <c r="E161">
        <v>239</v>
      </c>
      <c r="F161" t="s">
        <v>25</v>
      </c>
      <c r="G161" t="s">
        <v>20</v>
      </c>
      <c r="H161">
        <v>85</v>
      </c>
      <c r="I161">
        <v>105</v>
      </c>
      <c r="J161">
        <v>100</v>
      </c>
      <c r="K161">
        <v>79</v>
      </c>
      <c r="L161">
        <v>83</v>
      </c>
      <c r="M161">
        <v>78</v>
      </c>
    </row>
    <row r="162" spans="1:13" x14ac:dyDescent="0.25">
      <c r="A162">
        <v>161</v>
      </c>
      <c r="B162" t="s">
        <v>191</v>
      </c>
      <c r="C162">
        <v>8</v>
      </c>
      <c r="D162">
        <v>60</v>
      </c>
      <c r="E162">
        <v>43</v>
      </c>
      <c r="F162" t="s">
        <v>36</v>
      </c>
      <c r="G162" t="s">
        <v>20</v>
      </c>
      <c r="H162">
        <v>35</v>
      </c>
      <c r="I162">
        <v>46</v>
      </c>
      <c r="J162">
        <v>34</v>
      </c>
      <c r="K162">
        <v>35</v>
      </c>
      <c r="L162">
        <v>45</v>
      </c>
      <c r="M162">
        <v>20</v>
      </c>
    </row>
    <row r="163" spans="1:13" x14ac:dyDescent="0.25">
      <c r="A163">
        <v>162</v>
      </c>
      <c r="B163" t="s">
        <v>192</v>
      </c>
      <c r="C163">
        <v>18</v>
      </c>
      <c r="D163">
        <v>325</v>
      </c>
      <c r="E163">
        <v>145</v>
      </c>
      <c r="F163" t="s">
        <v>36</v>
      </c>
      <c r="G163" t="s">
        <v>20</v>
      </c>
      <c r="H163">
        <v>85</v>
      </c>
      <c r="I163">
        <v>76</v>
      </c>
      <c r="J163">
        <v>64</v>
      </c>
      <c r="K163">
        <v>45</v>
      </c>
      <c r="L163">
        <v>55</v>
      </c>
      <c r="M163">
        <v>90</v>
      </c>
    </row>
    <row r="164" spans="1:13" x14ac:dyDescent="0.25">
      <c r="A164">
        <v>163</v>
      </c>
      <c r="B164" t="s">
        <v>193</v>
      </c>
      <c r="C164">
        <v>7</v>
      </c>
      <c r="D164">
        <v>212</v>
      </c>
      <c r="E164">
        <v>52</v>
      </c>
      <c r="F164" t="s">
        <v>36</v>
      </c>
      <c r="G164" t="s">
        <v>23</v>
      </c>
      <c r="H164">
        <v>60</v>
      </c>
      <c r="I164">
        <v>30</v>
      </c>
      <c r="J164">
        <v>30</v>
      </c>
      <c r="K164">
        <v>36</v>
      </c>
      <c r="L164">
        <v>56</v>
      </c>
      <c r="M164">
        <v>50</v>
      </c>
    </row>
    <row r="165" spans="1:13" x14ac:dyDescent="0.25">
      <c r="A165">
        <v>164</v>
      </c>
      <c r="B165" t="s">
        <v>194</v>
      </c>
      <c r="C165">
        <v>16</v>
      </c>
      <c r="D165">
        <v>408</v>
      </c>
      <c r="E165">
        <v>158</v>
      </c>
      <c r="F165" t="s">
        <v>36</v>
      </c>
      <c r="G165" t="s">
        <v>23</v>
      </c>
      <c r="H165">
        <v>100</v>
      </c>
      <c r="I165">
        <v>50</v>
      </c>
      <c r="J165">
        <v>50</v>
      </c>
      <c r="K165">
        <v>86</v>
      </c>
      <c r="L165">
        <v>96</v>
      </c>
      <c r="M165">
        <v>70</v>
      </c>
    </row>
    <row r="166" spans="1:13" x14ac:dyDescent="0.25">
      <c r="A166">
        <v>165</v>
      </c>
      <c r="B166" t="s">
        <v>195</v>
      </c>
      <c r="C166">
        <v>10</v>
      </c>
      <c r="D166">
        <v>108</v>
      </c>
      <c r="E166">
        <v>53</v>
      </c>
      <c r="F166" t="s">
        <v>29</v>
      </c>
      <c r="G166" t="s">
        <v>23</v>
      </c>
      <c r="H166">
        <v>40</v>
      </c>
      <c r="I166">
        <v>20</v>
      </c>
      <c r="J166">
        <v>30</v>
      </c>
      <c r="K166">
        <v>40</v>
      </c>
      <c r="L166">
        <v>80</v>
      </c>
      <c r="M166">
        <v>55</v>
      </c>
    </row>
    <row r="167" spans="1:13" x14ac:dyDescent="0.25">
      <c r="A167">
        <v>166</v>
      </c>
      <c r="B167" t="s">
        <v>196</v>
      </c>
      <c r="C167">
        <v>14</v>
      </c>
      <c r="D167">
        <v>356</v>
      </c>
      <c r="E167">
        <v>137</v>
      </c>
      <c r="F167" t="s">
        <v>29</v>
      </c>
      <c r="G167" t="s">
        <v>23</v>
      </c>
      <c r="H167">
        <v>55</v>
      </c>
      <c r="I167">
        <v>35</v>
      </c>
      <c r="J167">
        <v>50</v>
      </c>
      <c r="K167">
        <v>55</v>
      </c>
      <c r="L167">
        <v>110</v>
      </c>
      <c r="M167">
        <v>85</v>
      </c>
    </row>
    <row r="168" spans="1:13" x14ac:dyDescent="0.25">
      <c r="A168">
        <v>167</v>
      </c>
      <c r="B168" t="s">
        <v>197</v>
      </c>
      <c r="C168">
        <v>5</v>
      </c>
      <c r="D168">
        <v>85</v>
      </c>
      <c r="E168">
        <v>50</v>
      </c>
      <c r="F168" t="s">
        <v>29</v>
      </c>
      <c r="G168" t="s">
        <v>15</v>
      </c>
      <c r="H168">
        <v>40</v>
      </c>
      <c r="I168">
        <v>60</v>
      </c>
      <c r="J168">
        <v>40</v>
      </c>
      <c r="K168">
        <v>40</v>
      </c>
      <c r="L168">
        <v>40</v>
      </c>
      <c r="M168">
        <v>30</v>
      </c>
    </row>
    <row r="169" spans="1:13" x14ac:dyDescent="0.25">
      <c r="A169">
        <v>168</v>
      </c>
      <c r="B169" t="s">
        <v>198</v>
      </c>
      <c r="C169">
        <v>11</v>
      </c>
      <c r="D169">
        <v>335</v>
      </c>
      <c r="E169">
        <v>140</v>
      </c>
      <c r="F169" t="s">
        <v>29</v>
      </c>
      <c r="G169" t="s">
        <v>15</v>
      </c>
      <c r="H169">
        <v>70</v>
      </c>
      <c r="I169">
        <v>90</v>
      </c>
      <c r="J169">
        <v>70</v>
      </c>
      <c r="K169">
        <v>60</v>
      </c>
      <c r="L169">
        <v>70</v>
      </c>
      <c r="M169">
        <v>40</v>
      </c>
    </row>
    <row r="170" spans="1:13" x14ac:dyDescent="0.25">
      <c r="A170">
        <v>169</v>
      </c>
      <c r="B170" t="s">
        <v>199</v>
      </c>
      <c r="C170">
        <v>18</v>
      </c>
      <c r="D170">
        <v>750</v>
      </c>
      <c r="E170">
        <v>241</v>
      </c>
      <c r="F170" t="s">
        <v>15</v>
      </c>
      <c r="G170" t="s">
        <v>23</v>
      </c>
      <c r="H170">
        <v>85</v>
      </c>
      <c r="I170">
        <v>90</v>
      </c>
      <c r="J170">
        <v>80</v>
      </c>
      <c r="K170">
        <v>70</v>
      </c>
      <c r="L170">
        <v>80</v>
      </c>
      <c r="M170">
        <v>130</v>
      </c>
    </row>
    <row r="171" spans="1:13" x14ac:dyDescent="0.25">
      <c r="A171">
        <v>170</v>
      </c>
      <c r="B171" t="s">
        <v>200</v>
      </c>
      <c r="C171">
        <v>5</v>
      </c>
      <c r="D171">
        <v>120</v>
      </c>
      <c r="E171">
        <v>66</v>
      </c>
      <c r="F171" t="s">
        <v>25</v>
      </c>
      <c r="G171" t="s">
        <v>46</v>
      </c>
      <c r="H171">
        <v>75</v>
      </c>
      <c r="I171">
        <v>38</v>
      </c>
      <c r="J171">
        <v>38</v>
      </c>
      <c r="K171">
        <v>56</v>
      </c>
      <c r="L171">
        <v>56</v>
      </c>
      <c r="M171">
        <v>67</v>
      </c>
    </row>
    <row r="172" spans="1:13" x14ac:dyDescent="0.25">
      <c r="A172">
        <v>171</v>
      </c>
      <c r="B172" t="s">
        <v>201</v>
      </c>
      <c r="C172">
        <v>12</v>
      </c>
      <c r="D172">
        <v>225</v>
      </c>
      <c r="E172">
        <v>161</v>
      </c>
      <c r="F172" t="s">
        <v>25</v>
      </c>
      <c r="G172" t="s">
        <v>46</v>
      </c>
      <c r="H172">
        <v>125</v>
      </c>
      <c r="I172">
        <v>58</v>
      </c>
      <c r="J172">
        <v>58</v>
      </c>
      <c r="K172">
        <v>76</v>
      </c>
      <c r="L172">
        <v>76</v>
      </c>
      <c r="M172">
        <v>67</v>
      </c>
    </row>
    <row r="173" spans="1:13" x14ac:dyDescent="0.25">
      <c r="A173">
        <v>172</v>
      </c>
      <c r="B173" t="s">
        <v>202</v>
      </c>
      <c r="C173">
        <v>3</v>
      </c>
      <c r="D173">
        <v>20</v>
      </c>
      <c r="E173">
        <v>41</v>
      </c>
      <c r="F173" t="s">
        <v>46</v>
      </c>
      <c r="G173" t="s">
        <v>20</v>
      </c>
      <c r="H173">
        <v>20</v>
      </c>
      <c r="I173">
        <v>40</v>
      </c>
      <c r="J173">
        <v>15</v>
      </c>
      <c r="K173">
        <v>35</v>
      </c>
      <c r="L173">
        <v>35</v>
      </c>
      <c r="M173">
        <v>60</v>
      </c>
    </row>
    <row r="174" spans="1:13" x14ac:dyDescent="0.25">
      <c r="A174">
        <v>173</v>
      </c>
      <c r="B174" t="s">
        <v>203</v>
      </c>
      <c r="C174">
        <v>3</v>
      </c>
      <c r="D174">
        <v>30</v>
      </c>
      <c r="E174">
        <v>44</v>
      </c>
      <c r="F174" t="s">
        <v>58</v>
      </c>
      <c r="G174" t="s">
        <v>20</v>
      </c>
      <c r="H174">
        <v>50</v>
      </c>
      <c r="I174">
        <v>25</v>
      </c>
      <c r="J174">
        <v>28</v>
      </c>
      <c r="K174">
        <v>45</v>
      </c>
      <c r="L174">
        <v>55</v>
      </c>
      <c r="M174">
        <v>15</v>
      </c>
    </row>
    <row r="175" spans="1:13" x14ac:dyDescent="0.25">
      <c r="A175">
        <v>174</v>
      </c>
      <c r="B175" t="s">
        <v>204</v>
      </c>
      <c r="C175">
        <v>3</v>
      </c>
      <c r="D175">
        <v>10</v>
      </c>
      <c r="E175">
        <v>42</v>
      </c>
      <c r="F175" t="s">
        <v>36</v>
      </c>
      <c r="G175" t="s">
        <v>58</v>
      </c>
      <c r="H175">
        <v>90</v>
      </c>
      <c r="I175">
        <v>30</v>
      </c>
      <c r="J175">
        <v>15</v>
      </c>
      <c r="K175">
        <v>40</v>
      </c>
      <c r="L175">
        <v>20</v>
      </c>
      <c r="M175">
        <v>15</v>
      </c>
    </row>
    <row r="176" spans="1:13" x14ac:dyDescent="0.25">
      <c r="A176">
        <v>175</v>
      </c>
      <c r="B176" t="s">
        <v>205</v>
      </c>
      <c r="C176">
        <v>3</v>
      </c>
      <c r="D176">
        <v>15</v>
      </c>
      <c r="E176">
        <v>49</v>
      </c>
      <c r="F176" t="s">
        <v>58</v>
      </c>
      <c r="G176" t="s">
        <v>20</v>
      </c>
      <c r="H176">
        <v>35</v>
      </c>
      <c r="I176">
        <v>20</v>
      </c>
      <c r="J176">
        <v>65</v>
      </c>
      <c r="K176">
        <v>40</v>
      </c>
      <c r="L176">
        <v>65</v>
      </c>
      <c r="M176">
        <v>20</v>
      </c>
    </row>
    <row r="177" spans="1:13" x14ac:dyDescent="0.25">
      <c r="A177">
        <v>176</v>
      </c>
      <c r="B177" t="s">
        <v>206</v>
      </c>
      <c r="C177">
        <v>6</v>
      </c>
      <c r="D177">
        <v>32</v>
      </c>
      <c r="E177">
        <v>142</v>
      </c>
      <c r="F177" t="s">
        <v>58</v>
      </c>
      <c r="G177" t="s">
        <v>23</v>
      </c>
      <c r="H177">
        <v>55</v>
      </c>
      <c r="I177">
        <v>40</v>
      </c>
      <c r="J177">
        <v>85</v>
      </c>
      <c r="K177">
        <v>80</v>
      </c>
      <c r="L177">
        <v>105</v>
      </c>
      <c r="M177">
        <v>40</v>
      </c>
    </row>
    <row r="178" spans="1:13" x14ac:dyDescent="0.25">
      <c r="A178">
        <v>177</v>
      </c>
      <c r="B178" t="s">
        <v>207</v>
      </c>
      <c r="C178">
        <v>2</v>
      </c>
      <c r="D178">
        <v>20</v>
      </c>
      <c r="E178">
        <v>64</v>
      </c>
      <c r="F178" t="s">
        <v>88</v>
      </c>
      <c r="G178" t="s">
        <v>23</v>
      </c>
      <c r="H178">
        <v>40</v>
      </c>
      <c r="I178">
        <v>50</v>
      </c>
      <c r="J178">
        <v>45</v>
      </c>
      <c r="K178">
        <v>70</v>
      </c>
      <c r="L178">
        <v>45</v>
      </c>
      <c r="M178">
        <v>70</v>
      </c>
    </row>
    <row r="179" spans="1:13" x14ac:dyDescent="0.25">
      <c r="A179">
        <v>178</v>
      </c>
      <c r="B179" t="s">
        <v>208</v>
      </c>
      <c r="C179">
        <v>15</v>
      </c>
      <c r="D179">
        <v>150</v>
      </c>
      <c r="E179">
        <v>165</v>
      </c>
      <c r="F179" t="s">
        <v>88</v>
      </c>
      <c r="G179" t="s">
        <v>23</v>
      </c>
      <c r="H179">
        <v>65</v>
      </c>
      <c r="I179">
        <v>75</v>
      </c>
      <c r="J179">
        <v>70</v>
      </c>
      <c r="K179">
        <v>95</v>
      </c>
      <c r="L179">
        <v>70</v>
      </c>
      <c r="M179">
        <v>95</v>
      </c>
    </row>
    <row r="180" spans="1:13" x14ac:dyDescent="0.25">
      <c r="A180">
        <v>179</v>
      </c>
      <c r="B180" t="s">
        <v>209</v>
      </c>
      <c r="C180">
        <v>6</v>
      </c>
      <c r="D180">
        <v>78</v>
      </c>
      <c r="E180">
        <v>56</v>
      </c>
      <c r="F180" t="s">
        <v>46</v>
      </c>
      <c r="G180" t="s">
        <v>20</v>
      </c>
      <c r="H180">
        <v>55</v>
      </c>
      <c r="I180">
        <v>40</v>
      </c>
      <c r="J180">
        <v>40</v>
      </c>
      <c r="K180">
        <v>65</v>
      </c>
      <c r="L180">
        <v>45</v>
      </c>
      <c r="M180">
        <v>35</v>
      </c>
    </row>
    <row r="181" spans="1:13" x14ac:dyDescent="0.25">
      <c r="A181">
        <v>180</v>
      </c>
      <c r="B181" t="s">
        <v>210</v>
      </c>
      <c r="C181">
        <v>8</v>
      </c>
      <c r="D181">
        <v>133</v>
      </c>
      <c r="E181">
        <v>128</v>
      </c>
      <c r="F181" t="s">
        <v>46</v>
      </c>
      <c r="G181" t="s">
        <v>20</v>
      </c>
      <c r="H181">
        <v>70</v>
      </c>
      <c r="I181">
        <v>55</v>
      </c>
      <c r="J181">
        <v>55</v>
      </c>
      <c r="K181">
        <v>80</v>
      </c>
      <c r="L181">
        <v>60</v>
      </c>
      <c r="M181">
        <v>45</v>
      </c>
    </row>
    <row r="182" spans="1:13" x14ac:dyDescent="0.25">
      <c r="A182">
        <v>181</v>
      </c>
      <c r="B182" t="s">
        <v>211</v>
      </c>
      <c r="C182">
        <v>14</v>
      </c>
      <c r="D182">
        <v>615</v>
      </c>
      <c r="E182">
        <v>230</v>
      </c>
      <c r="F182" t="s">
        <v>46</v>
      </c>
      <c r="G182" t="s">
        <v>20</v>
      </c>
      <c r="H182">
        <v>90</v>
      </c>
      <c r="I182">
        <v>75</v>
      </c>
      <c r="J182">
        <v>85</v>
      </c>
      <c r="K182">
        <v>115</v>
      </c>
      <c r="L182">
        <v>90</v>
      </c>
      <c r="M182">
        <v>55</v>
      </c>
    </row>
    <row r="183" spans="1:13" x14ac:dyDescent="0.25">
      <c r="A183">
        <v>182</v>
      </c>
      <c r="B183" t="s">
        <v>212</v>
      </c>
      <c r="C183">
        <v>4</v>
      </c>
      <c r="D183">
        <v>58</v>
      </c>
      <c r="E183">
        <v>221</v>
      </c>
      <c r="F183" t="s">
        <v>14</v>
      </c>
      <c r="G183" t="s">
        <v>20</v>
      </c>
      <c r="H183">
        <v>75</v>
      </c>
      <c r="I183">
        <v>80</v>
      </c>
      <c r="J183">
        <v>95</v>
      </c>
      <c r="K183">
        <v>90</v>
      </c>
      <c r="L183">
        <v>100</v>
      </c>
      <c r="M183">
        <v>50</v>
      </c>
    </row>
    <row r="184" spans="1:13" x14ac:dyDescent="0.25">
      <c r="A184">
        <v>183</v>
      </c>
      <c r="B184" t="s">
        <v>213</v>
      </c>
      <c r="C184">
        <v>4</v>
      </c>
      <c r="D184">
        <v>85</v>
      </c>
      <c r="E184">
        <v>88</v>
      </c>
      <c r="F184" t="s">
        <v>25</v>
      </c>
      <c r="G184" t="s">
        <v>58</v>
      </c>
      <c r="H184">
        <v>70</v>
      </c>
      <c r="I184">
        <v>20</v>
      </c>
      <c r="J184">
        <v>50</v>
      </c>
      <c r="K184">
        <v>20</v>
      </c>
      <c r="L184">
        <v>50</v>
      </c>
      <c r="M184">
        <v>40</v>
      </c>
    </row>
    <row r="185" spans="1:13" x14ac:dyDescent="0.25">
      <c r="A185">
        <v>184</v>
      </c>
      <c r="B185" t="s">
        <v>214</v>
      </c>
      <c r="C185">
        <v>8</v>
      </c>
      <c r="D185">
        <v>285</v>
      </c>
      <c r="E185">
        <v>189</v>
      </c>
      <c r="F185" t="s">
        <v>25</v>
      </c>
      <c r="G185" t="s">
        <v>58</v>
      </c>
      <c r="H185">
        <v>100</v>
      </c>
      <c r="I185">
        <v>50</v>
      </c>
      <c r="J185">
        <v>80</v>
      </c>
      <c r="K185">
        <v>60</v>
      </c>
      <c r="L185">
        <v>80</v>
      </c>
      <c r="M185">
        <v>50</v>
      </c>
    </row>
    <row r="186" spans="1:13" x14ac:dyDescent="0.25">
      <c r="A186">
        <v>185</v>
      </c>
      <c r="B186" t="s">
        <v>215</v>
      </c>
      <c r="C186">
        <v>12</v>
      </c>
      <c r="D186">
        <v>380</v>
      </c>
      <c r="E186">
        <v>144</v>
      </c>
      <c r="F186" t="s">
        <v>100</v>
      </c>
      <c r="G186" t="s">
        <v>20</v>
      </c>
      <c r="H186">
        <v>70</v>
      </c>
      <c r="I186">
        <v>100</v>
      </c>
      <c r="J186">
        <v>115</v>
      </c>
      <c r="K186">
        <v>30</v>
      </c>
      <c r="L186">
        <v>65</v>
      </c>
      <c r="M186">
        <v>30</v>
      </c>
    </row>
    <row r="187" spans="1:13" x14ac:dyDescent="0.25">
      <c r="A187">
        <v>186</v>
      </c>
      <c r="B187" t="s">
        <v>216</v>
      </c>
      <c r="C187">
        <v>11</v>
      </c>
      <c r="D187">
        <v>339</v>
      </c>
      <c r="E187">
        <v>225</v>
      </c>
      <c r="F187" t="s">
        <v>25</v>
      </c>
      <c r="G187" t="s">
        <v>20</v>
      </c>
      <c r="H187">
        <v>90</v>
      </c>
      <c r="I187">
        <v>75</v>
      </c>
      <c r="J187">
        <v>75</v>
      </c>
      <c r="K187">
        <v>90</v>
      </c>
      <c r="L187">
        <v>100</v>
      </c>
      <c r="M187">
        <v>70</v>
      </c>
    </row>
    <row r="188" spans="1:13" x14ac:dyDescent="0.25">
      <c r="A188">
        <v>187</v>
      </c>
      <c r="B188" t="s">
        <v>217</v>
      </c>
      <c r="C188">
        <v>4</v>
      </c>
      <c r="D188">
        <v>5</v>
      </c>
      <c r="E188">
        <v>50</v>
      </c>
      <c r="F188" t="s">
        <v>14</v>
      </c>
      <c r="G188" t="s">
        <v>23</v>
      </c>
      <c r="H188">
        <v>35</v>
      </c>
      <c r="I188">
        <v>35</v>
      </c>
      <c r="J188">
        <v>40</v>
      </c>
      <c r="K188">
        <v>35</v>
      </c>
      <c r="L188">
        <v>55</v>
      </c>
      <c r="M188">
        <v>50</v>
      </c>
    </row>
    <row r="189" spans="1:13" x14ac:dyDescent="0.25">
      <c r="A189">
        <v>188</v>
      </c>
      <c r="B189" t="s">
        <v>218</v>
      </c>
      <c r="C189">
        <v>6</v>
      </c>
      <c r="D189">
        <v>10</v>
      </c>
      <c r="E189">
        <v>119</v>
      </c>
      <c r="F189" t="s">
        <v>14</v>
      </c>
      <c r="G189" t="s">
        <v>23</v>
      </c>
      <c r="H189">
        <v>55</v>
      </c>
      <c r="I189">
        <v>45</v>
      </c>
      <c r="J189">
        <v>50</v>
      </c>
      <c r="K189">
        <v>45</v>
      </c>
      <c r="L189">
        <v>65</v>
      </c>
      <c r="M189">
        <v>80</v>
      </c>
    </row>
    <row r="190" spans="1:13" x14ac:dyDescent="0.25">
      <c r="A190">
        <v>189</v>
      </c>
      <c r="B190" t="s">
        <v>219</v>
      </c>
      <c r="C190">
        <v>8</v>
      </c>
      <c r="D190">
        <v>30</v>
      </c>
      <c r="E190">
        <v>207</v>
      </c>
      <c r="F190" t="s">
        <v>14</v>
      </c>
      <c r="G190" t="s">
        <v>23</v>
      </c>
      <c r="H190">
        <v>75</v>
      </c>
      <c r="I190">
        <v>55</v>
      </c>
      <c r="J190">
        <v>70</v>
      </c>
      <c r="K190">
        <v>55</v>
      </c>
      <c r="L190">
        <v>95</v>
      </c>
      <c r="M190">
        <v>110</v>
      </c>
    </row>
    <row r="191" spans="1:13" x14ac:dyDescent="0.25">
      <c r="A191">
        <v>190</v>
      </c>
      <c r="B191" t="s">
        <v>220</v>
      </c>
      <c r="C191">
        <v>8</v>
      </c>
      <c r="D191">
        <v>115</v>
      </c>
      <c r="E191">
        <v>72</v>
      </c>
      <c r="F191" t="s">
        <v>36</v>
      </c>
      <c r="G191" t="s">
        <v>20</v>
      </c>
      <c r="H191">
        <v>55</v>
      </c>
      <c r="I191">
        <v>70</v>
      </c>
      <c r="J191">
        <v>55</v>
      </c>
      <c r="K191">
        <v>40</v>
      </c>
      <c r="L191">
        <v>55</v>
      </c>
      <c r="M191">
        <v>85</v>
      </c>
    </row>
    <row r="192" spans="1:13" x14ac:dyDescent="0.25">
      <c r="A192">
        <v>191</v>
      </c>
      <c r="B192" t="s">
        <v>221</v>
      </c>
      <c r="C192">
        <v>3</v>
      </c>
      <c r="D192">
        <v>18</v>
      </c>
      <c r="E192">
        <v>36</v>
      </c>
      <c r="F192" t="s">
        <v>14</v>
      </c>
      <c r="G192" t="s">
        <v>20</v>
      </c>
      <c r="H192">
        <v>30</v>
      </c>
      <c r="I192">
        <v>30</v>
      </c>
      <c r="J192">
        <v>30</v>
      </c>
      <c r="K192">
        <v>30</v>
      </c>
      <c r="L192">
        <v>30</v>
      </c>
      <c r="M192">
        <v>30</v>
      </c>
    </row>
    <row r="193" spans="1:13" x14ac:dyDescent="0.25">
      <c r="A193">
        <v>192</v>
      </c>
      <c r="B193" t="s">
        <v>222</v>
      </c>
      <c r="C193">
        <v>8</v>
      </c>
      <c r="D193">
        <v>85</v>
      </c>
      <c r="E193">
        <v>149</v>
      </c>
      <c r="F193" t="s">
        <v>14</v>
      </c>
      <c r="G193" t="s">
        <v>20</v>
      </c>
      <c r="H193">
        <v>75</v>
      </c>
      <c r="I193">
        <v>75</v>
      </c>
      <c r="J193">
        <v>55</v>
      </c>
      <c r="K193">
        <v>105</v>
      </c>
      <c r="L193">
        <v>85</v>
      </c>
      <c r="M193">
        <v>30</v>
      </c>
    </row>
    <row r="194" spans="1:13" x14ac:dyDescent="0.25">
      <c r="A194">
        <v>193</v>
      </c>
      <c r="B194" t="s">
        <v>223</v>
      </c>
      <c r="C194">
        <v>12</v>
      </c>
      <c r="D194">
        <v>380</v>
      </c>
      <c r="E194">
        <v>78</v>
      </c>
      <c r="F194" t="s">
        <v>29</v>
      </c>
      <c r="G194" t="s">
        <v>23</v>
      </c>
      <c r="H194">
        <v>65</v>
      </c>
      <c r="I194">
        <v>65</v>
      </c>
      <c r="J194">
        <v>45</v>
      </c>
      <c r="K194">
        <v>75</v>
      </c>
      <c r="L194">
        <v>45</v>
      </c>
      <c r="M194">
        <v>95</v>
      </c>
    </row>
    <row r="195" spans="1:13" x14ac:dyDescent="0.25">
      <c r="A195">
        <v>194</v>
      </c>
      <c r="B195" t="s">
        <v>224</v>
      </c>
      <c r="C195">
        <v>4</v>
      </c>
      <c r="D195">
        <v>85</v>
      </c>
      <c r="E195">
        <v>42</v>
      </c>
      <c r="F195" t="s">
        <v>25</v>
      </c>
      <c r="G195" t="s">
        <v>49</v>
      </c>
      <c r="H195">
        <v>55</v>
      </c>
      <c r="I195">
        <v>45</v>
      </c>
      <c r="J195">
        <v>45</v>
      </c>
      <c r="K195">
        <v>25</v>
      </c>
      <c r="L195">
        <v>25</v>
      </c>
      <c r="M195">
        <v>15</v>
      </c>
    </row>
    <row r="196" spans="1:13" x14ac:dyDescent="0.25">
      <c r="A196">
        <v>195</v>
      </c>
      <c r="B196" t="s">
        <v>225</v>
      </c>
      <c r="C196">
        <v>14</v>
      </c>
      <c r="D196">
        <v>750</v>
      </c>
      <c r="E196">
        <v>151</v>
      </c>
      <c r="F196" t="s">
        <v>25</v>
      </c>
      <c r="G196" t="s">
        <v>49</v>
      </c>
      <c r="H196">
        <v>95</v>
      </c>
      <c r="I196">
        <v>85</v>
      </c>
      <c r="J196">
        <v>85</v>
      </c>
      <c r="K196">
        <v>65</v>
      </c>
      <c r="L196">
        <v>65</v>
      </c>
      <c r="M196">
        <v>35</v>
      </c>
    </row>
    <row r="197" spans="1:13" x14ac:dyDescent="0.25">
      <c r="A197">
        <v>196</v>
      </c>
      <c r="B197" t="s">
        <v>226</v>
      </c>
      <c r="C197">
        <v>9</v>
      </c>
      <c r="D197">
        <v>265</v>
      </c>
      <c r="E197">
        <v>184</v>
      </c>
      <c r="F197" t="s">
        <v>88</v>
      </c>
      <c r="G197" t="s">
        <v>20</v>
      </c>
      <c r="H197">
        <v>65</v>
      </c>
      <c r="I197">
        <v>65</v>
      </c>
      <c r="J197">
        <v>60</v>
      </c>
      <c r="K197">
        <v>130</v>
      </c>
      <c r="L197">
        <v>95</v>
      </c>
      <c r="M197">
        <v>110</v>
      </c>
    </row>
    <row r="198" spans="1:13" x14ac:dyDescent="0.25">
      <c r="A198">
        <v>197</v>
      </c>
      <c r="B198" t="s">
        <v>227</v>
      </c>
      <c r="C198">
        <v>10</v>
      </c>
      <c r="D198">
        <v>270</v>
      </c>
      <c r="E198">
        <v>184</v>
      </c>
      <c r="F198" t="s">
        <v>228</v>
      </c>
      <c r="G198" t="s">
        <v>20</v>
      </c>
      <c r="H198">
        <v>95</v>
      </c>
      <c r="I198">
        <v>65</v>
      </c>
      <c r="J198">
        <v>110</v>
      </c>
      <c r="K198">
        <v>60</v>
      </c>
      <c r="L198">
        <v>130</v>
      </c>
      <c r="M198">
        <v>65</v>
      </c>
    </row>
    <row r="199" spans="1:13" x14ac:dyDescent="0.25">
      <c r="A199">
        <v>198</v>
      </c>
      <c r="B199" t="s">
        <v>229</v>
      </c>
      <c r="C199">
        <v>5</v>
      </c>
      <c r="D199">
        <v>21</v>
      </c>
      <c r="E199">
        <v>81</v>
      </c>
      <c r="F199" t="s">
        <v>228</v>
      </c>
      <c r="G199" t="s">
        <v>23</v>
      </c>
      <c r="H199">
        <v>60</v>
      </c>
      <c r="I199">
        <v>85</v>
      </c>
      <c r="J199">
        <v>42</v>
      </c>
      <c r="K199">
        <v>85</v>
      </c>
      <c r="L199">
        <v>42</v>
      </c>
      <c r="M199">
        <v>91</v>
      </c>
    </row>
    <row r="200" spans="1:13" x14ac:dyDescent="0.25">
      <c r="A200">
        <v>199</v>
      </c>
      <c r="B200" t="s">
        <v>230</v>
      </c>
      <c r="C200">
        <v>20</v>
      </c>
      <c r="D200">
        <v>795</v>
      </c>
      <c r="E200">
        <v>172</v>
      </c>
      <c r="F200" t="s">
        <v>25</v>
      </c>
      <c r="G200" t="s">
        <v>88</v>
      </c>
      <c r="H200">
        <v>95</v>
      </c>
      <c r="I200">
        <v>75</v>
      </c>
      <c r="J200">
        <v>80</v>
      </c>
      <c r="K200">
        <v>100</v>
      </c>
      <c r="L200">
        <v>110</v>
      </c>
      <c r="M200">
        <v>30</v>
      </c>
    </row>
    <row r="201" spans="1:13" x14ac:dyDescent="0.25">
      <c r="A201">
        <v>200</v>
      </c>
      <c r="B201" t="s">
        <v>231</v>
      </c>
      <c r="C201">
        <v>7</v>
      </c>
      <c r="D201">
        <v>10</v>
      </c>
      <c r="E201">
        <v>87</v>
      </c>
      <c r="F201" t="s">
        <v>121</v>
      </c>
      <c r="G201" t="s">
        <v>20</v>
      </c>
      <c r="H201">
        <v>60</v>
      </c>
      <c r="I201">
        <v>60</v>
      </c>
      <c r="J201">
        <v>60</v>
      </c>
      <c r="K201">
        <v>85</v>
      </c>
      <c r="L201">
        <v>85</v>
      </c>
      <c r="M201">
        <v>85</v>
      </c>
    </row>
    <row r="202" spans="1:13" x14ac:dyDescent="0.25">
      <c r="A202">
        <v>201</v>
      </c>
      <c r="B202" t="s">
        <v>232</v>
      </c>
      <c r="C202">
        <v>5</v>
      </c>
      <c r="D202">
        <v>50</v>
      </c>
      <c r="E202">
        <v>118</v>
      </c>
      <c r="F202" t="s">
        <v>88</v>
      </c>
      <c r="G202" t="s">
        <v>20</v>
      </c>
      <c r="H202">
        <v>48</v>
      </c>
      <c r="I202">
        <v>72</v>
      </c>
      <c r="J202">
        <v>48</v>
      </c>
      <c r="K202">
        <v>72</v>
      </c>
      <c r="L202">
        <v>48</v>
      </c>
      <c r="M202">
        <v>48</v>
      </c>
    </row>
    <row r="203" spans="1:13" x14ac:dyDescent="0.25">
      <c r="A203">
        <v>202</v>
      </c>
      <c r="B203" t="s">
        <v>233</v>
      </c>
      <c r="C203">
        <v>13</v>
      </c>
      <c r="D203">
        <v>285</v>
      </c>
      <c r="E203">
        <v>142</v>
      </c>
      <c r="F203" t="s">
        <v>88</v>
      </c>
      <c r="G203" t="s">
        <v>20</v>
      </c>
      <c r="H203">
        <v>190</v>
      </c>
      <c r="I203">
        <v>33</v>
      </c>
      <c r="J203">
        <v>58</v>
      </c>
      <c r="K203">
        <v>33</v>
      </c>
      <c r="L203">
        <v>58</v>
      </c>
      <c r="M203">
        <v>33</v>
      </c>
    </row>
    <row r="204" spans="1:13" x14ac:dyDescent="0.25">
      <c r="A204">
        <v>203</v>
      </c>
      <c r="B204" t="s">
        <v>234</v>
      </c>
      <c r="C204">
        <v>15</v>
      </c>
      <c r="D204">
        <v>415</v>
      </c>
      <c r="E204">
        <v>159</v>
      </c>
      <c r="F204" t="s">
        <v>36</v>
      </c>
      <c r="G204" t="s">
        <v>88</v>
      </c>
      <c r="H204">
        <v>70</v>
      </c>
      <c r="I204">
        <v>80</v>
      </c>
      <c r="J204">
        <v>65</v>
      </c>
      <c r="K204">
        <v>90</v>
      </c>
      <c r="L204">
        <v>65</v>
      </c>
      <c r="M204">
        <v>85</v>
      </c>
    </row>
    <row r="205" spans="1:13" x14ac:dyDescent="0.25">
      <c r="A205">
        <v>204</v>
      </c>
      <c r="B205" t="s">
        <v>235</v>
      </c>
      <c r="C205">
        <v>6</v>
      </c>
      <c r="D205">
        <v>72</v>
      </c>
      <c r="E205">
        <v>58</v>
      </c>
      <c r="F205" t="s">
        <v>29</v>
      </c>
      <c r="G205" t="s">
        <v>20</v>
      </c>
      <c r="H205">
        <v>50</v>
      </c>
      <c r="I205">
        <v>65</v>
      </c>
      <c r="J205">
        <v>90</v>
      </c>
      <c r="K205">
        <v>35</v>
      </c>
      <c r="L205">
        <v>35</v>
      </c>
      <c r="M205">
        <v>15</v>
      </c>
    </row>
    <row r="206" spans="1:13" x14ac:dyDescent="0.25">
      <c r="A206">
        <v>205</v>
      </c>
      <c r="B206" t="s">
        <v>236</v>
      </c>
      <c r="C206">
        <v>12</v>
      </c>
      <c r="D206">
        <v>1258</v>
      </c>
      <c r="E206">
        <v>163</v>
      </c>
      <c r="F206" t="s">
        <v>29</v>
      </c>
      <c r="G206" t="s">
        <v>108</v>
      </c>
      <c r="H206">
        <v>75</v>
      </c>
      <c r="I206">
        <v>90</v>
      </c>
      <c r="J206">
        <v>140</v>
      </c>
      <c r="K206">
        <v>60</v>
      </c>
      <c r="L206">
        <v>60</v>
      </c>
      <c r="M206">
        <v>40</v>
      </c>
    </row>
    <row r="207" spans="1:13" x14ac:dyDescent="0.25">
      <c r="A207">
        <v>206</v>
      </c>
      <c r="B207" t="s">
        <v>237</v>
      </c>
      <c r="C207">
        <v>15</v>
      </c>
      <c r="D207">
        <v>140</v>
      </c>
      <c r="E207">
        <v>145</v>
      </c>
      <c r="F207" t="s">
        <v>36</v>
      </c>
      <c r="G207" t="s">
        <v>20</v>
      </c>
      <c r="H207">
        <v>100</v>
      </c>
      <c r="I207">
        <v>70</v>
      </c>
      <c r="J207">
        <v>70</v>
      </c>
      <c r="K207">
        <v>65</v>
      </c>
      <c r="L207">
        <v>65</v>
      </c>
      <c r="M207">
        <v>45</v>
      </c>
    </row>
    <row r="208" spans="1:13" x14ac:dyDescent="0.25">
      <c r="A208">
        <v>207</v>
      </c>
      <c r="B208" t="s">
        <v>238</v>
      </c>
      <c r="C208">
        <v>11</v>
      </c>
      <c r="D208">
        <v>648</v>
      </c>
      <c r="E208">
        <v>86</v>
      </c>
      <c r="F208" t="s">
        <v>49</v>
      </c>
      <c r="G208" t="s">
        <v>23</v>
      </c>
      <c r="H208">
        <v>65</v>
      </c>
      <c r="I208">
        <v>75</v>
      </c>
      <c r="J208">
        <v>105</v>
      </c>
      <c r="K208">
        <v>35</v>
      </c>
      <c r="L208">
        <v>65</v>
      </c>
      <c r="M208">
        <v>85</v>
      </c>
    </row>
    <row r="209" spans="1:13" x14ac:dyDescent="0.25">
      <c r="A209">
        <v>208</v>
      </c>
      <c r="B209" t="s">
        <v>239</v>
      </c>
      <c r="C209">
        <v>92</v>
      </c>
      <c r="D209">
        <v>4000</v>
      </c>
      <c r="E209">
        <v>179</v>
      </c>
      <c r="F209" t="s">
        <v>108</v>
      </c>
      <c r="G209" t="s">
        <v>49</v>
      </c>
      <c r="H209">
        <v>75</v>
      </c>
      <c r="I209">
        <v>85</v>
      </c>
      <c r="J209">
        <v>200</v>
      </c>
      <c r="K209">
        <v>55</v>
      </c>
      <c r="L209">
        <v>65</v>
      </c>
      <c r="M209">
        <v>30</v>
      </c>
    </row>
    <row r="210" spans="1:13" x14ac:dyDescent="0.25">
      <c r="A210">
        <v>209</v>
      </c>
      <c r="B210" t="s">
        <v>240</v>
      </c>
      <c r="C210">
        <v>6</v>
      </c>
      <c r="D210">
        <v>78</v>
      </c>
      <c r="E210">
        <v>60</v>
      </c>
      <c r="F210" t="s">
        <v>58</v>
      </c>
      <c r="G210" t="s">
        <v>20</v>
      </c>
      <c r="H210">
        <v>60</v>
      </c>
      <c r="I210">
        <v>80</v>
      </c>
      <c r="J210">
        <v>50</v>
      </c>
      <c r="K210">
        <v>40</v>
      </c>
      <c r="L210">
        <v>40</v>
      </c>
      <c r="M210">
        <v>30</v>
      </c>
    </row>
    <row r="211" spans="1:13" x14ac:dyDescent="0.25">
      <c r="A211">
        <v>210</v>
      </c>
      <c r="B211" t="s">
        <v>241</v>
      </c>
      <c r="C211">
        <v>14</v>
      </c>
      <c r="D211">
        <v>487</v>
      </c>
      <c r="E211">
        <v>158</v>
      </c>
      <c r="F211" t="s">
        <v>58</v>
      </c>
      <c r="G211" t="s">
        <v>20</v>
      </c>
      <c r="H211">
        <v>90</v>
      </c>
      <c r="I211">
        <v>120</v>
      </c>
      <c r="J211">
        <v>75</v>
      </c>
      <c r="K211">
        <v>60</v>
      </c>
      <c r="L211">
        <v>60</v>
      </c>
      <c r="M211">
        <v>45</v>
      </c>
    </row>
    <row r="212" spans="1:13" x14ac:dyDescent="0.25">
      <c r="A212">
        <v>211</v>
      </c>
      <c r="B212" t="s">
        <v>242</v>
      </c>
      <c r="C212">
        <v>5</v>
      </c>
      <c r="D212">
        <v>39</v>
      </c>
      <c r="E212">
        <v>88</v>
      </c>
      <c r="F212" t="s">
        <v>25</v>
      </c>
      <c r="G212" t="s">
        <v>15</v>
      </c>
      <c r="H212">
        <v>65</v>
      </c>
      <c r="I212">
        <v>95</v>
      </c>
      <c r="J212">
        <v>85</v>
      </c>
      <c r="K212">
        <v>55</v>
      </c>
      <c r="L212">
        <v>55</v>
      </c>
      <c r="M212">
        <v>85</v>
      </c>
    </row>
    <row r="213" spans="1:13" x14ac:dyDescent="0.25">
      <c r="A213">
        <v>212</v>
      </c>
      <c r="B213" t="s">
        <v>243</v>
      </c>
      <c r="C213">
        <v>18</v>
      </c>
      <c r="D213">
        <v>1180</v>
      </c>
      <c r="E213">
        <v>175</v>
      </c>
      <c r="F213" t="s">
        <v>29</v>
      </c>
      <c r="G213" t="s">
        <v>108</v>
      </c>
      <c r="H213">
        <v>70</v>
      </c>
      <c r="I213">
        <v>130</v>
      </c>
      <c r="J213">
        <v>100</v>
      </c>
      <c r="K213">
        <v>55</v>
      </c>
      <c r="L213">
        <v>80</v>
      </c>
      <c r="M213">
        <v>65</v>
      </c>
    </row>
    <row r="214" spans="1:13" x14ac:dyDescent="0.25">
      <c r="A214">
        <v>213</v>
      </c>
      <c r="B214" t="s">
        <v>244</v>
      </c>
      <c r="C214">
        <v>6</v>
      </c>
      <c r="D214">
        <v>205</v>
      </c>
      <c r="E214">
        <v>177</v>
      </c>
      <c r="F214" t="s">
        <v>29</v>
      </c>
      <c r="G214" t="s">
        <v>100</v>
      </c>
      <c r="H214">
        <v>20</v>
      </c>
      <c r="I214">
        <v>10</v>
      </c>
      <c r="J214">
        <v>230</v>
      </c>
      <c r="K214">
        <v>10</v>
      </c>
      <c r="L214">
        <v>230</v>
      </c>
      <c r="M214">
        <v>5</v>
      </c>
    </row>
    <row r="215" spans="1:13" x14ac:dyDescent="0.25">
      <c r="A215">
        <v>214</v>
      </c>
      <c r="B215" t="s">
        <v>245</v>
      </c>
      <c r="C215">
        <v>15</v>
      </c>
      <c r="D215">
        <v>540</v>
      </c>
      <c r="E215">
        <v>175</v>
      </c>
      <c r="F215" t="s">
        <v>29</v>
      </c>
      <c r="G215" t="s">
        <v>80</v>
      </c>
      <c r="H215">
        <v>80</v>
      </c>
      <c r="I215">
        <v>125</v>
      </c>
      <c r="J215">
        <v>75</v>
      </c>
      <c r="K215">
        <v>40</v>
      </c>
      <c r="L215">
        <v>95</v>
      </c>
      <c r="M215">
        <v>85</v>
      </c>
    </row>
    <row r="216" spans="1:13" x14ac:dyDescent="0.25">
      <c r="A216">
        <v>215</v>
      </c>
      <c r="B216" t="s">
        <v>246</v>
      </c>
      <c r="C216">
        <v>9</v>
      </c>
      <c r="D216">
        <v>280</v>
      </c>
      <c r="E216">
        <v>86</v>
      </c>
      <c r="F216" t="s">
        <v>228</v>
      </c>
      <c r="G216" t="s">
        <v>115</v>
      </c>
      <c r="H216">
        <v>55</v>
      </c>
      <c r="I216">
        <v>95</v>
      </c>
      <c r="J216">
        <v>55</v>
      </c>
      <c r="K216">
        <v>35</v>
      </c>
      <c r="L216">
        <v>75</v>
      </c>
      <c r="M216">
        <v>115</v>
      </c>
    </row>
    <row r="217" spans="1:13" x14ac:dyDescent="0.25">
      <c r="A217">
        <v>216</v>
      </c>
      <c r="B217" t="s">
        <v>247</v>
      </c>
      <c r="C217">
        <v>6</v>
      </c>
      <c r="D217">
        <v>88</v>
      </c>
      <c r="E217">
        <v>66</v>
      </c>
      <c r="F217" t="s">
        <v>36</v>
      </c>
      <c r="G217" t="s">
        <v>20</v>
      </c>
      <c r="H217">
        <v>60</v>
      </c>
      <c r="I217">
        <v>80</v>
      </c>
      <c r="J217">
        <v>50</v>
      </c>
      <c r="K217">
        <v>50</v>
      </c>
      <c r="L217">
        <v>50</v>
      </c>
      <c r="M217">
        <v>40</v>
      </c>
    </row>
    <row r="218" spans="1:13" x14ac:dyDescent="0.25">
      <c r="A218">
        <v>217</v>
      </c>
      <c r="B218" t="s">
        <v>248</v>
      </c>
      <c r="C218">
        <v>18</v>
      </c>
      <c r="D218">
        <v>1258</v>
      </c>
      <c r="E218">
        <v>175</v>
      </c>
      <c r="F218" t="s">
        <v>36</v>
      </c>
      <c r="G218" t="s">
        <v>20</v>
      </c>
      <c r="H218">
        <v>90</v>
      </c>
      <c r="I218">
        <v>130</v>
      </c>
      <c r="J218">
        <v>75</v>
      </c>
      <c r="K218">
        <v>75</v>
      </c>
      <c r="L218">
        <v>75</v>
      </c>
      <c r="M218">
        <v>55</v>
      </c>
    </row>
    <row r="219" spans="1:13" x14ac:dyDescent="0.25">
      <c r="A219">
        <v>218</v>
      </c>
      <c r="B219" t="s">
        <v>249</v>
      </c>
      <c r="C219">
        <v>7</v>
      </c>
      <c r="D219">
        <v>350</v>
      </c>
      <c r="E219">
        <v>50</v>
      </c>
      <c r="F219" t="s">
        <v>19</v>
      </c>
      <c r="G219" t="s">
        <v>20</v>
      </c>
      <c r="H219">
        <v>40</v>
      </c>
      <c r="I219">
        <v>40</v>
      </c>
      <c r="J219">
        <v>40</v>
      </c>
      <c r="K219">
        <v>70</v>
      </c>
      <c r="L219">
        <v>40</v>
      </c>
      <c r="M219">
        <v>20</v>
      </c>
    </row>
    <row r="220" spans="1:13" x14ac:dyDescent="0.25">
      <c r="A220">
        <v>219</v>
      </c>
      <c r="B220" t="s">
        <v>250</v>
      </c>
      <c r="C220">
        <v>8</v>
      </c>
      <c r="D220">
        <v>550</v>
      </c>
      <c r="E220">
        <v>151</v>
      </c>
      <c r="F220" t="s">
        <v>19</v>
      </c>
      <c r="G220" t="s">
        <v>100</v>
      </c>
      <c r="H220">
        <v>60</v>
      </c>
      <c r="I220">
        <v>50</v>
      </c>
      <c r="J220">
        <v>120</v>
      </c>
      <c r="K220">
        <v>90</v>
      </c>
      <c r="L220">
        <v>80</v>
      </c>
      <c r="M220">
        <v>30</v>
      </c>
    </row>
    <row r="221" spans="1:13" x14ac:dyDescent="0.25">
      <c r="A221">
        <v>220</v>
      </c>
      <c r="B221" t="s">
        <v>251</v>
      </c>
      <c r="C221">
        <v>4</v>
      </c>
      <c r="D221">
        <v>65</v>
      </c>
      <c r="E221">
        <v>50</v>
      </c>
      <c r="F221" t="s">
        <v>115</v>
      </c>
      <c r="G221" t="s">
        <v>49</v>
      </c>
      <c r="H221">
        <v>50</v>
      </c>
      <c r="I221">
        <v>50</v>
      </c>
      <c r="J221">
        <v>40</v>
      </c>
      <c r="K221">
        <v>30</v>
      </c>
      <c r="L221">
        <v>30</v>
      </c>
      <c r="M221">
        <v>50</v>
      </c>
    </row>
    <row r="222" spans="1:13" x14ac:dyDescent="0.25">
      <c r="A222">
        <v>221</v>
      </c>
      <c r="B222" t="s">
        <v>252</v>
      </c>
      <c r="C222">
        <v>11</v>
      </c>
      <c r="D222">
        <v>558</v>
      </c>
      <c r="E222">
        <v>158</v>
      </c>
      <c r="F222" t="s">
        <v>115</v>
      </c>
      <c r="G222" t="s">
        <v>49</v>
      </c>
      <c r="H222">
        <v>100</v>
      </c>
      <c r="I222">
        <v>100</v>
      </c>
      <c r="J222">
        <v>80</v>
      </c>
      <c r="K222">
        <v>60</v>
      </c>
      <c r="L222">
        <v>60</v>
      </c>
      <c r="M222">
        <v>50</v>
      </c>
    </row>
    <row r="223" spans="1:13" x14ac:dyDescent="0.25">
      <c r="A223">
        <v>222</v>
      </c>
      <c r="B223" t="s">
        <v>253</v>
      </c>
      <c r="C223">
        <v>6</v>
      </c>
      <c r="D223">
        <v>50</v>
      </c>
      <c r="E223">
        <v>144</v>
      </c>
      <c r="F223" t="s">
        <v>25</v>
      </c>
      <c r="G223" t="s">
        <v>100</v>
      </c>
      <c r="H223">
        <v>65</v>
      </c>
      <c r="I223">
        <v>55</v>
      </c>
      <c r="J223">
        <v>95</v>
      </c>
      <c r="K223">
        <v>65</v>
      </c>
      <c r="L223">
        <v>95</v>
      </c>
      <c r="M223">
        <v>35</v>
      </c>
    </row>
    <row r="224" spans="1:13" x14ac:dyDescent="0.25">
      <c r="A224">
        <v>223</v>
      </c>
      <c r="B224" t="s">
        <v>254</v>
      </c>
      <c r="C224">
        <v>6</v>
      </c>
      <c r="D224">
        <v>120</v>
      </c>
      <c r="E224">
        <v>60</v>
      </c>
      <c r="F224" t="s">
        <v>25</v>
      </c>
      <c r="G224" t="s">
        <v>20</v>
      </c>
      <c r="H224">
        <v>35</v>
      </c>
      <c r="I224">
        <v>65</v>
      </c>
      <c r="J224">
        <v>35</v>
      </c>
      <c r="K224">
        <v>65</v>
      </c>
      <c r="L224">
        <v>35</v>
      </c>
      <c r="M224">
        <v>65</v>
      </c>
    </row>
    <row r="225" spans="1:13" x14ac:dyDescent="0.25">
      <c r="A225">
        <v>224</v>
      </c>
      <c r="B225" t="s">
        <v>255</v>
      </c>
      <c r="C225">
        <v>9</v>
      </c>
      <c r="D225">
        <v>285</v>
      </c>
      <c r="E225">
        <v>168</v>
      </c>
      <c r="F225" t="s">
        <v>25</v>
      </c>
      <c r="G225" t="s">
        <v>20</v>
      </c>
      <c r="H225">
        <v>75</v>
      </c>
      <c r="I225">
        <v>105</v>
      </c>
      <c r="J225">
        <v>75</v>
      </c>
      <c r="K225">
        <v>105</v>
      </c>
      <c r="L225">
        <v>75</v>
      </c>
      <c r="M225">
        <v>45</v>
      </c>
    </row>
    <row r="226" spans="1:13" x14ac:dyDescent="0.25">
      <c r="A226">
        <v>225</v>
      </c>
      <c r="B226" t="s">
        <v>256</v>
      </c>
      <c r="C226">
        <v>9</v>
      </c>
      <c r="D226">
        <v>160</v>
      </c>
      <c r="E226">
        <v>116</v>
      </c>
      <c r="F226" t="s">
        <v>115</v>
      </c>
      <c r="G226" t="s">
        <v>23</v>
      </c>
      <c r="H226">
        <v>45</v>
      </c>
      <c r="I226">
        <v>55</v>
      </c>
      <c r="J226">
        <v>45</v>
      </c>
      <c r="K226">
        <v>65</v>
      </c>
      <c r="L226">
        <v>45</v>
      </c>
      <c r="M226">
        <v>75</v>
      </c>
    </row>
    <row r="227" spans="1:13" x14ac:dyDescent="0.25">
      <c r="A227">
        <v>226</v>
      </c>
      <c r="B227" t="s">
        <v>257</v>
      </c>
      <c r="C227">
        <v>21</v>
      </c>
      <c r="D227">
        <v>2200</v>
      </c>
      <c r="E227">
        <v>170</v>
      </c>
      <c r="F227" t="s">
        <v>25</v>
      </c>
      <c r="G227" t="s">
        <v>23</v>
      </c>
      <c r="H227">
        <v>85</v>
      </c>
      <c r="I227">
        <v>40</v>
      </c>
      <c r="J227">
        <v>70</v>
      </c>
      <c r="K227">
        <v>80</v>
      </c>
      <c r="L227">
        <v>140</v>
      </c>
      <c r="M227">
        <v>70</v>
      </c>
    </row>
    <row r="228" spans="1:13" x14ac:dyDescent="0.25">
      <c r="A228">
        <v>227</v>
      </c>
      <c r="B228" t="s">
        <v>258</v>
      </c>
      <c r="C228">
        <v>17</v>
      </c>
      <c r="D228">
        <v>505</v>
      </c>
      <c r="E228">
        <v>163</v>
      </c>
      <c r="F228" t="s">
        <v>108</v>
      </c>
      <c r="G228" t="s">
        <v>23</v>
      </c>
      <c r="H228">
        <v>65</v>
      </c>
      <c r="I228">
        <v>80</v>
      </c>
      <c r="J228">
        <v>140</v>
      </c>
      <c r="K228">
        <v>40</v>
      </c>
      <c r="L228">
        <v>70</v>
      </c>
      <c r="M228">
        <v>70</v>
      </c>
    </row>
    <row r="229" spans="1:13" x14ac:dyDescent="0.25">
      <c r="A229">
        <v>228</v>
      </c>
      <c r="B229" t="s">
        <v>259</v>
      </c>
      <c r="C229">
        <v>6</v>
      </c>
      <c r="D229">
        <v>108</v>
      </c>
      <c r="E229">
        <v>66</v>
      </c>
      <c r="F229" t="s">
        <v>228</v>
      </c>
      <c r="G229" t="s">
        <v>19</v>
      </c>
      <c r="H229">
        <v>45</v>
      </c>
      <c r="I229">
        <v>60</v>
      </c>
      <c r="J229">
        <v>30</v>
      </c>
      <c r="K229">
        <v>80</v>
      </c>
      <c r="L229">
        <v>50</v>
      </c>
      <c r="M229">
        <v>65</v>
      </c>
    </row>
    <row r="230" spans="1:13" x14ac:dyDescent="0.25">
      <c r="A230">
        <v>229</v>
      </c>
      <c r="B230" t="s">
        <v>260</v>
      </c>
      <c r="C230">
        <v>14</v>
      </c>
      <c r="D230">
        <v>350</v>
      </c>
      <c r="E230">
        <v>175</v>
      </c>
      <c r="F230" t="s">
        <v>228</v>
      </c>
      <c r="G230" t="s">
        <v>19</v>
      </c>
      <c r="H230">
        <v>75</v>
      </c>
      <c r="I230">
        <v>90</v>
      </c>
      <c r="J230">
        <v>50</v>
      </c>
      <c r="K230">
        <v>110</v>
      </c>
      <c r="L230">
        <v>80</v>
      </c>
      <c r="M230">
        <v>95</v>
      </c>
    </row>
    <row r="231" spans="1:13" x14ac:dyDescent="0.25">
      <c r="A231">
        <v>230</v>
      </c>
      <c r="B231" t="s">
        <v>261</v>
      </c>
      <c r="C231">
        <v>18</v>
      </c>
      <c r="D231">
        <v>1520</v>
      </c>
      <c r="E231">
        <v>243</v>
      </c>
      <c r="F231" t="s">
        <v>25</v>
      </c>
      <c r="G231" t="s">
        <v>177</v>
      </c>
      <c r="H231">
        <v>75</v>
      </c>
      <c r="I231">
        <v>95</v>
      </c>
      <c r="J231">
        <v>95</v>
      </c>
      <c r="K231">
        <v>95</v>
      </c>
      <c r="L231">
        <v>95</v>
      </c>
      <c r="M231">
        <v>85</v>
      </c>
    </row>
    <row r="232" spans="1:13" x14ac:dyDescent="0.25">
      <c r="A232">
        <v>231</v>
      </c>
      <c r="B232" t="s">
        <v>262</v>
      </c>
      <c r="C232">
        <v>5</v>
      </c>
      <c r="D232">
        <v>335</v>
      </c>
      <c r="E232">
        <v>66</v>
      </c>
      <c r="F232" t="s">
        <v>49</v>
      </c>
      <c r="G232" t="s">
        <v>20</v>
      </c>
      <c r="H232">
        <v>90</v>
      </c>
      <c r="I232">
        <v>60</v>
      </c>
      <c r="J232">
        <v>60</v>
      </c>
      <c r="K232">
        <v>40</v>
      </c>
      <c r="L232">
        <v>40</v>
      </c>
      <c r="M232">
        <v>40</v>
      </c>
    </row>
    <row r="233" spans="1:13" x14ac:dyDescent="0.25">
      <c r="A233">
        <v>232</v>
      </c>
      <c r="B233" t="s">
        <v>263</v>
      </c>
      <c r="C233">
        <v>11</v>
      </c>
      <c r="D233">
        <v>1200</v>
      </c>
      <c r="E233">
        <v>175</v>
      </c>
      <c r="F233" t="s">
        <v>49</v>
      </c>
      <c r="G233" t="s">
        <v>20</v>
      </c>
      <c r="H233">
        <v>90</v>
      </c>
      <c r="I233">
        <v>120</v>
      </c>
      <c r="J233">
        <v>120</v>
      </c>
      <c r="K233">
        <v>60</v>
      </c>
      <c r="L233">
        <v>60</v>
      </c>
      <c r="M233">
        <v>50</v>
      </c>
    </row>
    <row r="234" spans="1:13" x14ac:dyDescent="0.25">
      <c r="A234">
        <v>233</v>
      </c>
      <c r="B234" t="s">
        <v>264</v>
      </c>
      <c r="C234">
        <v>6</v>
      </c>
      <c r="D234">
        <v>325</v>
      </c>
      <c r="E234">
        <v>180</v>
      </c>
      <c r="F234" t="s">
        <v>36</v>
      </c>
      <c r="G234" t="s">
        <v>20</v>
      </c>
      <c r="H234">
        <v>85</v>
      </c>
      <c r="I234">
        <v>80</v>
      </c>
      <c r="J234">
        <v>90</v>
      </c>
      <c r="K234">
        <v>105</v>
      </c>
      <c r="L234">
        <v>95</v>
      </c>
      <c r="M234">
        <v>60</v>
      </c>
    </row>
    <row r="235" spans="1:13" x14ac:dyDescent="0.25">
      <c r="A235">
        <v>234</v>
      </c>
      <c r="B235" t="s">
        <v>265</v>
      </c>
      <c r="C235">
        <v>14</v>
      </c>
      <c r="D235">
        <v>712</v>
      </c>
      <c r="E235">
        <v>163</v>
      </c>
      <c r="F235" t="s">
        <v>36</v>
      </c>
      <c r="G235" t="s">
        <v>20</v>
      </c>
      <c r="H235">
        <v>73</v>
      </c>
      <c r="I235">
        <v>95</v>
      </c>
      <c r="J235">
        <v>62</v>
      </c>
      <c r="K235">
        <v>85</v>
      </c>
      <c r="L235">
        <v>65</v>
      </c>
      <c r="M235">
        <v>85</v>
      </c>
    </row>
    <row r="236" spans="1:13" x14ac:dyDescent="0.25">
      <c r="A236">
        <v>235</v>
      </c>
      <c r="B236" t="s">
        <v>266</v>
      </c>
      <c r="C236">
        <v>12</v>
      </c>
      <c r="D236">
        <v>580</v>
      </c>
      <c r="E236">
        <v>88</v>
      </c>
      <c r="F236" t="s">
        <v>36</v>
      </c>
      <c r="G236" t="s">
        <v>20</v>
      </c>
      <c r="H236">
        <v>55</v>
      </c>
      <c r="I236">
        <v>20</v>
      </c>
      <c r="J236">
        <v>35</v>
      </c>
      <c r="K236">
        <v>20</v>
      </c>
      <c r="L236">
        <v>45</v>
      </c>
      <c r="M236">
        <v>75</v>
      </c>
    </row>
    <row r="237" spans="1:13" x14ac:dyDescent="0.25">
      <c r="A237">
        <v>236</v>
      </c>
      <c r="B237" t="s">
        <v>267</v>
      </c>
      <c r="C237">
        <v>7</v>
      </c>
      <c r="D237">
        <v>210</v>
      </c>
      <c r="E237">
        <v>42</v>
      </c>
      <c r="F237" t="s">
        <v>80</v>
      </c>
      <c r="G237" t="s">
        <v>20</v>
      </c>
      <c r="H237">
        <v>35</v>
      </c>
      <c r="I237">
        <v>35</v>
      </c>
      <c r="J237">
        <v>35</v>
      </c>
      <c r="K237">
        <v>35</v>
      </c>
      <c r="L237">
        <v>35</v>
      </c>
      <c r="M237">
        <v>35</v>
      </c>
    </row>
    <row r="238" spans="1:13" x14ac:dyDescent="0.25">
      <c r="A238">
        <v>237</v>
      </c>
      <c r="B238" t="s">
        <v>268</v>
      </c>
      <c r="C238">
        <v>14</v>
      </c>
      <c r="D238">
        <v>480</v>
      </c>
      <c r="E238">
        <v>159</v>
      </c>
      <c r="F238" t="s">
        <v>80</v>
      </c>
      <c r="G238" t="s">
        <v>20</v>
      </c>
      <c r="H238">
        <v>50</v>
      </c>
      <c r="I238">
        <v>95</v>
      </c>
      <c r="J238">
        <v>95</v>
      </c>
      <c r="K238">
        <v>35</v>
      </c>
      <c r="L238">
        <v>110</v>
      </c>
      <c r="M238">
        <v>70</v>
      </c>
    </row>
    <row r="239" spans="1:13" x14ac:dyDescent="0.25">
      <c r="A239">
        <v>238</v>
      </c>
      <c r="B239" t="s">
        <v>269</v>
      </c>
      <c r="C239">
        <v>4</v>
      </c>
      <c r="D239">
        <v>60</v>
      </c>
      <c r="E239">
        <v>61</v>
      </c>
      <c r="F239" t="s">
        <v>115</v>
      </c>
      <c r="G239" t="s">
        <v>88</v>
      </c>
      <c r="H239">
        <v>45</v>
      </c>
      <c r="I239">
        <v>30</v>
      </c>
      <c r="J239">
        <v>15</v>
      </c>
      <c r="K239">
        <v>85</v>
      </c>
      <c r="L239">
        <v>65</v>
      </c>
      <c r="M239">
        <v>65</v>
      </c>
    </row>
    <row r="240" spans="1:13" x14ac:dyDescent="0.25">
      <c r="A240">
        <v>239</v>
      </c>
      <c r="B240" t="s">
        <v>270</v>
      </c>
      <c r="C240">
        <v>6</v>
      </c>
      <c r="D240">
        <v>235</v>
      </c>
      <c r="E240">
        <v>72</v>
      </c>
      <c r="F240" t="s">
        <v>46</v>
      </c>
      <c r="G240" t="s">
        <v>20</v>
      </c>
      <c r="H240">
        <v>45</v>
      </c>
      <c r="I240">
        <v>63</v>
      </c>
      <c r="J240">
        <v>37</v>
      </c>
      <c r="K240">
        <v>65</v>
      </c>
      <c r="L240">
        <v>55</v>
      </c>
      <c r="M240">
        <v>95</v>
      </c>
    </row>
    <row r="241" spans="1:13" x14ac:dyDescent="0.25">
      <c r="A241">
        <v>240</v>
      </c>
      <c r="B241" t="s">
        <v>271</v>
      </c>
      <c r="C241">
        <v>7</v>
      </c>
      <c r="D241">
        <v>214</v>
      </c>
      <c r="E241">
        <v>73</v>
      </c>
      <c r="F241" t="s">
        <v>19</v>
      </c>
      <c r="G241" t="s">
        <v>20</v>
      </c>
      <c r="H241">
        <v>45</v>
      </c>
      <c r="I241">
        <v>75</v>
      </c>
      <c r="J241">
        <v>37</v>
      </c>
      <c r="K241">
        <v>70</v>
      </c>
      <c r="L241">
        <v>55</v>
      </c>
      <c r="M241">
        <v>83</v>
      </c>
    </row>
    <row r="242" spans="1:13" x14ac:dyDescent="0.25">
      <c r="A242">
        <v>241</v>
      </c>
      <c r="B242" t="s">
        <v>272</v>
      </c>
      <c r="C242">
        <v>12</v>
      </c>
      <c r="D242">
        <v>755</v>
      </c>
      <c r="E242">
        <v>172</v>
      </c>
      <c r="F242" t="s">
        <v>36</v>
      </c>
      <c r="G242" t="s">
        <v>20</v>
      </c>
      <c r="H242">
        <v>95</v>
      </c>
      <c r="I242">
        <v>80</v>
      </c>
      <c r="J242">
        <v>105</v>
      </c>
      <c r="K242">
        <v>40</v>
      </c>
      <c r="L242">
        <v>70</v>
      </c>
      <c r="M242">
        <v>100</v>
      </c>
    </row>
    <row r="243" spans="1:13" x14ac:dyDescent="0.25">
      <c r="A243">
        <v>242</v>
      </c>
      <c r="B243" t="s">
        <v>273</v>
      </c>
      <c r="C243">
        <v>15</v>
      </c>
      <c r="D243">
        <v>468</v>
      </c>
      <c r="E243">
        <v>608</v>
      </c>
      <c r="F243" t="s">
        <v>36</v>
      </c>
      <c r="G243" t="s">
        <v>20</v>
      </c>
      <c r="H243">
        <v>255</v>
      </c>
      <c r="I243">
        <v>10</v>
      </c>
      <c r="J243">
        <v>10</v>
      </c>
      <c r="K243">
        <v>75</v>
      </c>
      <c r="L243">
        <v>135</v>
      </c>
      <c r="M243">
        <v>55</v>
      </c>
    </row>
    <row r="244" spans="1:13" x14ac:dyDescent="0.25">
      <c r="A244">
        <v>243</v>
      </c>
      <c r="B244" t="s">
        <v>274</v>
      </c>
      <c r="C244">
        <v>19</v>
      </c>
      <c r="D244">
        <v>1780</v>
      </c>
      <c r="E244">
        <v>261</v>
      </c>
      <c r="F244" t="s">
        <v>46</v>
      </c>
      <c r="G244" t="s">
        <v>20</v>
      </c>
      <c r="H244">
        <v>90</v>
      </c>
      <c r="I244">
        <v>85</v>
      </c>
      <c r="J244">
        <v>75</v>
      </c>
      <c r="K244">
        <v>115</v>
      </c>
      <c r="L244">
        <v>100</v>
      </c>
      <c r="M244">
        <v>115</v>
      </c>
    </row>
    <row r="245" spans="1:13" x14ac:dyDescent="0.25">
      <c r="A245">
        <v>244</v>
      </c>
      <c r="B245" t="s">
        <v>275</v>
      </c>
      <c r="C245">
        <v>21</v>
      </c>
      <c r="D245">
        <v>1980</v>
      </c>
      <c r="E245">
        <v>261</v>
      </c>
      <c r="F245" t="s">
        <v>19</v>
      </c>
      <c r="G245" t="s">
        <v>20</v>
      </c>
      <c r="H245">
        <v>115</v>
      </c>
      <c r="I245">
        <v>115</v>
      </c>
      <c r="J245">
        <v>85</v>
      </c>
      <c r="K245">
        <v>90</v>
      </c>
      <c r="L245">
        <v>75</v>
      </c>
      <c r="M245">
        <v>100</v>
      </c>
    </row>
    <row r="246" spans="1:13" x14ac:dyDescent="0.25">
      <c r="A246">
        <v>245</v>
      </c>
      <c r="B246" t="s">
        <v>276</v>
      </c>
      <c r="C246">
        <v>20</v>
      </c>
      <c r="D246">
        <v>1870</v>
      </c>
      <c r="E246">
        <v>261</v>
      </c>
      <c r="F246" t="s">
        <v>25</v>
      </c>
      <c r="G246" t="s">
        <v>20</v>
      </c>
      <c r="H246">
        <v>100</v>
      </c>
      <c r="I246">
        <v>75</v>
      </c>
      <c r="J246">
        <v>115</v>
      </c>
      <c r="K246">
        <v>90</v>
      </c>
      <c r="L246">
        <v>115</v>
      </c>
      <c r="M246">
        <v>85</v>
      </c>
    </row>
    <row r="247" spans="1:13" x14ac:dyDescent="0.25">
      <c r="A247">
        <v>246</v>
      </c>
      <c r="B247" t="s">
        <v>277</v>
      </c>
      <c r="C247">
        <v>6</v>
      </c>
      <c r="D247">
        <v>720</v>
      </c>
      <c r="E247">
        <v>60</v>
      </c>
      <c r="F247" t="s">
        <v>100</v>
      </c>
      <c r="G247" t="s">
        <v>49</v>
      </c>
      <c r="H247">
        <v>50</v>
      </c>
      <c r="I247">
        <v>64</v>
      </c>
      <c r="J247">
        <v>50</v>
      </c>
      <c r="K247">
        <v>45</v>
      </c>
      <c r="L247">
        <v>50</v>
      </c>
      <c r="M247">
        <v>41</v>
      </c>
    </row>
    <row r="248" spans="1:13" x14ac:dyDescent="0.25">
      <c r="A248">
        <v>247</v>
      </c>
      <c r="B248" t="s">
        <v>278</v>
      </c>
      <c r="C248">
        <v>12</v>
      </c>
      <c r="D248">
        <v>1520</v>
      </c>
      <c r="E248">
        <v>144</v>
      </c>
      <c r="F248" t="s">
        <v>100</v>
      </c>
      <c r="G248" t="s">
        <v>49</v>
      </c>
      <c r="H248">
        <v>70</v>
      </c>
      <c r="I248">
        <v>84</v>
      </c>
      <c r="J248">
        <v>70</v>
      </c>
      <c r="K248">
        <v>65</v>
      </c>
      <c r="L248">
        <v>70</v>
      </c>
      <c r="M248">
        <v>51</v>
      </c>
    </row>
    <row r="249" spans="1:13" x14ac:dyDescent="0.25">
      <c r="A249">
        <v>248</v>
      </c>
      <c r="B249" t="s">
        <v>279</v>
      </c>
      <c r="C249">
        <v>20</v>
      </c>
      <c r="D249">
        <v>2020</v>
      </c>
      <c r="E249">
        <v>270</v>
      </c>
      <c r="F249" t="s">
        <v>100</v>
      </c>
      <c r="G249" t="s">
        <v>228</v>
      </c>
      <c r="H249">
        <v>100</v>
      </c>
      <c r="I249">
        <v>134</v>
      </c>
      <c r="J249">
        <v>110</v>
      </c>
      <c r="K249">
        <v>95</v>
      </c>
      <c r="L249">
        <v>100</v>
      </c>
      <c r="M249">
        <v>61</v>
      </c>
    </row>
    <row r="250" spans="1:13" x14ac:dyDescent="0.25">
      <c r="A250">
        <v>249</v>
      </c>
      <c r="B250" t="s">
        <v>280</v>
      </c>
      <c r="C250">
        <v>52</v>
      </c>
      <c r="D250">
        <v>2160</v>
      </c>
      <c r="E250">
        <v>306</v>
      </c>
      <c r="F250" t="s">
        <v>88</v>
      </c>
      <c r="G250" t="s">
        <v>23</v>
      </c>
      <c r="H250">
        <v>106</v>
      </c>
      <c r="I250">
        <v>90</v>
      </c>
      <c r="J250">
        <v>130</v>
      </c>
      <c r="K250">
        <v>90</v>
      </c>
      <c r="L250">
        <v>154</v>
      </c>
      <c r="M250">
        <v>110</v>
      </c>
    </row>
    <row r="251" spans="1:13" x14ac:dyDescent="0.25">
      <c r="A251">
        <v>250</v>
      </c>
      <c r="B251" t="s">
        <v>281</v>
      </c>
      <c r="C251">
        <v>38</v>
      </c>
      <c r="D251">
        <v>1990</v>
      </c>
      <c r="E251">
        <v>306</v>
      </c>
      <c r="F251" t="s">
        <v>19</v>
      </c>
      <c r="G251" t="s">
        <v>23</v>
      </c>
      <c r="H251">
        <v>106</v>
      </c>
      <c r="I251">
        <v>130</v>
      </c>
      <c r="J251">
        <v>90</v>
      </c>
      <c r="K251">
        <v>110</v>
      </c>
      <c r="L251">
        <v>154</v>
      </c>
      <c r="M251">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 Stats</vt:lpstr>
      <vt:lpstr>Dashboard</vt:lpstr>
      <vt:lpstr>Sheet2</vt:lpstr>
      <vt:lpstr>Pivot Analysis</vt:lpstr>
      <vt:lpstr>Charts </vt:lpstr>
      <vt:lpstr>Type Effectiveness Insights</vt:lpstr>
      <vt:lpstr>Correlation Analysis</vt:lpstr>
      <vt:lpstr>Top Performers</vt:lpstr>
      <vt:lpstr>Clean Data</vt:lpstr>
      <vt:lpstr>pokemon_stats_2025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calvin ye</dc:creator>
  <cp:lastModifiedBy>calvin ye</cp:lastModifiedBy>
  <dcterms:created xsi:type="dcterms:W3CDTF">2026-02-12T19:06:28Z</dcterms:created>
  <dcterms:modified xsi:type="dcterms:W3CDTF">2026-02-17T21:04:44Z</dcterms:modified>
</cp:coreProperties>
</file>