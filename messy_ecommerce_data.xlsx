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15a10b067b15a82f/Documents/Data Analyst Project/"/>
    </mc:Choice>
  </mc:AlternateContent>
  <xr:revisionPtr revIDLastSave="1528" documentId="8_{46B311F4-BDB3-432E-A23C-18416D0FE5D1}" xr6:coauthVersionLast="47" xr6:coauthVersionMax="47" xr10:uidLastSave="{184BD4C3-B96D-4C44-B8A6-B18C93D12844}"/>
  <bookViews>
    <workbookView xWindow="-120" yWindow="-120" windowWidth="29040" windowHeight="15720" activeTab="3" xr2:uid="{00000000-000D-0000-FFFF-FFFF00000000}"/>
  </bookViews>
  <sheets>
    <sheet name="Darta Quality Report" sheetId="9" r:id="rId1"/>
    <sheet name="Key Insights" sheetId="10" r:id="rId2"/>
    <sheet name="Dashboard" sheetId="8" r:id="rId3"/>
    <sheet name="Analysis" sheetId="7" r:id="rId4"/>
    <sheet name="Clean Data" sheetId="3" r:id="rId5"/>
    <sheet name="Old Data" sheetId="1" r:id="rId6"/>
  </sheets>
  <definedNames>
    <definedName name="_xlnm._FilterDatabase" localSheetId="4" hidden="1">'Clean Data'!$A$1:$L$501</definedName>
    <definedName name="_xlnm._FilterDatabase" localSheetId="5" hidden="1">'Old Data'!$A$1:$K$516</definedName>
    <definedName name="Slicer_Category">#N/A</definedName>
    <definedName name="Slicer_Category1">#N/A</definedName>
    <definedName name="Slicer_Products">#N/A</definedName>
    <definedName name="Slicer_Region">#N/A</definedName>
    <definedName name="Slicer_Status">#N/A</definedName>
  </definedNames>
  <calcPr calcId="191029" calcCompleted="0"/>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8" l="1"/>
  <c r="F4" i="8"/>
  <c r="B26" i="7"/>
  <c r="O2" i="3"/>
  <c r="I500" i="3"/>
  <c r="I494" i="3"/>
  <c r="I492" i="3"/>
  <c r="I488" i="3"/>
  <c r="I482" i="3"/>
  <c r="I466" i="3"/>
  <c r="I459" i="3"/>
  <c r="I458" i="3"/>
  <c r="I457" i="3"/>
  <c r="I451" i="3"/>
  <c r="I439" i="3"/>
  <c r="I438" i="3"/>
  <c r="I436" i="3"/>
  <c r="I427" i="3"/>
  <c r="I424" i="3"/>
  <c r="I421" i="3"/>
  <c r="I405" i="3"/>
  <c r="I403" i="3"/>
  <c r="I388" i="3"/>
  <c r="I386" i="3"/>
  <c r="I378" i="3"/>
  <c r="I359" i="3"/>
  <c r="I352" i="3"/>
  <c r="I350" i="3"/>
  <c r="I344" i="3"/>
  <c r="I337" i="3"/>
  <c r="I335" i="3"/>
  <c r="I329" i="3"/>
  <c r="I325" i="3"/>
  <c r="I324" i="3"/>
  <c r="I319" i="3"/>
  <c r="I314" i="3"/>
  <c r="I313" i="3"/>
  <c r="I308" i="3"/>
  <c r="I305" i="3"/>
  <c r="I300" i="3"/>
  <c r="I288" i="3"/>
  <c r="I281" i="3"/>
  <c r="I280" i="3"/>
  <c r="I270" i="3"/>
  <c r="I263" i="3"/>
  <c r="I262" i="3"/>
  <c r="I261" i="3"/>
  <c r="I260" i="3"/>
  <c r="I258" i="3"/>
  <c r="I254" i="3"/>
  <c r="I245" i="3"/>
  <c r="I240" i="3"/>
  <c r="I238" i="3"/>
  <c r="I237" i="3"/>
  <c r="I226" i="3"/>
  <c r="I222" i="3"/>
  <c r="I217" i="3"/>
  <c r="I207" i="3"/>
  <c r="I202" i="3"/>
  <c r="I196" i="3"/>
  <c r="I190" i="3"/>
  <c r="I187" i="3"/>
  <c r="I186" i="3"/>
  <c r="I184" i="3"/>
  <c r="I183" i="3"/>
  <c r="I180" i="3"/>
  <c r="I175" i="3"/>
  <c r="I171" i="3"/>
  <c r="I170" i="3"/>
  <c r="I168" i="3"/>
  <c r="I167" i="3"/>
  <c r="I166" i="3"/>
  <c r="I163" i="3"/>
  <c r="I149" i="3"/>
  <c r="I147" i="3"/>
  <c r="I144" i="3"/>
  <c r="I138" i="3"/>
  <c r="I136" i="3"/>
  <c r="I131" i="3"/>
  <c r="I124" i="3"/>
  <c r="I122" i="3"/>
  <c r="I110" i="3"/>
  <c r="I108" i="3"/>
  <c r="I104" i="3"/>
  <c r="I98" i="3"/>
  <c r="I95" i="3"/>
  <c r="I88" i="3"/>
  <c r="I86" i="3"/>
  <c r="I85" i="3"/>
  <c r="I84" i="3"/>
  <c r="I79" i="3"/>
  <c r="I78" i="3"/>
  <c r="I69" i="3"/>
  <c r="I67" i="3"/>
  <c r="I62" i="3"/>
  <c r="I56" i="3"/>
  <c r="I55" i="3"/>
  <c r="I43" i="3"/>
  <c r="I41" i="3"/>
  <c r="I34" i="3"/>
  <c r="I33" i="3"/>
  <c r="I32" i="3"/>
  <c r="I31" i="3"/>
  <c r="I30" i="3"/>
  <c r="I29" i="3"/>
  <c r="I28" i="3"/>
  <c r="I27" i="3"/>
  <c r="I26" i="3"/>
  <c r="I25" i="3"/>
  <c r="I24" i="3"/>
  <c r="I23" i="3"/>
  <c r="I22" i="3"/>
  <c r="I21" i="3"/>
  <c r="I20" i="3"/>
  <c r="I19" i="3"/>
  <c r="I18" i="3"/>
  <c r="I17" i="3"/>
  <c r="I16" i="3"/>
  <c r="I15" i="3"/>
  <c r="I13" i="3"/>
  <c r="I12" i="3"/>
  <c r="I11" i="3"/>
  <c r="I10" i="3"/>
  <c r="I7" i="3"/>
  <c r="I4" i="3"/>
  <c r="H490" i="3"/>
  <c r="H485" i="3"/>
  <c r="I485" i="3" s="1"/>
  <c r="H460" i="3"/>
  <c r="I460" i="3" s="1"/>
  <c r="H393" i="3"/>
  <c r="I393" i="3" s="1"/>
  <c r="H362" i="3"/>
  <c r="I362" i="3" s="1"/>
  <c r="H351" i="3"/>
  <c r="I351" i="3" s="1"/>
  <c r="H331" i="3"/>
  <c r="I331" i="3" s="1"/>
  <c r="H330" i="3"/>
  <c r="I330" i="3" s="1"/>
  <c r="H318" i="3"/>
  <c r="I318" i="3" s="1"/>
  <c r="H281" i="3"/>
  <c r="H267" i="3"/>
  <c r="H236" i="3"/>
  <c r="I236" i="3" s="1"/>
  <c r="H235" i="3"/>
  <c r="I235" i="3" s="1"/>
  <c r="H230" i="3"/>
  <c r="I230" i="3" s="1"/>
  <c r="H201" i="3"/>
  <c r="I201" i="3" s="1"/>
  <c r="H119" i="3"/>
  <c r="I119" i="3" s="1"/>
  <c r="H82" i="3"/>
  <c r="I82" i="3" s="1"/>
  <c r="H76" i="3"/>
  <c r="H59" i="3"/>
  <c r="H360" i="3" s="1"/>
  <c r="H53" i="3"/>
  <c r="I53" i="3" s="1"/>
  <c r="H36" i="3"/>
  <c r="I36" i="3" s="1"/>
  <c r="H14" i="3"/>
  <c r="H9" i="3"/>
  <c r="I9" i="3" s="1"/>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N2" i="3" l="1"/>
  <c r="I14" i="3"/>
  <c r="B27" i="7" s="1"/>
  <c r="I59" i="3"/>
  <c r="I76" i="3"/>
  <c r="I490" i="3"/>
  <c r="I267" i="3"/>
  <c r="I360" i="3"/>
  <c r="B4" i="8" l="1"/>
  <c r="B28" i="7"/>
  <c r="J4" i="8" s="1"/>
  <c r="H474" i="3" l="1"/>
</calcChain>
</file>

<file path=xl/sharedStrings.xml><?xml version="1.0" encoding="utf-8"?>
<sst xmlns="http://schemas.openxmlformats.org/spreadsheetml/2006/main" count="7520" uniqueCount="1443">
  <si>
    <t>Order ID</t>
  </si>
  <si>
    <t>Customer ID</t>
  </si>
  <si>
    <t>Order Date</t>
  </si>
  <si>
    <t>Product</t>
  </si>
  <si>
    <t>Category</t>
  </si>
  <si>
    <t>Quantity</t>
  </si>
  <si>
    <t>Unit Price</t>
  </si>
  <si>
    <t>Revenue</t>
  </si>
  <si>
    <t>Status</t>
  </si>
  <si>
    <t>Region</t>
  </si>
  <si>
    <t>Email</t>
  </si>
  <si>
    <t>ORD00305</t>
  </si>
  <si>
    <t>CUST0022</t>
  </si>
  <si>
    <t>2024-03-25</t>
  </si>
  <si>
    <t>laptop stand</t>
  </si>
  <si>
    <t>Accessories</t>
  </si>
  <si>
    <t>Pending</t>
  </si>
  <si>
    <t>East</t>
  </si>
  <si>
    <t>customer0022@example.com</t>
  </si>
  <si>
    <t>ORD00500</t>
  </si>
  <si>
    <t>CUST0097</t>
  </si>
  <si>
    <t>2024-06-12</t>
  </si>
  <si>
    <t>Headphones</t>
  </si>
  <si>
    <t>Audio</t>
  </si>
  <si>
    <t>North</t>
  </si>
  <si>
    <t>customer0097@example.com</t>
  </si>
  <si>
    <t>ORD00442</t>
  </si>
  <si>
    <t>CUST0255</t>
  </si>
  <si>
    <t>2023-05-17</t>
  </si>
  <si>
    <t>Laptop</t>
  </si>
  <si>
    <t>Refunded</t>
  </si>
  <si>
    <t>customer0255@example.com</t>
  </si>
  <si>
    <t>ORD00154</t>
  </si>
  <si>
    <t>CUST0182</t>
  </si>
  <si>
    <t>2024-03-01</t>
  </si>
  <si>
    <t>Completed</t>
  </si>
  <si>
    <t>central</t>
  </si>
  <si>
    <t>customer0182@example.com</t>
  </si>
  <si>
    <t>ORD00074</t>
  </si>
  <si>
    <t>CUST0164</t>
  </si>
  <si>
    <t>2024-04-09</t>
  </si>
  <si>
    <t>Keyboard</t>
  </si>
  <si>
    <t>customer0164@example.com</t>
  </si>
  <si>
    <t>ORD00132</t>
  </si>
  <si>
    <t>CUST0128</t>
  </si>
  <si>
    <t>2023-10-09</t>
  </si>
  <si>
    <t>Electronics</t>
  </si>
  <si>
    <t>customer0128@example.com</t>
  </si>
  <si>
    <t>ORD00205</t>
  </si>
  <si>
    <t>CUST0254</t>
  </si>
  <si>
    <t>2023-07-07</t>
  </si>
  <si>
    <t>Central</t>
  </si>
  <si>
    <t>customer0254@example.com</t>
  </si>
  <si>
    <t>ORD00010</t>
  </si>
  <si>
    <t>2023-07-27</t>
  </si>
  <si>
    <t>West</t>
  </si>
  <si>
    <t>ORD00326</t>
  </si>
  <si>
    <t>CUST0125</t>
  </si>
  <si>
    <t>2024-12-16</t>
  </si>
  <si>
    <t>headphones</t>
  </si>
  <si>
    <t>customer0125@example.com</t>
  </si>
  <si>
    <t>ORD00248</t>
  </si>
  <si>
    <t>CUST0078</t>
  </si>
  <si>
    <t>2024-09-11</t>
  </si>
  <si>
    <t>electronics</t>
  </si>
  <si>
    <t>customer0078@example.com</t>
  </si>
  <si>
    <t>ORD00466</t>
  </si>
  <si>
    <t>CUST0087</t>
  </si>
  <si>
    <t>2023-06-30</t>
  </si>
  <si>
    <t>South</t>
  </si>
  <si>
    <t>customer0087@example.com</t>
  </si>
  <si>
    <t>ORD00354</t>
  </si>
  <si>
    <t>CUST0061</t>
  </si>
  <si>
    <t>2024-01-04</t>
  </si>
  <si>
    <t>customer0061@example.com</t>
  </si>
  <si>
    <t>ORD00290</t>
  </si>
  <si>
    <t>CUST0112</t>
  </si>
  <si>
    <t>2023-10-19</t>
  </si>
  <si>
    <t>Webcam</t>
  </si>
  <si>
    <t>customer0112@example.com</t>
  </si>
  <si>
    <t>ORD00085</t>
  </si>
  <si>
    <t>CUST0086</t>
  </si>
  <si>
    <t>2023-10-16</t>
  </si>
  <si>
    <t>West Region</t>
  </si>
  <si>
    <t>customer0086@example.com</t>
  </si>
  <si>
    <t>ORD00011</t>
  </si>
  <si>
    <t>2024-05-18</t>
  </si>
  <si>
    <t>Laptop Stand</t>
  </si>
  <si>
    <t>ORD00325</t>
  </si>
  <si>
    <t>CUST0126</t>
  </si>
  <si>
    <t>2023-06-08</t>
  </si>
  <si>
    <t xml:space="preserve">  Keyboard  </t>
  </si>
  <si>
    <t>accessories</t>
  </si>
  <si>
    <t>customer0126@example.com</t>
  </si>
  <si>
    <t>ORD00079</t>
  </si>
  <si>
    <t>CUST0186</t>
  </si>
  <si>
    <t>2024-10-17</t>
  </si>
  <si>
    <t>customer0186@example.com</t>
  </si>
  <si>
    <t>ORD00031</t>
  </si>
  <si>
    <t>CUST0001</t>
  </si>
  <si>
    <t>16/11/2023</t>
  </si>
  <si>
    <t>Mouse</t>
  </si>
  <si>
    <t>Cancelled</t>
  </si>
  <si>
    <t>customer0001@example.com</t>
  </si>
  <si>
    <t>ORD00185</t>
  </si>
  <si>
    <t>CUST0174</t>
  </si>
  <si>
    <t>2023-06-01</t>
  </si>
  <si>
    <t>customer0174@example.com</t>
  </si>
  <si>
    <t>ORD00196</t>
  </si>
  <si>
    <t>CUST0074</t>
  </si>
  <si>
    <t>2023-10-01</t>
  </si>
  <si>
    <t>customer0074@example.com</t>
  </si>
  <si>
    <t>ORD00223</t>
  </si>
  <si>
    <t>CUST0257</t>
  </si>
  <si>
    <t>customer0257@example.com</t>
  </si>
  <si>
    <t>ORD00210</t>
  </si>
  <si>
    <t>CUST0045</t>
  </si>
  <si>
    <t>2024-02-06</t>
  </si>
  <si>
    <t>customer0045@example.com</t>
  </si>
  <si>
    <t>ORD00282</t>
  </si>
  <si>
    <t>CUST0242</t>
  </si>
  <si>
    <t>2024-08-24</t>
  </si>
  <si>
    <t>customer0242@example.com</t>
  </si>
  <si>
    <t>ORD00209</t>
  </si>
  <si>
    <t>CUST0027</t>
  </si>
  <si>
    <t>2024-03-27</t>
  </si>
  <si>
    <t>Central Region</t>
  </si>
  <si>
    <t>customer0027@example.com</t>
  </si>
  <si>
    <t>ORD00125</t>
  </si>
  <si>
    <t>CUST0065</t>
  </si>
  <si>
    <t>2024-08-17</t>
  </si>
  <si>
    <t>customer0065@example.com</t>
  </si>
  <si>
    <t>ORD00251</t>
  </si>
  <si>
    <t>CUST0233</t>
  </si>
  <si>
    <t>customer0233example.com</t>
  </si>
  <si>
    <t>ORD00077</t>
  </si>
  <si>
    <t>CUST0288</t>
  </si>
  <si>
    <t>2023-10-15</t>
  </si>
  <si>
    <t xml:space="preserve">  Monitor  </t>
  </si>
  <si>
    <t>customer0288@example.com</t>
  </si>
  <si>
    <t>ORD00383</t>
  </si>
  <si>
    <t>CUST0204</t>
  </si>
  <si>
    <t>2024-04-02</t>
  </si>
  <si>
    <t>customer0204@example.com</t>
  </si>
  <si>
    <t>ORD00343</t>
  </si>
  <si>
    <t>CUST0287</t>
  </si>
  <si>
    <t>2023-10-13</t>
  </si>
  <si>
    <t>Monitor</t>
  </si>
  <si>
    <t>south</t>
  </si>
  <si>
    <t>customer0287@example.com</t>
  </si>
  <si>
    <t>ORD00324</t>
  </si>
  <si>
    <t>2023-11-05</t>
  </si>
  <si>
    <t>ORD00245</t>
  </si>
  <si>
    <t>CUST0043</t>
  </si>
  <si>
    <t>2023-04-05</t>
  </si>
  <si>
    <t xml:space="preserve">  Mouse  </t>
  </si>
  <si>
    <t>customer0043example.com</t>
  </si>
  <si>
    <t>ORD00332</t>
  </si>
  <si>
    <t>CUST0245</t>
  </si>
  <si>
    <t>2024-07-10</t>
  </si>
  <si>
    <t>customer0245@example.com</t>
  </si>
  <si>
    <t>ORD00141</t>
  </si>
  <si>
    <t>CUST0230</t>
  </si>
  <si>
    <t>03-13-2024</t>
  </si>
  <si>
    <t>north</t>
  </si>
  <si>
    <t>customer0230@example.com</t>
  </si>
  <si>
    <t>ORD00073</t>
  </si>
  <si>
    <t>CUST0116</t>
  </si>
  <si>
    <t>2024-12-03</t>
  </si>
  <si>
    <t>customer0116@example.com</t>
  </si>
  <si>
    <t>ORD00401</t>
  </si>
  <si>
    <t>CUST0264</t>
  </si>
  <si>
    <t>0264@</t>
  </si>
  <si>
    <t>ORD00488</t>
  </si>
  <si>
    <t>CUST0080</t>
  </si>
  <si>
    <t>2023-05-10</t>
  </si>
  <si>
    <t>customer0080@example.com</t>
  </si>
  <si>
    <t>ORD00226</t>
  </si>
  <si>
    <t>CUST0024</t>
  </si>
  <si>
    <t>2024-05-25</t>
  </si>
  <si>
    <t>customer0024@example.com</t>
  </si>
  <si>
    <t>ORD00178</t>
  </si>
  <si>
    <t>CUST0051</t>
  </si>
  <si>
    <t>2024-12-26</t>
  </si>
  <si>
    <t>usb cable</t>
  </si>
  <si>
    <t>Other</t>
  </si>
  <si>
    <t>customer0051@example.com</t>
  </si>
  <si>
    <t>ORD00404</t>
  </si>
  <si>
    <t>CUST0250</t>
  </si>
  <si>
    <t>2023-11-13</t>
  </si>
  <si>
    <t xml:space="preserve">  webcam  </t>
  </si>
  <si>
    <t>customer0250@example.com</t>
  </si>
  <si>
    <t>ORD00069</t>
  </si>
  <si>
    <t>CUST0055</t>
  </si>
  <si>
    <t>2023-01-12</t>
  </si>
  <si>
    <t>west</t>
  </si>
  <si>
    <t>customer0055@example.com</t>
  </si>
  <si>
    <t>ORD00156</t>
  </si>
  <si>
    <t>2024-02-02</t>
  </si>
  <si>
    <t>ORD00056</t>
  </si>
  <si>
    <t>CUST0106</t>
  </si>
  <si>
    <t>2024-03-03</t>
  </si>
  <si>
    <t>customer0106@example.com</t>
  </si>
  <si>
    <t>ORD00406</t>
  </si>
  <si>
    <t>CUST0102</t>
  </si>
  <si>
    <t>2024-02-26</t>
  </si>
  <si>
    <t>customer0102@example.com</t>
  </si>
  <si>
    <t>ORD00299</t>
  </si>
  <si>
    <t>CUST0192</t>
  </si>
  <si>
    <t>2023-11-16</t>
  </si>
  <si>
    <t>customer0192@example.com</t>
  </si>
  <si>
    <t>ORD00078</t>
  </si>
  <si>
    <t>CUST0238</t>
  </si>
  <si>
    <t>2024-10-08</t>
  </si>
  <si>
    <t>USB Cable</t>
  </si>
  <si>
    <t>customer0238@example.com</t>
  </si>
  <si>
    <t>ORD00469</t>
  </si>
  <si>
    <t>CUST0231</t>
  </si>
  <si>
    <t>2023-01-30</t>
  </si>
  <si>
    <t>customer0231@example.com</t>
  </si>
  <si>
    <t>ORD00318</t>
  </si>
  <si>
    <t>CUST0075</t>
  </si>
  <si>
    <t>2024-07-31</t>
  </si>
  <si>
    <t>customer0075@example.com</t>
  </si>
  <si>
    <t>ORD00476</t>
  </si>
  <si>
    <t>CUST0085</t>
  </si>
  <si>
    <t>2024-05-24</t>
  </si>
  <si>
    <t>customer0085@example.com</t>
  </si>
  <si>
    <t>ORD00091</t>
  </si>
  <si>
    <t>CUST0190</t>
  </si>
  <si>
    <t>30/06/2024</t>
  </si>
  <si>
    <t>customer0190@example.com</t>
  </si>
  <si>
    <t>ORD00239</t>
  </si>
  <si>
    <t>CUST0069</t>
  </si>
  <si>
    <t>2024-04-16</t>
  </si>
  <si>
    <t>customer0069@example.com</t>
  </si>
  <si>
    <t>ORD00486</t>
  </si>
  <si>
    <t>CUST0021</t>
  </si>
  <si>
    <t>2023-05-28</t>
  </si>
  <si>
    <t>REFUNDED</t>
  </si>
  <si>
    <t>customer0021@example.com</t>
  </si>
  <si>
    <t>ORD00064</t>
  </si>
  <si>
    <t>CUST0221</t>
  </si>
  <si>
    <t>2023-06-03</t>
  </si>
  <si>
    <t>customer0221@example.com</t>
  </si>
  <si>
    <t>ORD00458</t>
  </si>
  <si>
    <t>2023-04-08</t>
  </si>
  <si>
    <t>ORD00071</t>
  </si>
  <si>
    <t>CUST0256</t>
  </si>
  <si>
    <t>2023-09-23</t>
  </si>
  <si>
    <t>customer0256@example.com</t>
  </si>
  <si>
    <t>ORD00003</t>
  </si>
  <si>
    <t>2024-07-15</t>
  </si>
  <si>
    <t>ORD00288</t>
  </si>
  <si>
    <t>2023-09-25</t>
  </si>
  <si>
    <t>ORD00342</t>
  </si>
  <si>
    <t>CUST0090</t>
  </si>
  <si>
    <t>2024-08-01</t>
  </si>
  <si>
    <t>customer0090@example.com</t>
  </si>
  <si>
    <t>ORD00138</t>
  </si>
  <si>
    <t>CUST0163</t>
  </si>
  <si>
    <t>2023-12-17</t>
  </si>
  <si>
    <t>East Region</t>
  </si>
  <si>
    <t>customer0163@example.com</t>
  </si>
  <si>
    <t>ORD00250</t>
  </si>
  <si>
    <t>CUST0176</t>
  </si>
  <si>
    <t>2023-01-08</t>
  </si>
  <si>
    <t>customer0176@example.com</t>
  </si>
  <si>
    <t>ORD00195</t>
  </si>
  <si>
    <t>CUST0089</t>
  </si>
  <si>
    <t>2023-08-03</t>
  </si>
  <si>
    <t>monitor</t>
  </si>
  <si>
    <t>customer0089@example.com</t>
  </si>
  <si>
    <t>ORD00173</t>
  </si>
  <si>
    <t>2023-03-31</t>
  </si>
  <si>
    <t>ORD00083</t>
  </si>
  <si>
    <t>2023-10-22</t>
  </si>
  <si>
    <t>ORD00454</t>
  </si>
  <si>
    <t>CUST0259</t>
  </si>
  <si>
    <t>2023-05-29</t>
  </si>
  <si>
    <t>customer0259@example.com</t>
  </si>
  <si>
    <t>ORD00319</t>
  </si>
  <si>
    <t>2023-11-28</t>
  </si>
  <si>
    <t>ORD00034</t>
  </si>
  <si>
    <t>ORD00427</t>
  </si>
  <si>
    <t>CUST0169</t>
  </si>
  <si>
    <t>2023-06-29</t>
  </si>
  <si>
    <t>South Region</t>
  </si>
  <si>
    <t>customer0169@example.com</t>
  </si>
  <si>
    <t>ORD00228</t>
  </si>
  <si>
    <t>CUST0039</t>
  </si>
  <si>
    <t>2023-10-12</t>
  </si>
  <si>
    <t>customer0039@example.com</t>
  </si>
  <si>
    <t>ORD00001</t>
  </si>
  <si>
    <t>ORD00012</t>
  </si>
  <si>
    <t>2023-06-21</t>
  </si>
  <si>
    <t>ORD00238</t>
  </si>
  <si>
    <t>CUST0002</t>
  </si>
  <si>
    <t>2023-04-11</t>
  </si>
  <si>
    <t>customer0002@example.com</t>
  </si>
  <si>
    <t>ORD00023</t>
  </si>
  <si>
    <t>2023-05-23</t>
  </si>
  <si>
    <t>ORD00105</t>
  </si>
  <si>
    <t>CUST0290</t>
  </si>
  <si>
    <t>2023-02-14</t>
  </si>
  <si>
    <t>customer0290@example.com</t>
  </si>
  <si>
    <t>ORD00297</t>
  </si>
  <si>
    <t>CUST0115</t>
  </si>
  <si>
    <t>2023-08-06</t>
  </si>
  <si>
    <t>customer0115@example.com</t>
  </si>
  <si>
    <t>ORD00102</t>
  </si>
  <si>
    <t>CUST0091</t>
  </si>
  <si>
    <t>2023-04-27</t>
  </si>
  <si>
    <t>customer0091@example.com</t>
  </si>
  <si>
    <t>ORD00080</t>
  </si>
  <si>
    <t>CUST0101</t>
  </si>
  <si>
    <t>2024-11-28</t>
  </si>
  <si>
    <t>customer0101@example.com</t>
  </si>
  <si>
    <t>ORD00430</t>
  </si>
  <si>
    <t>CUST0137</t>
  </si>
  <si>
    <t>2024-07-26</t>
  </si>
  <si>
    <t>customer0137@example.com</t>
  </si>
  <si>
    <t>ORD00432</t>
  </si>
  <si>
    <t>CUST0286</t>
  </si>
  <si>
    <t>2024-05-26</t>
  </si>
  <si>
    <t>customer0286@example.com</t>
  </si>
  <si>
    <t>ORD00019</t>
  </si>
  <si>
    <t>2023-04-06</t>
  </si>
  <si>
    <t>ORD00177</t>
  </si>
  <si>
    <t>CUST0068</t>
  </si>
  <si>
    <t>2023-09-06</t>
  </si>
  <si>
    <t>mouse</t>
  </si>
  <si>
    <t>customer0068@example.com</t>
  </si>
  <si>
    <t>ORD00232</t>
  </si>
  <si>
    <t>CUST0298</t>
  </si>
  <si>
    <t>east region</t>
  </si>
  <si>
    <t>ORD00378</t>
  </si>
  <si>
    <t>2024-11-18</t>
  </si>
  <si>
    <t>ORD00133</t>
  </si>
  <si>
    <t>2023-07-18</t>
  </si>
  <si>
    <t>customer0233@example.com</t>
  </si>
  <si>
    <t>ORD00040</t>
  </si>
  <si>
    <t>2023-11-24</t>
  </si>
  <si>
    <t>Complete</t>
  </si>
  <si>
    <t>ORD00465</t>
  </si>
  <si>
    <t>ORD00047</t>
  </si>
  <si>
    <t>CUST0236</t>
  </si>
  <si>
    <t>2023-08-27</t>
  </si>
  <si>
    <t>customer0236@example.com</t>
  </si>
  <si>
    <t>ORD00358</t>
  </si>
  <si>
    <t>2024-09-24</t>
  </si>
  <si>
    <t>ORD00278</t>
  </si>
  <si>
    <t>CUST0196</t>
  </si>
  <si>
    <t>2024-02-21</t>
  </si>
  <si>
    <t>customer0196@example.com</t>
  </si>
  <si>
    <t>ORD00363</t>
  </si>
  <si>
    <t>CUST0240</t>
  </si>
  <si>
    <t>2023-01-13</t>
  </si>
  <si>
    <t>customer0240@example.com</t>
  </si>
  <si>
    <t>ORD00094</t>
  </si>
  <si>
    <t>2024-08-06</t>
  </si>
  <si>
    <t>other</t>
  </si>
  <si>
    <t>ORD00447</t>
  </si>
  <si>
    <t>CUST0119</t>
  </si>
  <si>
    <t>2024-11-10</t>
  </si>
  <si>
    <t>0119@</t>
  </si>
  <si>
    <t>ORD00204</t>
  </si>
  <si>
    <t>CUST0140</t>
  </si>
  <si>
    <t>2024-06-29</t>
  </si>
  <si>
    <t>customer0140example.com</t>
  </si>
  <si>
    <t>ORD00451</t>
  </si>
  <si>
    <t>CUST0209</t>
  </si>
  <si>
    <t>customer0209@example.com</t>
  </si>
  <si>
    <t>ORD00149</t>
  </si>
  <si>
    <t>CUST0200</t>
  </si>
  <si>
    <t>2023-08-21</t>
  </si>
  <si>
    <t>customer0200@example.com</t>
  </si>
  <si>
    <t>ORD00221</t>
  </si>
  <si>
    <t>CUST0038</t>
  </si>
  <si>
    <t>03-28-2024</t>
  </si>
  <si>
    <t>customer0038@example.com</t>
  </si>
  <si>
    <t>ORD00070</t>
  </si>
  <si>
    <t>CUST0249</t>
  </si>
  <si>
    <t>2024-03-24</t>
  </si>
  <si>
    <t>customer0249@example.com</t>
  </si>
  <si>
    <t>ORD00254</t>
  </si>
  <si>
    <t>CUST0020</t>
  </si>
  <si>
    <t>2024-06-11</t>
  </si>
  <si>
    <t>Laптop</t>
  </si>
  <si>
    <t>customer0020@example.com</t>
  </si>
  <si>
    <t>ORD00399</t>
  </si>
  <si>
    <t>2024-04-01</t>
  </si>
  <si>
    <t>North Region</t>
  </si>
  <si>
    <t>ORD00168</t>
  </si>
  <si>
    <t>CUST0029</t>
  </si>
  <si>
    <t>2023-04-22</t>
  </si>
  <si>
    <t>customer0029@example.com</t>
  </si>
  <si>
    <t>ORD00276</t>
  </si>
  <si>
    <t>2024-07-17</t>
  </si>
  <si>
    <t>ORD00321</t>
  </si>
  <si>
    <t>CUST0099</t>
  </si>
  <si>
    <t>2024-13-45</t>
  </si>
  <si>
    <t>customer0099example.com</t>
  </si>
  <si>
    <t>ORD00330</t>
  </si>
  <si>
    <t>2023-05-15</t>
  </si>
  <si>
    <t>ORD00174</t>
  </si>
  <si>
    <t>ORD00273</t>
  </si>
  <si>
    <t>CUST0104</t>
  </si>
  <si>
    <t>2024-11-12</t>
  </si>
  <si>
    <t>customer0104@example.com</t>
  </si>
  <si>
    <t>ORD00496</t>
  </si>
  <si>
    <t>CUST0212</t>
  </si>
  <si>
    <t>customer0212@example.com</t>
  </si>
  <si>
    <t>ORD00183</t>
  </si>
  <si>
    <t>CUST0279</t>
  </si>
  <si>
    <t>2024-09-06</t>
  </si>
  <si>
    <t>customer0279@example.com</t>
  </si>
  <si>
    <t>ORD00269</t>
  </si>
  <si>
    <t>2023-05-13</t>
  </si>
  <si>
    <t>ORD00353</t>
  </si>
  <si>
    <t>CUST0077</t>
  </si>
  <si>
    <t>customer0077@example.com</t>
  </si>
  <si>
    <t>ORD00118</t>
  </si>
  <si>
    <t>2024-06-19</t>
  </si>
  <si>
    <t>ORD00394</t>
  </si>
  <si>
    <t>CUST0008</t>
  </si>
  <si>
    <t>2023-07-08</t>
  </si>
  <si>
    <t>customer0008@example.com</t>
  </si>
  <si>
    <t>ORD00333</t>
  </si>
  <si>
    <t>CUST0155</t>
  </si>
  <si>
    <t>2023-06-24</t>
  </si>
  <si>
    <t>customer0155@example.com</t>
  </si>
  <si>
    <t>ORD00456</t>
  </si>
  <si>
    <t>CUST0285</t>
  </si>
  <si>
    <t>2023-08-11</t>
  </si>
  <si>
    <t>customer0285@example.com</t>
  </si>
  <si>
    <t>ORD00445</t>
  </si>
  <si>
    <t>2024-04-12</t>
  </si>
  <si>
    <t>customer0140@example.com</t>
  </si>
  <si>
    <t>ORD00357</t>
  </si>
  <si>
    <t>CUST0227</t>
  </si>
  <si>
    <t>2024-12-05</t>
  </si>
  <si>
    <t>customer0227@example.com</t>
  </si>
  <si>
    <t>ORD00087</t>
  </si>
  <si>
    <t>2024-05-22</t>
  </si>
  <si>
    <t>ORD00439</t>
  </si>
  <si>
    <t>CUST0223</t>
  </si>
  <si>
    <t>2023-09-16</t>
  </si>
  <si>
    <t>customer0223@example.com</t>
  </si>
  <si>
    <t>ORD00076</t>
  </si>
  <si>
    <t>2024-05-05</t>
  </si>
  <si>
    <t>ORD00452</t>
  </si>
  <si>
    <t>CUST0015</t>
  </si>
  <si>
    <t>2023-02-06</t>
  </si>
  <si>
    <t>customer0015@example.com</t>
  </si>
  <si>
    <t>ORD00016</t>
  </si>
  <si>
    <t>2023-09-04</t>
  </si>
  <si>
    <t>ORD00211</t>
  </si>
  <si>
    <t>26/03/2023</t>
  </si>
  <si>
    <t>ORD00181</t>
  </si>
  <si>
    <t>CUST0211</t>
  </si>
  <si>
    <t>25/01/2023</t>
  </si>
  <si>
    <t>customer0211@example.com</t>
  </si>
  <si>
    <t>ORD00398</t>
  </si>
  <si>
    <t>CUST0276</t>
  </si>
  <si>
    <t>2024-08-12</t>
  </si>
  <si>
    <t>customer0276@example.com</t>
  </si>
  <si>
    <t>ORD00020</t>
  </si>
  <si>
    <t>2023-04-09</t>
  </si>
  <si>
    <t>ORD00341</t>
  </si>
  <si>
    <t>CUST0067</t>
  </si>
  <si>
    <t>05-15-2023</t>
  </si>
  <si>
    <t>0067@</t>
  </si>
  <si>
    <t>ORD00057</t>
  </si>
  <si>
    <t>CUST0243</t>
  </si>
  <si>
    <t>2023-05-02</t>
  </si>
  <si>
    <t>customer0243@example.com</t>
  </si>
  <si>
    <t>ORD00279</t>
  </si>
  <si>
    <t>CUST0094</t>
  </si>
  <si>
    <t>2024-03-09</t>
  </si>
  <si>
    <t>customer0094@example.com</t>
  </si>
  <si>
    <t>ORD00468</t>
  </si>
  <si>
    <t>CUST0025</t>
  </si>
  <si>
    <t>2024-10-05</t>
  </si>
  <si>
    <t>0025@</t>
  </si>
  <si>
    <t>ORD00155</t>
  </si>
  <si>
    <t>CUST0005</t>
  </si>
  <si>
    <t>2024-06-15</t>
  </si>
  <si>
    <t>customer0005@example.com</t>
  </si>
  <si>
    <t>ORD00026</t>
  </si>
  <si>
    <t>2024-07-04</t>
  </si>
  <si>
    <t>ORD00266</t>
  </si>
  <si>
    <t>CUST0134</t>
  </si>
  <si>
    <t>2024-12-23</t>
  </si>
  <si>
    <t>PENDING</t>
  </si>
  <si>
    <t>customer0134@example.com</t>
  </si>
  <si>
    <t>ORD00043</t>
  </si>
  <si>
    <t>CUST0193</t>
  </si>
  <si>
    <t>2024-11-23</t>
  </si>
  <si>
    <t>customer0193@example.com</t>
  </si>
  <si>
    <t>ORD00313</t>
  </si>
  <si>
    <t>CUST0207</t>
  </si>
  <si>
    <t>2024-04-08</t>
  </si>
  <si>
    <t>customer0207@example.com</t>
  </si>
  <si>
    <t>ORD00413</t>
  </si>
  <si>
    <t>CUST0166</t>
  </si>
  <si>
    <t>2024-10-13</t>
  </si>
  <si>
    <t>keyboard</t>
  </si>
  <si>
    <t>customer0166@example.com</t>
  </si>
  <si>
    <t>ORD00457</t>
  </si>
  <si>
    <t>CUST0009</t>
  </si>
  <si>
    <t>2023-12-16</t>
  </si>
  <si>
    <t>customer0009@example.com</t>
  </si>
  <si>
    <t>ORD00285</t>
  </si>
  <si>
    <t>CUST0180</t>
  </si>
  <si>
    <t>customer0180@example.com</t>
  </si>
  <si>
    <t>ORD00127</t>
  </si>
  <si>
    <t>2023-11-10</t>
  </si>
  <si>
    <t>ORD00335</t>
  </si>
  <si>
    <t>CUST0179</t>
  </si>
  <si>
    <t>2024-07-27</t>
  </si>
  <si>
    <t>customer0179@example.com</t>
  </si>
  <si>
    <t>ORD00032</t>
  </si>
  <si>
    <t>2023-06-22</t>
  </si>
  <si>
    <t>ORD00114</t>
  </si>
  <si>
    <t>CUST0070</t>
  </si>
  <si>
    <t>2024-11-11</t>
  </si>
  <si>
    <t>customer0070@example.com</t>
  </si>
  <si>
    <t>ORD00256</t>
  </si>
  <si>
    <t>CUST0046</t>
  </si>
  <si>
    <t>customer0046@example.com</t>
  </si>
  <si>
    <t>ORD00219</t>
  </si>
  <si>
    <t>CUST0162</t>
  </si>
  <si>
    <t>customer0162@example.com</t>
  </si>
  <si>
    <t>ORD00417</t>
  </si>
  <si>
    <t>CUST0278</t>
  </si>
  <si>
    <t>2024-07-06</t>
  </si>
  <si>
    <t>customer0278@example.com</t>
  </si>
  <si>
    <t>ORD00058</t>
  </si>
  <si>
    <t>ORD00397</t>
  </si>
  <si>
    <t>2024-05-28</t>
  </si>
  <si>
    <t>COMPLETED</t>
  </si>
  <si>
    <t>ORD00025</t>
  </si>
  <si>
    <t>2024-09-01</t>
  </si>
  <si>
    <t>ORD00018</t>
  </si>
  <si>
    <t>2023-09-10</t>
  </si>
  <si>
    <t>ORD00193</t>
  </si>
  <si>
    <t>CUST0198</t>
  </si>
  <si>
    <t>2023-07-30</t>
  </si>
  <si>
    <t>customer0198@example.com</t>
  </si>
  <si>
    <t>ORD00067</t>
  </si>
  <si>
    <t>CUST0143</t>
  </si>
  <si>
    <t>2024-02-23</t>
  </si>
  <si>
    <t>customer0143@example.com</t>
  </si>
  <si>
    <t>ORD00287</t>
  </si>
  <si>
    <t>CUST0056</t>
  </si>
  <si>
    <t>2024-11-17</t>
  </si>
  <si>
    <t>customer0056@example.com</t>
  </si>
  <si>
    <t>ORD00423</t>
  </si>
  <si>
    <t>CUST0103</t>
  </si>
  <si>
    <t>2023-11-12</t>
  </si>
  <si>
    <t>customer0103@example.com</t>
  </si>
  <si>
    <t>ORD00095</t>
  </si>
  <si>
    <t>2023-12-29</t>
  </si>
  <si>
    <t>customer0106example.com</t>
  </si>
  <si>
    <t>ORD00312</t>
  </si>
  <si>
    <t>CUST0195</t>
  </si>
  <si>
    <t>2024-06-10</t>
  </si>
  <si>
    <t>customer0195@example.com</t>
  </si>
  <si>
    <t>ORD00369</t>
  </si>
  <si>
    <t>2024-09-04</t>
  </si>
  <si>
    <t>ORD00024</t>
  </si>
  <si>
    <t>2024-12-24</t>
  </si>
  <si>
    <t>ORD00272</t>
  </si>
  <si>
    <t>2023-03-26</t>
  </si>
  <si>
    <t>ORD00300</t>
  </si>
  <si>
    <t>CUST0183</t>
  </si>
  <si>
    <t>customer0183@example.com</t>
  </si>
  <si>
    <t>ORD00374</t>
  </si>
  <si>
    <t>2024-05-04</t>
  </si>
  <si>
    <t>audio</t>
  </si>
  <si>
    <t>ORD00006</t>
  </si>
  <si>
    <t>2023-02-05</t>
  </si>
  <si>
    <t>ORD00117</t>
  </si>
  <si>
    <t>CUST0076</t>
  </si>
  <si>
    <t>customer0076@example.com</t>
  </si>
  <si>
    <t>ORD00046</t>
  </si>
  <si>
    <t>ORD00186</t>
  </si>
  <si>
    <t>CUST0172</t>
  </si>
  <si>
    <t>2023-03-28</t>
  </si>
  <si>
    <t>customer0172@example.com</t>
  </si>
  <si>
    <t>ORD00017</t>
  </si>
  <si>
    <t>ORD00478</t>
  </si>
  <si>
    <t>CUST0296</t>
  </si>
  <si>
    <t>2024-12-21</t>
  </si>
  <si>
    <t>ORD00368</t>
  </si>
  <si>
    <t>CUST0096</t>
  </si>
  <si>
    <t>customer0096@example.com</t>
  </si>
  <si>
    <t>ORD00004</t>
  </si>
  <si>
    <t>2023-01-15</t>
  </si>
  <si>
    <t>ORD00235</t>
  </si>
  <si>
    <t>CUST0131</t>
  </si>
  <si>
    <t>2024-09-23</t>
  </si>
  <si>
    <t>customer0131@example.com</t>
  </si>
  <si>
    <t>ORD00385</t>
  </si>
  <si>
    <t>2023-02-26</t>
  </si>
  <si>
    <t>ORD00061</t>
  </si>
  <si>
    <t>CUST0217</t>
  </si>
  <si>
    <t>02/11/2023</t>
  </si>
  <si>
    <t>customer0217example.com</t>
  </si>
  <si>
    <t>ORD00111</t>
  </si>
  <si>
    <t>CUST0153</t>
  </si>
  <si>
    <t>2023-02-02</t>
  </si>
  <si>
    <t>customer0153@example.com</t>
  </si>
  <si>
    <t>ORD00410</t>
  </si>
  <si>
    <t>2023-07-10</t>
  </si>
  <si>
    <t xml:space="preserve">  Headphones  </t>
  </si>
  <si>
    <t>ORD00421</t>
  </si>
  <si>
    <t>14/04/2023</t>
  </si>
  <si>
    <t>ORD00030</t>
  </si>
  <si>
    <t>ORD00275</t>
  </si>
  <si>
    <t>CUST0144</t>
  </si>
  <si>
    <t>customer0144@example.com</t>
  </si>
  <si>
    <t>ORD00303</t>
  </si>
  <si>
    <t>CUST0047</t>
  </si>
  <si>
    <t>2024-09-13</t>
  </si>
  <si>
    <t>customer0047@example.com</t>
  </si>
  <si>
    <t>ORD00027</t>
  </si>
  <si>
    <t>2023-12-01</t>
  </si>
  <si>
    <t>ORD00008</t>
  </si>
  <si>
    <t>2023-02-22</t>
  </si>
  <si>
    <t>ORD00182</t>
  </si>
  <si>
    <t>2023-09-29</t>
  </si>
  <si>
    <t>ORD00395</t>
  </si>
  <si>
    <t>CUST0173</t>
  </si>
  <si>
    <t>2024-10-14</t>
  </si>
  <si>
    <t>customer0173@example.com</t>
  </si>
  <si>
    <t>ORD00109</t>
  </si>
  <si>
    <t>CUST0016</t>
  </si>
  <si>
    <t>2024-10-10</t>
  </si>
  <si>
    <t>ORD00038</t>
  </si>
  <si>
    <t>2023-07-01</t>
  </si>
  <si>
    <t>ORD00158</t>
  </si>
  <si>
    <t>CUST0291</t>
  </si>
  <si>
    <t>2024-06-17</t>
  </si>
  <si>
    <t>customer0291@example.com</t>
  </si>
  <si>
    <t>ORD00482</t>
  </si>
  <si>
    <t>CUST0175</t>
  </si>
  <si>
    <t>2023-12-04</t>
  </si>
  <si>
    <t>customer0175@example.com</t>
  </si>
  <si>
    <t>ORD00119</t>
  </si>
  <si>
    <t>CUST0239</t>
  </si>
  <si>
    <t>2023-06-18</t>
  </si>
  <si>
    <t>customer0239@example.com</t>
  </si>
  <si>
    <t>ORD00115</t>
  </si>
  <si>
    <t>2024-08-15</t>
  </si>
  <si>
    <t>ORD00267</t>
  </si>
  <si>
    <t>CUST0201</t>
  </si>
  <si>
    <t>2024-06-23</t>
  </si>
  <si>
    <t>customer0201@example.com</t>
  </si>
  <si>
    <t>ORD00176</t>
  </si>
  <si>
    <t>0001@</t>
  </si>
  <si>
    <t>ORD00422</t>
  </si>
  <si>
    <t>2024-01-09</t>
  </si>
  <si>
    <t>ORD00350</t>
  </si>
  <si>
    <t>CUST0141</t>
  </si>
  <si>
    <t>2024-09-29</t>
  </si>
  <si>
    <t>customer0141@example.com</t>
  </si>
  <si>
    <t>ORD00145</t>
  </si>
  <si>
    <t>CUST0224</t>
  </si>
  <si>
    <t>2024-05-02</t>
  </si>
  <si>
    <t>customer0224@example.com</t>
  </si>
  <si>
    <t>ORD00381</t>
  </si>
  <si>
    <t>02-21-2023</t>
  </si>
  <si>
    <t>ORD00392</t>
  </si>
  <si>
    <t>2024-05-08</t>
  </si>
  <si>
    <t>ORD00212</t>
  </si>
  <si>
    <t>2023-01-25</t>
  </si>
  <si>
    <t>ORD00322</t>
  </si>
  <si>
    <t>CUST0281</t>
  </si>
  <si>
    <t xml:space="preserve">  USB Cable  </t>
  </si>
  <si>
    <t>customer0281@example.com</t>
  </si>
  <si>
    <t>ORD00495</t>
  </si>
  <si>
    <t>CUST0031</t>
  </si>
  <si>
    <t>customer0031@example.com</t>
  </si>
  <si>
    <t>ORD00375</t>
  </si>
  <si>
    <t>CUST0215</t>
  </si>
  <si>
    <t>2024-01-10</t>
  </si>
  <si>
    <t>customer0215@example.com</t>
  </si>
  <si>
    <t>ORD00142</t>
  </si>
  <si>
    <t>CUST0095</t>
  </si>
  <si>
    <t>2024-01-01</t>
  </si>
  <si>
    <t>customer0095@example.com</t>
  </si>
  <si>
    <t>ORD00377</t>
  </si>
  <si>
    <t>CUST0149</t>
  </si>
  <si>
    <t>2024-01-11</t>
  </si>
  <si>
    <t>customer0149@example.com</t>
  </si>
  <si>
    <t>ORD00068</t>
  </si>
  <si>
    <t>2024-07-14</t>
  </si>
  <si>
    <t>ORD00409</t>
  </si>
  <si>
    <t>CUST0214</t>
  </si>
  <si>
    <t>customer0214example.com</t>
  </si>
  <si>
    <t>ORD00169</t>
  </si>
  <si>
    <t>ORD00434</t>
  </si>
  <si>
    <t>CUST0036</t>
  </si>
  <si>
    <t>2024-01-08</t>
  </si>
  <si>
    <t>customer0036@example.com</t>
  </si>
  <si>
    <t>ORD00229</t>
  </si>
  <si>
    <t>2023-06-20</t>
  </si>
  <si>
    <t>0074@</t>
  </si>
  <si>
    <t>ORD00194</t>
  </si>
  <si>
    <t>CUST0082</t>
  </si>
  <si>
    <t>2023-02-12</t>
  </si>
  <si>
    <t>customer0082@example.com</t>
  </si>
  <si>
    <t>ORD00082</t>
  </si>
  <si>
    <t>2024-02-03</t>
  </si>
  <si>
    <t>ORD00110</t>
  </si>
  <si>
    <t>CUST0165</t>
  </si>
  <si>
    <t>2023-04-12</t>
  </si>
  <si>
    <t>customer0165@example.com</t>
  </si>
  <si>
    <t>ORD00429</t>
  </si>
  <si>
    <t>2023-06-02</t>
  </si>
  <si>
    <t>ORD00146</t>
  </si>
  <si>
    <t>2024-11-29</t>
  </si>
  <si>
    <t>ORD00093</t>
  </si>
  <si>
    <t>2023-07-20</t>
  </si>
  <si>
    <t>ORD00153</t>
  </si>
  <si>
    <t>CUST0188</t>
  </si>
  <si>
    <t>customer0188@example.com</t>
  </si>
  <si>
    <t>ORD00480</t>
  </si>
  <si>
    <t>CUST0152</t>
  </si>
  <si>
    <t>2024-08-09</t>
  </si>
  <si>
    <t>customer0152@example.com</t>
  </si>
  <si>
    <t>ORD00249</t>
  </si>
  <si>
    <t>2024-12-12</t>
  </si>
  <si>
    <t>ORD00084</t>
  </si>
  <si>
    <t>2023-07-15</t>
  </si>
  <si>
    <t>ORD00104</t>
  </si>
  <si>
    <t>CUST0019</t>
  </si>
  <si>
    <t>2024-01-05</t>
  </si>
  <si>
    <t>customer0019@example.com</t>
  </si>
  <si>
    <t>ORD00166</t>
  </si>
  <si>
    <t>CUST0187</t>
  </si>
  <si>
    <t>customer0187example.com</t>
  </si>
  <si>
    <t>ORD00164</t>
  </si>
  <si>
    <t>ORD00200</t>
  </si>
  <si>
    <t>2023-09-24</t>
  </si>
  <si>
    <t>ORD00246</t>
  </si>
  <si>
    <t>2023-01-24</t>
  </si>
  <si>
    <t>customer0214@example.com</t>
  </si>
  <si>
    <t>ORD00075</t>
  </si>
  <si>
    <t>CUST0277</t>
  </si>
  <si>
    <t>2023-10-11</t>
  </si>
  <si>
    <t>customer0277@example.com</t>
  </si>
  <si>
    <t>ORD00317</t>
  </si>
  <si>
    <t>CUST0026</t>
  </si>
  <si>
    <t>2024-05-13</t>
  </si>
  <si>
    <t>customer0026@example.com</t>
  </si>
  <si>
    <t>ORD00230</t>
  </si>
  <si>
    <t>CUST0210</t>
  </si>
  <si>
    <t>2023-09-12</t>
  </si>
  <si>
    <t>customer0210@example.com</t>
  </si>
  <si>
    <t>ORD00485</t>
  </si>
  <si>
    <t>2024-02-07</t>
  </si>
  <si>
    <t>ORD00120</t>
  </si>
  <si>
    <t>CUST0123</t>
  </si>
  <si>
    <t>customer0123@example.com</t>
  </si>
  <si>
    <t>ORD00387</t>
  </si>
  <si>
    <t>ORD00443</t>
  </si>
  <si>
    <t>2023-12-27</t>
  </si>
  <si>
    <t>ORD00262</t>
  </si>
  <si>
    <t>2024-08-22</t>
  </si>
  <si>
    <t>ORD00365</t>
  </si>
  <si>
    <t>ORD00412</t>
  </si>
  <si>
    <t>CUST0167</t>
  </si>
  <si>
    <t>2023-08-13</t>
  </si>
  <si>
    <t>customer0167@example.com</t>
  </si>
  <si>
    <t>ORD00336</t>
  </si>
  <si>
    <t>CUST0052</t>
  </si>
  <si>
    <t>2024-10-16</t>
  </si>
  <si>
    <t>customer0052@example.com</t>
  </si>
  <si>
    <t>ORD00263</t>
  </si>
  <si>
    <t>CUST0271</t>
  </si>
  <si>
    <t>2024-02-19</t>
  </si>
  <si>
    <t>customer0271@example.com</t>
  </si>
  <si>
    <t>ORD00481</t>
  </si>
  <si>
    <t>CUST0084</t>
  </si>
  <si>
    <t>customer0084@example.com</t>
  </si>
  <si>
    <t>ORD00419</t>
  </si>
  <si>
    <t>CUST0194</t>
  </si>
  <si>
    <t>2023-12-13</t>
  </si>
  <si>
    <t>customer0194@example.com</t>
  </si>
  <si>
    <t>ORD00281</t>
  </si>
  <si>
    <t>CUST0266</t>
  </si>
  <si>
    <t>customer0266@example.com</t>
  </si>
  <si>
    <t>ORD00037</t>
  </si>
  <si>
    <t>2024-02-24</t>
  </si>
  <si>
    <t>ORD00197</t>
  </si>
  <si>
    <t>2023-06-26</t>
  </si>
  <si>
    <t>ORD00140</t>
  </si>
  <si>
    <t>CUST0059</t>
  </si>
  <si>
    <t>customer0059@example.com</t>
  </si>
  <si>
    <t>ORD00376</t>
  </si>
  <si>
    <t>CUST0011</t>
  </si>
  <si>
    <t>2023-02-24</t>
  </si>
  <si>
    <t>customer0011@example.com</t>
  </si>
  <si>
    <t>ORD00494</t>
  </si>
  <si>
    <t>2024-06-09</t>
  </si>
  <si>
    <t>ORD00292</t>
  </si>
  <si>
    <t>ORD00362</t>
  </si>
  <si>
    <t>2024-04-03</t>
  </si>
  <si>
    <t>ORD00060</t>
  </si>
  <si>
    <t>CUST0284</t>
  </si>
  <si>
    <t>2023-05-01</t>
  </si>
  <si>
    <t>0284@</t>
  </si>
  <si>
    <t>ORD00473</t>
  </si>
  <si>
    <t>2024-06-13</t>
  </si>
  <si>
    <t>ORD00112</t>
  </si>
  <si>
    <t>2024-10-06</t>
  </si>
  <si>
    <t>customer0119@example.com</t>
  </si>
  <si>
    <t>ORD00090</t>
  </si>
  <si>
    <t>2024-10-21</t>
  </si>
  <si>
    <t>ORD00418</t>
  </si>
  <si>
    <t>CUST0073</t>
  </si>
  <si>
    <t>2023-01-27</t>
  </si>
  <si>
    <t>customer0073@example.com</t>
  </si>
  <si>
    <t>ORD00007</t>
  </si>
  <si>
    <t>ORD00372</t>
  </si>
  <si>
    <t>CUST0023</t>
  </si>
  <si>
    <t>2023-01-16</t>
  </si>
  <si>
    <t>customer0023example.com</t>
  </si>
  <si>
    <t>ORD00355</t>
  </si>
  <si>
    <t>CUST0263</t>
  </si>
  <si>
    <t>customer0263@example.com</t>
  </si>
  <si>
    <t>ORD00347</t>
  </si>
  <si>
    <t>2023-02-23</t>
  </si>
  <si>
    <t>ORD00159</t>
  </si>
  <si>
    <t>CUST0127</t>
  </si>
  <si>
    <t>customer0127@example.com</t>
  </si>
  <si>
    <t>ORD00151</t>
  </si>
  <si>
    <t>CUST0283</t>
  </si>
  <si>
    <t>laptop</t>
  </si>
  <si>
    <t>customer0283@example.com</t>
  </si>
  <si>
    <t>ORD00393</t>
  </si>
  <si>
    <t>CUST0267</t>
  </si>
  <si>
    <t>2024-01-30</t>
  </si>
  <si>
    <t>customer0267@example.com</t>
  </si>
  <si>
    <t>ORD00039</t>
  </si>
  <si>
    <t>2024-02-28</t>
  </si>
  <si>
    <t>ORD00323</t>
  </si>
  <si>
    <t>2023-02-03</t>
  </si>
  <si>
    <t>customer0217@example.com</t>
  </si>
  <si>
    <t>ORD00199</t>
  </si>
  <si>
    <t>2023-12-05</t>
  </si>
  <si>
    <t>ORD00450</t>
  </si>
  <si>
    <t>2023-02-01</t>
  </si>
  <si>
    <t>ORD00147</t>
  </si>
  <si>
    <t>CUST0111</t>
  </si>
  <si>
    <t>customer0111example.com</t>
  </si>
  <si>
    <t>ORD00405</t>
  </si>
  <si>
    <t>CUST0146</t>
  </si>
  <si>
    <t>2024-04-22</t>
  </si>
  <si>
    <t>customer0146@example.com</t>
  </si>
  <si>
    <t>ORD00148</t>
  </si>
  <si>
    <t>2024-11-24</t>
  </si>
  <si>
    <t>ORD00315</t>
  </si>
  <si>
    <t>ORD00490</t>
  </si>
  <si>
    <t>2024-11-15</t>
  </si>
  <si>
    <t>ORD00124</t>
  </si>
  <si>
    <t>2024-08-05</t>
  </si>
  <si>
    <t>ORD00403</t>
  </si>
  <si>
    <t>CUST0234</t>
  </si>
  <si>
    <t>2024-02-09</t>
  </si>
  <si>
    <t>customer0234@example.com</t>
  </si>
  <si>
    <t>ORD00097</t>
  </si>
  <si>
    <t>2023-03-25</t>
  </si>
  <si>
    <t>ORD00144</t>
  </si>
  <si>
    <t>ORD00240</t>
  </si>
  <si>
    <t>CUST0060</t>
  </si>
  <si>
    <t>2023-11-07</t>
  </si>
  <si>
    <t>customer0060@example.com</t>
  </si>
  <si>
    <t>ORD00407</t>
  </si>
  <si>
    <t>2024-11-13</t>
  </si>
  <si>
    <t>ORD00098</t>
  </si>
  <si>
    <t>CUST0122</t>
  </si>
  <si>
    <t>customer0122@example.com</t>
  </si>
  <si>
    <t>ORD00361</t>
  </si>
  <si>
    <t>CUST0120</t>
  </si>
  <si>
    <t>customer0120@example.com</t>
  </si>
  <si>
    <t>ORD00123</t>
  </si>
  <si>
    <t>2023-07-16</t>
  </si>
  <si>
    <t>ORD00184</t>
  </si>
  <si>
    <t>CUST0216</t>
  </si>
  <si>
    <t>customer0216@example.com</t>
  </si>
  <si>
    <t>ORD00203</t>
  </si>
  <si>
    <t>CUST0232</t>
  </si>
  <si>
    <t>customer0232@example.com</t>
  </si>
  <si>
    <t>ORD00247</t>
  </si>
  <si>
    <t>2023-04-02</t>
  </si>
  <si>
    <t>ORD00483</t>
  </si>
  <si>
    <t>2023-05-18</t>
  </si>
  <si>
    <t>ORD00306</t>
  </si>
  <si>
    <t>2024-08-10</t>
  </si>
  <si>
    <t>ORD00308</t>
  </si>
  <si>
    <t>CUST0159</t>
  </si>
  <si>
    <t>2023-12-14</t>
  </si>
  <si>
    <t>customer0159@example.com</t>
  </si>
  <si>
    <t>ORD00408</t>
  </si>
  <si>
    <t>CUST0040</t>
  </si>
  <si>
    <t>2023-10-30</t>
  </si>
  <si>
    <t>customer0040@example.com</t>
  </si>
  <si>
    <t>ORD00291</t>
  </si>
  <si>
    <t>CUST0168</t>
  </si>
  <si>
    <t>2023-06-15</t>
  </si>
  <si>
    <t>customer0168@example.com</t>
  </si>
  <si>
    <t>ORD00126</t>
  </si>
  <si>
    <t>ORD00311</t>
  </si>
  <si>
    <t>2024-09-10</t>
  </si>
  <si>
    <t>ORD00224</t>
  </si>
  <si>
    <t>2024-05-16</t>
  </si>
  <si>
    <t>ORD00441</t>
  </si>
  <si>
    <t>ORD00220</t>
  </si>
  <si>
    <t>CUST0274</t>
  </si>
  <si>
    <t>webcam</t>
  </si>
  <si>
    <t>customer0274@example.com</t>
  </si>
  <si>
    <t>ORD00130</t>
  </si>
  <si>
    <t>CUST0261</t>
  </si>
  <si>
    <t>customer0261@example.com</t>
  </si>
  <si>
    <t>ORD00433</t>
  </si>
  <si>
    <t>2023-09-28</t>
  </si>
  <si>
    <t>ORD00491</t>
  </si>
  <si>
    <t>CUST0156</t>
  </si>
  <si>
    <t>customer0156@example.com</t>
  </si>
  <si>
    <t>ORD00337</t>
  </si>
  <si>
    <t>2024-12-07</t>
  </si>
  <si>
    <t>ORD00389</t>
  </si>
  <si>
    <t>2024-08-18</t>
  </si>
  <si>
    <t>ORD00298</t>
  </si>
  <si>
    <t>2024-04-30</t>
  </si>
  <si>
    <t>ORD00366</t>
  </si>
  <si>
    <t>2024-03-18</t>
  </si>
  <si>
    <t>ORD00302</t>
  </si>
  <si>
    <t>2024-09-03</t>
  </si>
  <si>
    <t>ORD00295</t>
  </si>
  <si>
    <t>CUST0161</t>
  </si>
  <si>
    <t>2023-11-21</t>
  </si>
  <si>
    <t xml:space="preserve">  Webcam  </t>
  </si>
  <si>
    <t>customer0161@example.com</t>
  </si>
  <si>
    <t>ORD00349</t>
  </si>
  <si>
    <t>2024-07-24</t>
  </si>
  <si>
    <t>ORD00113</t>
  </si>
  <si>
    <t>ORD00180</t>
  </si>
  <si>
    <t>2024-09-20</t>
  </si>
  <si>
    <t>ORD00453</t>
  </si>
  <si>
    <t>2024-11-09</t>
  </si>
  <si>
    <t>ORD00348</t>
  </si>
  <si>
    <t xml:space="preserve">  Laptop  </t>
  </si>
  <si>
    <t>ORD00339</t>
  </si>
  <si>
    <t>2023-03-30</t>
  </si>
  <si>
    <t>ORD00498</t>
  </si>
  <si>
    <t>2023-08-05</t>
  </si>
  <si>
    <t>ORD00371</t>
  </si>
  <si>
    <t>2024-01-17</t>
  </si>
  <si>
    <t>ORD00234</t>
  </si>
  <si>
    <t>2023-02-19</t>
  </si>
  <si>
    <t>ORD00461</t>
  </si>
  <si>
    <t>11-25-2023</t>
  </si>
  <si>
    <t>ORD00463</t>
  </si>
  <si>
    <t>CUST0145</t>
  </si>
  <si>
    <t>2024-09-05</t>
  </si>
  <si>
    <t>customer0145@example.com</t>
  </si>
  <si>
    <t>ORD00165</t>
  </si>
  <si>
    <t>2024-07-22</t>
  </si>
  <si>
    <t>ORD00137</t>
  </si>
  <si>
    <t>2024-11-07</t>
  </si>
  <si>
    <t>ORD00198</t>
  </si>
  <si>
    <t>2024-07-28</t>
  </si>
  <si>
    <t>ORD00259</t>
  </si>
  <si>
    <t>2024-06-21</t>
  </si>
  <si>
    <t>0061@</t>
  </si>
  <si>
    <t>ORD00233</t>
  </si>
  <si>
    <t>2024-11-30</t>
  </si>
  <si>
    <t>ORD00116</t>
  </si>
  <si>
    <t>CUST0241</t>
  </si>
  <si>
    <t>2024-02-08</t>
  </si>
  <si>
    <t>customer0241@example.com</t>
  </si>
  <si>
    <t>ORD00121</t>
  </si>
  <si>
    <t>ORD00370</t>
  </si>
  <si>
    <t>CUST0003</t>
  </si>
  <si>
    <t>customer0003@example.com</t>
  </si>
  <si>
    <t>ORD00225</t>
  </si>
  <si>
    <t>CUST0129</t>
  </si>
  <si>
    <t>2024-08-21</t>
  </si>
  <si>
    <t>customer0129@example.com</t>
  </si>
  <si>
    <t>ORD00415</t>
  </si>
  <si>
    <t>ORD00356</t>
  </si>
  <si>
    <t>2024-09-22</t>
  </si>
  <si>
    <t>ORD00128</t>
  </si>
  <si>
    <t>ORD00286</t>
  </si>
  <si>
    <t>2024-03-17</t>
  </si>
  <si>
    <t>ORD00424</t>
  </si>
  <si>
    <t>ORD00108</t>
  </si>
  <si>
    <t>2023-01-23</t>
  </si>
  <si>
    <t>ORD00382</t>
  </si>
  <si>
    <t>2023-05-24</t>
  </si>
  <si>
    <t>ORD00334</t>
  </si>
  <si>
    <t>2024-04-21</t>
  </si>
  <si>
    <t>ORD00134</t>
  </si>
  <si>
    <t>ORD00045</t>
  </si>
  <si>
    <t>2023-02-16</t>
  </si>
  <si>
    <t>ORD00477</t>
  </si>
  <si>
    <t>2024-01-21</t>
  </si>
  <si>
    <t>ORD00066</t>
  </si>
  <si>
    <t>CUST0118</t>
  </si>
  <si>
    <t>2023-10-04</t>
  </si>
  <si>
    <t>0118@</t>
  </si>
  <si>
    <t>ORD00284</t>
  </si>
  <si>
    <t>2023-05-03</t>
  </si>
  <si>
    <t>ORD00086</t>
  </si>
  <si>
    <t>CUST0032</t>
  </si>
  <si>
    <t>2024-01-26</t>
  </si>
  <si>
    <t>customer0032@example.com</t>
  </si>
  <si>
    <t>ORD00243</t>
  </si>
  <si>
    <t>2023-03-27</t>
  </si>
  <si>
    <t>ORD00187</t>
  </si>
  <si>
    <t>2024-08-13</t>
  </si>
  <si>
    <t>customer0264@example.com</t>
  </si>
  <si>
    <t>ORD00396</t>
  </si>
  <si>
    <t>ORD00160</t>
  </si>
  <si>
    <t>CUST0130</t>
  </si>
  <si>
    <t>2024-04-18</t>
  </si>
  <si>
    <t>customer0130@example.com</t>
  </si>
  <si>
    <t>ORD00013</t>
  </si>
  <si>
    <t>2023-06-04</t>
  </si>
  <si>
    <t>ORD00036</t>
  </si>
  <si>
    <t>2023-12-12</t>
  </si>
  <si>
    <t>ORD00029</t>
  </si>
  <si>
    <t>ORD00171</t>
  </si>
  <si>
    <t>2023-12-24</t>
  </si>
  <si>
    <t>ORD00143</t>
  </si>
  <si>
    <t>ORD00411</t>
  </si>
  <si>
    <t>ORD00437</t>
  </si>
  <si>
    <t>2023-07-21</t>
  </si>
  <si>
    <t>ORD00222</t>
  </si>
  <si>
    <t>2023-10-08</t>
  </si>
  <si>
    <t>ORD00096</t>
  </si>
  <si>
    <t>2023-12-09</t>
  </si>
  <si>
    <t>ORD00052</t>
  </si>
  <si>
    <t>2023-01-22</t>
  </si>
  <si>
    <t>ORD00241</t>
  </si>
  <si>
    <t>CUST0034</t>
  </si>
  <si>
    <t>customer0034example.com</t>
  </si>
  <si>
    <t>ORD00384</t>
  </si>
  <si>
    <t>CUST0109</t>
  </si>
  <si>
    <t>customer0109@example.com</t>
  </si>
  <si>
    <t>ORD00352</t>
  </si>
  <si>
    <t>CUST0280</t>
  </si>
  <si>
    <t>2023-09-20</t>
  </si>
  <si>
    <t>customer0280@example.com</t>
  </si>
  <si>
    <t>ORD00391</t>
  </si>
  <si>
    <t>07/05/2024</t>
  </si>
  <si>
    <t>ORD00179</t>
  </si>
  <si>
    <t>2024-10-07</t>
  </si>
  <si>
    <t>ORD00042</t>
  </si>
  <si>
    <t>CUST0098</t>
  </si>
  <si>
    <t>2024-12-27</t>
  </si>
  <si>
    <t>customer0098@example.com</t>
  </si>
  <si>
    <t>ORD00449</t>
  </si>
  <si>
    <t>CUST0071</t>
  </si>
  <si>
    <t>2023-06-05</t>
  </si>
  <si>
    <t>customer0071@example.com</t>
  </si>
  <si>
    <t>ORD00400</t>
  </si>
  <si>
    <t>CUST0275</t>
  </si>
  <si>
    <t>2024-06-18</t>
  </si>
  <si>
    <t>customer0275@example.com</t>
  </si>
  <si>
    <t>ORD00207</t>
  </si>
  <si>
    <t>ORD00283</t>
  </si>
  <si>
    <t>CUST0147</t>
  </si>
  <si>
    <t>2023-04-17</t>
  </si>
  <si>
    <t>customer0147@example.com</t>
  </si>
  <si>
    <t>ORD00359</t>
  </si>
  <si>
    <t>CUST0138</t>
  </si>
  <si>
    <t>2023-06-23</t>
  </si>
  <si>
    <t>customer0138@example.com</t>
  </si>
  <si>
    <t>ORD00255</t>
  </si>
  <si>
    <t>ORD00425</t>
  </si>
  <si>
    <t>ORD00005</t>
  </si>
  <si>
    <t>ORD00257</t>
  </si>
  <si>
    <t>2023-11-19</t>
  </si>
  <si>
    <t>0040@</t>
  </si>
  <si>
    <t>ORD00462</t>
  </si>
  <si>
    <t>2024-12-17</t>
  </si>
  <si>
    <t>ORD00101</t>
  </si>
  <si>
    <t>ORD00227</t>
  </si>
  <si>
    <t>CUST0132</t>
  </si>
  <si>
    <t>2023-10-03</t>
  </si>
  <si>
    <t>customer0132@example.com</t>
  </si>
  <si>
    <t>ORD00440</t>
  </si>
  <si>
    <t>CUST0205</t>
  </si>
  <si>
    <t>customer0205@example.com</t>
  </si>
  <si>
    <t>ORD00214</t>
  </si>
  <si>
    <t>CUST0203</t>
  </si>
  <si>
    <t>2024-09-02</t>
  </si>
  <si>
    <t>customer0203@example.com</t>
  </si>
  <si>
    <t>ORD00435</t>
  </si>
  <si>
    <t>CUST0289</t>
  </si>
  <si>
    <t>2023-05-20</t>
  </si>
  <si>
    <t>customer0289@example.com</t>
  </si>
  <si>
    <t>ORD00172</t>
  </si>
  <si>
    <t>2024-06-03</t>
  </si>
  <si>
    <t>ORD00099</t>
  </si>
  <si>
    <t>ORD00293</t>
  </si>
  <si>
    <t>CUST0171</t>
  </si>
  <si>
    <t>2023-03-08</t>
  </si>
  <si>
    <t>customer0171example.com</t>
  </si>
  <si>
    <t>ORD00216</t>
  </si>
  <si>
    <t>ORD00062</t>
  </si>
  <si>
    <t>ORD00048</t>
  </si>
  <si>
    <t>CUST0226</t>
  </si>
  <si>
    <t>customer0226@example.com</t>
  </si>
  <si>
    <t>ORD00033</t>
  </si>
  <si>
    <t>ORD00268</t>
  </si>
  <si>
    <t>ORD00328</t>
  </si>
  <si>
    <t>CUST0057</t>
  </si>
  <si>
    <t>customer0057@example.com</t>
  </si>
  <si>
    <t>ORD00201</t>
  </si>
  <si>
    <t>customer0267example.com</t>
  </si>
  <si>
    <t>ORD00484</t>
  </si>
  <si>
    <t>CUST0262</t>
  </si>
  <si>
    <t>2024-12-28</t>
  </si>
  <si>
    <t>customer0262example.com</t>
  </si>
  <si>
    <t>ORD00028</t>
  </si>
  <si>
    <t>ORD00426</t>
  </si>
  <si>
    <t>CUST0083</t>
  </si>
  <si>
    <t>2024-09-12</t>
  </si>
  <si>
    <t>customer0083@example.com</t>
  </si>
  <si>
    <t>ORD00231</t>
  </si>
  <si>
    <t>CUST0300</t>
  </si>
  <si>
    <t>2024-11-05</t>
  </si>
  <si>
    <t xml:space="preserve">  usb cable  </t>
  </si>
  <si>
    <t>customer0300@example.com</t>
  </si>
  <si>
    <t>ORD00261</t>
  </si>
  <si>
    <t>05-21-2023</t>
  </si>
  <si>
    <t>ORD00379</t>
  </si>
  <si>
    <t>CUST0053</t>
  </si>
  <si>
    <t>2023-12-19</t>
  </si>
  <si>
    <t>customer0053@example.com</t>
  </si>
  <si>
    <t>ORD00289</t>
  </si>
  <si>
    <t>2024-09-28</t>
  </si>
  <si>
    <t>ORD00163</t>
  </si>
  <si>
    <t>CUST0107</t>
  </si>
  <si>
    <t>2023-03-29</t>
  </si>
  <si>
    <t>customer0107@example.com</t>
  </si>
  <si>
    <t>ORD00438</t>
  </si>
  <si>
    <t>2024-02-25</t>
  </si>
  <si>
    <t>ORD00139</t>
  </si>
  <si>
    <t>2024-01-18</t>
  </si>
  <si>
    <t>ORD00063</t>
  </si>
  <si>
    <t>2024-02-01</t>
  </si>
  <si>
    <t>ORD00136</t>
  </si>
  <si>
    <t>2023-06-27</t>
  </si>
  <si>
    <t>ORD00129</t>
  </si>
  <si>
    <t>ORD00493</t>
  </si>
  <si>
    <t>CUST0246</t>
  </si>
  <si>
    <t>customer0246@example.com</t>
  </si>
  <si>
    <t>ORD00009</t>
  </si>
  <si>
    <t>2024-12-11</t>
  </si>
  <si>
    <t>ORD00327</t>
  </si>
  <si>
    <t>CUST0154</t>
  </si>
  <si>
    <t>customer0154@example.com</t>
  </si>
  <si>
    <t>ORD00479</t>
  </si>
  <si>
    <t>2023-10-05</t>
  </si>
  <si>
    <t>ORD00065</t>
  </si>
  <si>
    <t>2024-10-30</t>
  </si>
  <si>
    <t>customer0027example.com</t>
  </si>
  <si>
    <t>ORD00301</t>
  </si>
  <si>
    <t>CUST0050</t>
  </si>
  <si>
    <t>customer0050@example.com</t>
  </si>
  <si>
    <t>ORD00015</t>
  </si>
  <si>
    <t>2024-09-27</t>
  </si>
  <si>
    <t>ORD00157</t>
  </si>
  <si>
    <t>ORD00041</t>
  </si>
  <si>
    <t>ORD00380</t>
  </si>
  <si>
    <t>ORD00474</t>
  </si>
  <si>
    <t>ORD00416</t>
  </si>
  <si>
    <t>CUST0018</t>
  </si>
  <si>
    <t>2023-12-11</t>
  </si>
  <si>
    <t>customer0018@example.com</t>
  </si>
  <si>
    <t>ORD00217</t>
  </si>
  <si>
    <t>CUST0004</t>
  </si>
  <si>
    <t>ORD00280</t>
  </si>
  <si>
    <t>2023-07-11</t>
  </si>
  <si>
    <t>ORD00448</t>
  </si>
  <si>
    <t>ORD00487</t>
  </si>
  <si>
    <t>2023-03-03</t>
  </si>
  <si>
    <t>ORD00338</t>
  </si>
  <si>
    <t>CUST0282</t>
  </si>
  <si>
    <t>customer0282@example.com</t>
  </si>
  <si>
    <t>ORD00237</t>
  </si>
  <si>
    <t>CUST0017</t>
  </si>
  <si>
    <t>2024-09-30</t>
  </si>
  <si>
    <t>ORD00208</t>
  </si>
  <si>
    <t>2024-09-19</t>
  </si>
  <si>
    <t>CANCELLED</t>
  </si>
  <si>
    <t>ORD00213</t>
  </si>
  <si>
    <t>customer0118@example.com</t>
  </si>
  <si>
    <t>ORD00296</t>
  </si>
  <si>
    <t>2023-11-08</t>
  </si>
  <si>
    <t>ORD00471</t>
  </si>
  <si>
    <t>2024-12-02</t>
  </si>
  <si>
    <t>customer0296@example.com</t>
  </si>
  <si>
    <t>ORD00252</t>
  </si>
  <si>
    <t>CUST0007</t>
  </si>
  <si>
    <t>2024-10-01</t>
  </si>
  <si>
    <t>customer0007@example.com</t>
  </si>
  <si>
    <t>ORD00472</t>
  </si>
  <si>
    <t>customer0116example.com</t>
  </si>
  <si>
    <t>ORD00304</t>
  </si>
  <si>
    <t>2024-12-20</t>
  </si>
  <si>
    <t>ORD00351</t>
  </si>
  <si>
    <t>ORD00270</t>
  </si>
  <si>
    <t>CUST0265</t>
  </si>
  <si>
    <t>customer0265@example.com</t>
  </si>
  <si>
    <t>ORD00202</t>
  </si>
  <si>
    <t>2023-02-20</t>
  </si>
  <si>
    <t>ORD00162</t>
  </si>
  <si>
    <t>2024-01-23</t>
  </si>
  <si>
    <t>ORD00044</t>
  </si>
  <si>
    <t>2023-02-11</t>
  </si>
  <si>
    <t>ORD00218</t>
  </si>
  <si>
    <t>2023-03-07</t>
  </si>
  <si>
    <t>ORD00402</t>
  </si>
  <si>
    <t>2023-09-02</t>
  </si>
  <si>
    <t>ORD00191</t>
  </si>
  <si>
    <t>CUST0062</t>
  </si>
  <si>
    <t>customer0062@example.com</t>
  </si>
  <si>
    <t>ORD00310</t>
  </si>
  <si>
    <t>2024-08-14</t>
  </si>
  <si>
    <t>ORD00260</t>
  </si>
  <si>
    <t>2024-08-20</t>
  </si>
  <si>
    <t>ORD00106</t>
  </si>
  <si>
    <t>2023-12-03</t>
  </si>
  <si>
    <t>ORD00054</t>
  </si>
  <si>
    <t>ORD00390</t>
  </si>
  <si>
    <t>CUST0218</t>
  </si>
  <si>
    <t>customer0218@example.com</t>
  </si>
  <si>
    <t>ORD00002</t>
  </si>
  <si>
    <t>ORD00455</t>
  </si>
  <si>
    <t>ORD00499</t>
  </si>
  <si>
    <t>2023-08-22</t>
  </si>
  <si>
    <t>ORD00050</t>
  </si>
  <si>
    <t>east</t>
  </si>
  <si>
    <t>ORD00420</t>
  </si>
  <si>
    <t>2023-03-23</t>
  </si>
  <si>
    <t>ORD00081</t>
  </si>
  <si>
    <t>ORD00206</t>
  </si>
  <si>
    <t>CUST0189</t>
  </si>
  <si>
    <t>customer0189@example.com</t>
  </si>
  <si>
    <t>ORD00035</t>
  </si>
  <si>
    <t>ORD00431</t>
  </si>
  <si>
    <t>2024-01-22</t>
  </si>
  <si>
    <t>ORD00264</t>
  </si>
  <si>
    <t>ORD00428</t>
  </si>
  <si>
    <t>2024-01-06</t>
  </si>
  <si>
    <t>ORD00367</t>
  </si>
  <si>
    <t>ORD00092</t>
  </si>
  <si>
    <t>ORD00340</t>
  </si>
  <si>
    <t>ORD00489</t>
  </si>
  <si>
    <t>ORD00053</t>
  </si>
  <si>
    <t>ORD00346</t>
  </si>
  <si>
    <t>2023-07-29</t>
  </si>
  <si>
    <t>customer0111@example.com</t>
  </si>
  <si>
    <t>ORD00265</t>
  </si>
  <si>
    <t>customer0288example.com</t>
  </si>
  <si>
    <t>ORD00242</t>
  </si>
  <si>
    <t>2023-04-13</t>
  </si>
  <si>
    <t>ORD00014</t>
  </si>
  <si>
    <t>ORD00316</t>
  </si>
  <si>
    <t>2024-05-06</t>
  </si>
  <si>
    <t>ORD00089</t>
  </si>
  <si>
    <t>CUST0213</t>
  </si>
  <si>
    <t>customer0213@example.com</t>
  </si>
  <si>
    <t>ORD00388</t>
  </si>
  <si>
    <t>customer0034@example.com</t>
  </si>
  <si>
    <t>ORD00274</t>
  </si>
  <si>
    <t>CUST0139</t>
  </si>
  <si>
    <t>2023-07-24</t>
  </si>
  <si>
    <t>customer0139@example.com</t>
  </si>
  <si>
    <t>ORD00167</t>
  </si>
  <si>
    <t>2023-09-08</t>
  </si>
  <si>
    <t>ORD00329</t>
  </si>
  <si>
    <t>2024-04-26</t>
  </si>
  <si>
    <t>ORD00135</t>
  </si>
  <si>
    <t>2024-12-04</t>
  </si>
  <si>
    <t>ORD00307</t>
  </si>
  <si>
    <t>ORD00497</t>
  </si>
  <si>
    <t>customer0004@example.com</t>
  </si>
  <si>
    <t>ORD00320</t>
  </si>
  <si>
    <t>ORD00244</t>
  </si>
  <si>
    <t>2023-04-28</t>
  </si>
  <si>
    <t>ORD00055</t>
  </si>
  <si>
    <t>2024-06-27</t>
  </si>
  <si>
    <t>ORD00364</t>
  </si>
  <si>
    <t>ORD00051</t>
  </si>
  <si>
    <t>CUST0258</t>
  </si>
  <si>
    <t>customer0258@example.com</t>
  </si>
  <si>
    <t>ORD00470</t>
  </si>
  <si>
    <t>2023-05-14</t>
  </si>
  <si>
    <t>ORD00175</t>
  </si>
  <si>
    <t>CUST0251</t>
  </si>
  <si>
    <t>customer0251@example.com</t>
  </si>
  <si>
    <t>ORD00446</t>
  </si>
  <si>
    <t>2024-07-05</t>
  </si>
  <si>
    <t>ORD00190</t>
  </si>
  <si>
    <t>2024-12-08</t>
  </si>
  <si>
    <t>ORD00464</t>
  </si>
  <si>
    <t>ORD00188</t>
  </si>
  <si>
    <t>ORD00170</t>
  </si>
  <si>
    <t>CUST0088</t>
  </si>
  <si>
    <t>customer0088@example.com</t>
  </si>
  <si>
    <t>ORD00059</t>
  </si>
  <si>
    <t>2023-01-14</t>
  </si>
  <si>
    <t>ORD00475</t>
  </si>
  <si>
    <t>2023-10-10</t>
  </si>
  <si>
    <t xml:space="preserve">  Laptop Stand  </t>
  </si>
  <si>
    <t>ORD00049</t>
  </si>
  <si>
    <t>ORD00345</t>
  </si>
  <si>
    <t>2024-07-19</t>
  </si>
  <si>
    <t>0059@</t>
  </si>
  <si>
    <t>ORD00236</t>
  </si>
  <si>
    <t>CUST0299</t>
  </si>
  <si>
    <t>customer0299@example.com</t>
  </si>
  <si>
    <t>ORD00253</t>
  </si>
  <si>
    <t>2023-01-31</t>
  </si>
  <si>
    <t>ORD00022</t>
  </si>
  <si>
    <t>ORD00314</t>
  </si>
  <si>
    <t>2024-08-27</t>
  </si>
  <si>
    <t>ORD00460</t>
  </si>
  <si>
    <t>ORD00161</t>
  </si>
  <si>
    <t>ORD00277</t>
  </si>
  <si>
    <t>CUST0133</t>
  </si>
  <si>
    <t>customer0133@example.com</t>
  </si>
  <si>
    <t>ORD00444</t>
  </si>
  <si>
    <t>ORD00192</t>
  </si>
  <si>
    <t>customer0016@example.com</t>
  </si>
  <si>
    <t>ORD00386</t>
  </si>
  <si>
    <t>CUST0079</t>
  </si>
  <si>
    <t>customer0079@example.com</t>
  </si>
  <si>
    <t>ORD00294</t>
  </si>
  <si>
    <t>ORD00414</t>
  </si>
  <si>
    <t>CUST0191</t>
  </si>
  <si>
    <t>2023-03-20</t>
  </si>
  <si>
    <t>customer0191@example.com</t>
  </si>
  <si>
    <t>ORD00492</t>
  </si>
  <si>
    <t>2023-06-19</t>
  </si>
  <si>
    <t>ORD00344</t>
  </si>
  <si>
    <t>ORD00258</t>
  </si>
  <si>
    <t>CUST0012</t>
  </si>
  <si>
    <t>2023-02-04</t>
  </si>
  <si>
    <t>customer0012@example.com</t>
  </si>
  <si>
    <t>ORD00309</t>
  </si>
  <si>
    <t>ORD00150</t>
  </si>
  <si>
    <t>2024-11-26</t>
  </si>
  <si>
    <t>ORD00131</t>
  </si>
  <si>
    <t>2024-12-13</t>
  </si>
  <si>
    <t>ORD00152</t>
  </si>
  <si>
    <t>2023-03-11</t>
  </si>
  <si>
    <t>ORD00360</t>
  </si>
  <si>
    <t>ORD00100</t>
  </si>
  <si>
    <t>2023-05-05</t>
  </si>
  <si>
    <t>ORD00373</t>
  </si>
  <si>
    <t>2023-10-28</t>
  </si>
  <si>
    <t>ORD00088</t>
  </si>
  <si>
    <t>2024-06-07</t>
  </si>
  <si>
    <t>ORD00459</t>
  </si>
  <si>
    <t>2023-10-02</t>
  </si>
  <si>
    <t>ORD00331</t>
  </si>
  <si>
    <t>CUST0252</t>
  </si>
  <si>
    <t>08/01/2023</t>
  </si>
  <si>
    <t>customer0252@example.com</t>
  </si>
  <si>
    <t>ORD00215</t>
  </si>
  <si>
    <t>customer0038example.com</t>
  </si>
  <si>
    <t>ORD00467</t>
  </si>
  <si>
    <t>customer0187@example.com</t>
  </si>
  <si>
    <t>ORD00122</t>
  </si>
  <si>
    <t>ORD00021</t>
  </si>
  <si>
    <t>07-13-2023</t>
  </si>
  <si>
    <t>ORD00189</t>
  </si>
  <si>
    <t>ORD00072</t>
  </si>
  <si>
    <t>ORD00107</t>
  </si>
  <si>
    <t>ORD00271</t>
  </si>
  <si>
    <t>01/11/2024</t>
  </si>
  <si>
    <t>ORD00436</t>
  </si>
  <si>
    <t>2024-12-30</t>
  </si>
  <si>
    <t>ORD00103</t>
  </si>
  <si>
    <t>2023-12-31</t>
  </si>
  <si>
    <t>Usb Cable</t>
  </si>
  <si>
    <t>Products</t>
  </si>
  <si>
    <t>Order Type</t>
  </si>
  <si>
    <t>CUST9999</t>
  </si>
  <si>
    <t>Unkown Customer Revenue</t>
  </si>
  <si>
    <t>Percentage of Unknown Orders</t>
  </si>
  <si>
    <t>Total Orders</t>
  </si>
  <si>
    <t>Total Revenue</t>
  </si>
  <si>
    <t>Average Order Value</t>
  </si>
  <si>
    <t>Unique Customers</t>
  </si>
  <si>
    <t>Row Labels</t>
  </si>
  <si>
    <t>Grand Total</t>
  </si>
  <si>
    <t>Sum of Revenue</t>
  </si>
  <si>
    <t>Revenue for Category</t>
  </si>
  <si>
    <t>Revenue by Region</t>
  </si>
  <si>
    <t>Revenue by Status</t>
  </si>
  <si>
    <t>Orders By Month</t>
  </si>
  <si>
    <t>&lt;1/8/2023</t>
  </si>
  <si>
    <t>2023</t>
  </si>
  <si>
    <t>2024</t>
  </si>
  <si>
    <t>Analysis</t>
  </si>
  <si>
    <t>Revenue by Products</t>
  </si>
  <si>
    <t>Top Customer Analysis</t>
  </si>
  <si>
    <t>E-Commerce Sales Dashboard</t>
  </si>
  <si>
    <t>January 2023 - December 2024</t>
  </si>
  <si>
    <t>TOTAL REVENUE</t>
  </si>
  <si>
    <t>TOTAL ORDERS</t>
  </si>
  <si>
    <t>AVERAGE ORDER VALUE</t>
  </si>
  <si>
    <t>UNIQUE CUSTOMERS</t>
  </si>
  <si>
    <t>DATA QUALITY ASSESSMENT AND CLEARNING REPORT</t>
  </si>
  <si>
    <t xml:space="preserve"> Project Overview
 This report documents all data quality issues identified in the 
    e-commerce dataset and the cleaning decisions made to prepare 
    the data for analysis.
 Original Dataset
515 records (including duplicates)
Final Clean Dataset  
  501 records after cleaning
 12 Columns after cleaning
Data Quality Issues Found
7 major categories of issues (detailed below)
</t>
  </si>
  <si>
    <r>
      <rPr>
        <b/>
        <sz val="11"/>
        <color theme="1"/>
        <rFont val="Calibri"/>
        <family val="2"/>
        <scheme val="minor"/>
      </rPr>
      <t>2) Issue Category</t>
    </r>
    <r>
      <rPr>
        <sz val="11"/>
        <color theme="1"/>
        <rFont val="Calibri"/>
        <family val="2"/>
        <scheme val="minor"/>
      </rPr>
      <t xml:space="preserve">
MISSING CUSTOMER IDs
</t>
    </r>
    <r>
      <rPr>
        <b/>
        <sz val="11"/>
        <color theme="1"/>
        <rFont val="Calibri"/>
        <family val="2"/>
        <scheme val="minor"/>
      </rPr>
      <t>Description</t>
    </r>
    <r>
      <rPr>
        <sz val="11"/>
        <color theme="1"/>
        <rFont val="Calibri"/>
        <family val="2"/>
        <scheme val="minor"/>
      </rPr>
      <t xml:space="preserve">
Customer ID field contained NULL values and empty strings
</t>
    </r>
    <r>
      <rPr>
        <b/>
        <sz val="11"/>
        <color theme="1"/>
        <rFont val="Calibri"/>
        <family val="2"/>
        <scheme val="minor"/>
      </rPr>
      <t xml:space="preserve"> Count Found</t>
    </r>
    <r>
      <rPr>
        <sz val="11"/>
        <color theme="1"/>
        <rFont val="Calibri"/>
        <family val="2"/>
        <scheme val="minor"/>
      </rPr>
      <t xml:space="preserve">
30 records 
</t>
    </r>
    <r>
      <rPr>
        <b/>
        <sz val="11"/>
        <color theme="1"/>
        <rFont val="Calibri"/>
        <family val="2"/>
        <scheme val="minor"/>
      </rPr>
      <t>Resolution</t>
    </r>
    <r>
      <rPr>
        <sz val="11"/>
        <color theme="1"/>
        <rFont val="Calibri"/>
        <family val="2"/>
        <scheme val="minor"/>
      </rPr>
      <t xml:space="preserve">
 Assigned placeholder value "CUST9999" (Unknown Customer) 
     to all missing IDs
</t>
    </r>
    <r>
      <rPr>
        <b/>
        <sz val="11"/>
        <color theme="1"/>
        <rFont val="Calibri"/>
        <family val="2"/>
        <scheme val="minor"/>
      </rPr>
      <t>Impact</t>
    </r>
    <r>
      <rPr>
        <sz val="11"/>
        <color theme="1"/>
        <rFont val="Calibri"/>
        <family val="2"/>
        <scheme val="minor"/>
      </rPr>
      <t xml:space="preserve">
Preserved order-level data for product and revenue analysis.
     Can track "Unknown Customer" segment separately.
     Recommendation: Implement mandatory customer capture.</t>
    </r>
  </si>
  <si>
    <r>
      <rPr>
        <b/>
        <sz val="11"/>
        <color theme="1"/>
        <rFont val="Calibri"/>
        <family val="2"/>
        <scheme val="minor"/>
      </rPr>
      <t>3) Issue Category</t>
    </r>
    <r>
      <rPr>
        <sz val="11"/>
        <color theme="1"/>
        <rFont val="Calibri"/>
        <family val="2"/>
        <scheme val="minor"/>
      </rPr>
      <t xml:space="preserve">
 INCONSISTENT PRODUCT NAMES
</t>
    </r>
    <r>
      <rPr>
        <b/>
        <sz val="11"/>
        <color theme="1"/>
        <rFont val="Calibri"/>
        <family val="2"/>
        <scheme val="minor"/>
      </rPr>
      <t xml:space="preserve"> Description</t>
    </r>
    <r>
      <rPr>
        <sz val="11"/>
        <color theme="1"/>
        <rFont val="Calibri"/>
        <family val="2"/>
        <scheme val="minor"/>
      </rPr>
      <t xml:space="preserve">
Mixed case (laptop, LAPTOP, Laptop), extra whitespace, 
     typos with Cyrillic characters
</t>
    </r>
    <r>
      <rPr>
        <b/>
        <sz val="11"/>
        <color theme="1"/>
        <rFont val="Calibri"/>
        <family val="2"/>
        <scheme val="minor"/>
      </rPr>
      <t>Count Found</t>
    </r>
    <r>
      <rPr>
        <sz val="11"/>
        <color theme="1"/>
        <rFont val="Calibri"/>
        <family val="2"/>
        <scheme val="minor"/>
      </rPr>
      <t xml:space="preserve">
 ~50 records with formatting issues, ~15 with typos
</t>
    </r>
    <r>
      <rPr>
        <b/>
        <sz val="11"/>
        <color theme="1"/>
        <rFont val="Calibri"/>
        <family val="2"/>
        <scheme val="minor"/>
      </rPr>
      <t>Resolution</t>
    </r>
    <r>
      <rPr>
        <sz val="11"/>
        <color theme="1"/>
        <rFont val="Calibri"/>
        <family val="2"/>
        <scheme val="minor"/>
      </rPr>
      <t xml:space="preserve">
Applied TRIM() to remove spaces, PROPER() to standardize 
     case, Find &amp; Replace to fix typos (Laптop → Laptop)
</t>
    </r>
    <r>
      <rPr>
        <b/>
        <sz val="11"/>
        <color theme="1"/>
        <rFont val="Calibri"/>
        <family val="2"/>
        <scheme val="minor"/>
      </rPr>
      <t>Impact</t>
    </r>
    <r>
      <rPr>
        <sz val="11"/>
        <color theme="1"/>
        <rFont val="Calibri"/>
        <family val="2"/>
        <scheme val="minor"/>
      </rPr>
      <t xml:space="preserve">
Ensures accurate product grouping in analysis. 
     All products now consistently formatted.</t>
    </r>
  </si>
  <si>
    <r>
      <rPr>
        <b/>
        <sz val="11"/>
        <color theme="1"/>
        <rFont val="Calibri"/>
        <family val="2"/>
        <scheme val="minor"/>
      </rPr>
      <t>4) Issue Category</t>
    </r>
    <r>
      <rPr>
        <sz val="11"/>
        <color theme="1"/>
        <rFont val="Calibri"/>
        <family val="2"/>
        <scheme val="minor"/>
      </rPr>
      <t xml:space="preserve">
INCONSISTENT CATEGORIES &amp; MISSING VALUES
</t>
    </r>
    <r>
      <rPr>
        <b/>
        <sz val="11"/>
        <color theme="1"/>
        <rFont val="Calibri"/>
        <family val="2"/>
        <scheme val="minor"/>
      </rPr>
      <t>Description</t>
    </r>
    <r>
      <rPr>
        <sz val="11"/>
        <color theme="1"/>
        <rFont val="Calibri"/>
        <family val="2"/>
        <scheme val="minor"/>
      </rPr>
      <t xml:space="preserve">
Mixed case (electronics, Electronics), ~25 NULL values
</t>
    </r>
    <r>
      <rPr>
        <b/>
        <sz val="11"/>
        <color theme="1"/>
        <rFont val="Calibri"/>
        <family val="2"/>
        <scheme val="minor"/>
      </rPr>
      <t>Count Found</t>
    </r>
    <r>
      <rPr>
        <sz val="11"/>
        <color theme="1"/>
        <rFont val="Calibri"/>
        <family val="2"/>
        <scheme val="minor"/>
      </rPr>
      <t xml:space="preserve">
~40 formatting issues, ~25 missing values
</t>
    </r>
    <r>
      <rPr>
        <b/>
        <sz val="11"/>
        <color theme="1"/>
        <rFont val="Calibri"/>
        <family val="2"/>
        <scheme val="minor"/>
      </rPr>
      <t>Resolution</t>
    </r>
    <r>
      <rPr>
        <sz val="11"/>
        <color theme="1"/>
        <rFont val="Calibri"/>
        <family val="2"/>
        <scheme val="minor"/>
      </rPr>
      <t xml:space="preserve">
 Standardized to Title Case using PROPER(TRIM()).
     Filled missing values based on product mapping
     (e.g., Laptop → Electronics, Mouse → Accessories)
</t>
    </r>
    <r>
      <rPr>
        <b/>
        <sz val="11"/>
        <color theme="1"/>
        <rFont val="Calibri"/>
        <family val="2"/>
        <scheme val="minor"/>
      </rPr>
      <t>Impact</t>
    </r>
    <r>
      <rPr>
        <sz val="11"/>
        <color theme="1"/>
        <rFont val="Calibri"/>
        <family val="2"/>
        <scheme val="minor"/>
      </rPr>
      <t xml:space="preserve">
 Enables accurate category-level revenue analysis and reporting.</t>
    </r>
  </si>
  <si>
    <r>
      <rPr>
        <b/>
        <sz val="11"/>
        <color theme="1"/>
        <rFont val="Calibri"/>
        <family val="2"/>
        <scheme val="minor"/>
      </rPr>
      <t>6) Issue Category</t>
    </r>
    <r>
      <rPr>
        <sz val="11"/>
        <color theme="1"/>
        <rFont val="Calibri"/>
        <family val="2"/>
        <scheme val="minor"/>
      </rPr>
      <t xml:space="preserve">
 INVALID QUANTITIES AND PRICES
</t>
    </r>
    <r>
      <rPr>
        <b/>
        <sz val="11"/>
        <color theme="1"/>
        <rFont val="Calibri"/>
        <family val="2"/>
        <scheme val="minor"/>
      </rPr>
      <t>Description</t>
    </r>
    <r>
      <rPr>
        <sz val="11"/>
        <color theme="1"/>
        <rFont val="Calibri"/>
        <family val="2"/>
        <scheme val="minor"/>
      </rPr>
      <t xml:space="preserve">
 Negative quantities (-1 to -4), zero quantities
     Negative unit prices, zero unit prices
</t>
    </r>
    <r>
      <rPr>
        <b/>
        <sz val="11"/>
        <color theme="1"/>
        <rFont val="Calibri"/>
        <family val="2"/>
        <scheme val="minor"/>
      </rPr>
      <t xml:space="preserve"> Count Found</t>
    </r>
    <r>
      <rPr>
        <sz val="11"/>
        <color theme="1"/>
        <rFont val="Calibri"/>
        <family val="2"/>
        <scheme val="minor"/>
      </rPr>
      <t xml:space="preserve">
Quantities: ~10 negative, ~15 zero
     Prices: ~10 negative, ~15 zero
 </t>
    </r>
    <r>
      <rPr>
        <b/>
        <sz val="11"/>
        <color theme="1"/>
        <rFont val="Calibri"/>
        <family val="2"/>
        <scheme val="minor"/>
      </rPr>
      <t>Resolution</t>
    </r>
    <r>
      <rPr>
        <sz val="11"/>
        <color theme="1"/>
        <rFont val="Calibri"/>
        <family val="2"/>
        <scheme val="minor"/>
      </rPr>
      <t xml:space="preserve">
QUANTITIES: Replaced with median value (3 units)
     PRICES: Replaced with product-specific average prices
     (Laptop=$900, Mouse=$26, etc.)
</t>
    </r>
    <r>
      <rPr>
        <b/>
        <sz val="11"/>
        <color theme="1"/>
        <rFont val="Calibri"/>
        <family val="2"/>
        <scheme val="minor"/>
      </rPr>
      <t>Impact</t>
    </r>
    <r>
      <rPr>
        <sz val="11"/>
        <color theme="1"/>
        <rFont val="Calibri"/>
        <family val="2"/>
        <scheme val="minor"/>
      </rPr>
      <t xml:space="preserve">
 Preserved transaction records while correcting obvious 
     data entry errors. Revenue calculations now accurate.
 </t>
    </r>
    <r>
      <rPr>
        <b/>
        <sz val="11"/>
        <color theme="1"/>
        <rFont val="Calibri"/>
        <family val="2"/>
        <scheme val="minor"/>
      </rPr>
      <t>Rationale</t>
    </r>
    <r>
      <rPr>
        <sz val="11"/>
        <color theme="1"/>
        <rFont val="Calibri"/>
        <family val="2"/>
        <scheme val="minor"/>
      </rPr>
      <t xml:space="preserve">
Chose median for quantities (similar across products).
     Chose product-specific averages for prices (vary by product).
     Deletion would have lost valuable order metadata.</t>
    </r>
  </si>
  <si>
    <r>
      <rPr>
        <b/>
        <sz val="11"/>
        <color theme="1"/>
        <rFont val="Calibri"/>
        <family val="2"/>
        <scheme val="minor"/>
      </rPr>
      <t>7) Issue Category</t>
    </r>
    <r>
      <rPr>
        <sz val="11"/>
        <color theme="1"/>
        <rFont val="Calibri"/>
        <family val="2"/>
        <scheme val="minor"/>
      </rPr>
      <t xml:space="preserve">
 OUTLIER VALUES - QUANTITY 999
 </t>
    </r>
    <r>
      <rPr>
        <b/>
        <sz val="11"/>
        <color theme="1"/>
        <rFont val="Calibri"/>
        <family val="2"/>
        <scheme val="minor"/>
      </rPr>
      <t>Description</t>
    </r>
    <r>
      <rPr>
        <sz val="11"/>
        <color theme="1"/>
        <rFont val="Calibri"/>
        <family val="2"/>
        <scheme val="minor"/>
      </rPr>
      <t xml:space="preserve">
Orders with exactly 999 units (possible bulk orders or 
     data entry placeholder)
 </t>
    </r>
    <r>
      <rPr>
        <b/>
        <sz val="11"/>
        <color theme="1"/>
        <rFont val="Calibri"/>
        <family val="2"/>
        <scheme val="minor"/>
      </rPr>
      <t>Count Found</t>
    </r>
    <r>
      <rPr>
        <sz val="11"/>
        <color theme="1"/>
        <rFont val="Calibri"/>
        <family val="2"/>
        <scheme val="minor"/>
      </rPr>
      <t xml:space="preserve">
 ~10 records
</t>
    </r>
    <r>
      <rPr>
        <b/>
        <sz val="11"/>
        <color theme="1"/>
        <rFont val="Calibri"/>
        <family val="2"/>
        <scheme val="minor"/>
      </rPr>
      <t>Resolution</t>
    </r>
    <r>
      <rPr>
        <sz val="11"/>
        <color theme="1"/>
        <rFont val="Calibri"/>
        <family val="2"/>
        <scheme val="minor"/>
      </rPr>
      <t xml:space="preserve">
 Categiruzed as "Bulk Orders" for separate analysis
</t>
    </r>
    <r>
      <rPr>
        <b/>
        <sz val="11"/>
        <color theme="1"/>
        <rFont val="Calibri"/>
        <family val="2"/>
        <scheme val="minor"/>
      </rPr>
      <t>CATEGORIZED AS "BULK ORDERS"</t>
    </r>
    <r>
      <rPr>
        <sz val="11"/>
        <color theme="1"/>
        <rFont val="Calibri"/>
        <family val="2"/>
        <scheme val="minor"/>
      </rPr>
      <t xml:space="preserve">
Created separate order type category for analysis flexibility.
Enables filtering bulk vs. regular orders in reporting.
 </t>
    </r>
    <r>
      <rPr>
        <b/>
        <sz val="11"/>
        <color theme="1"/>
        <rFont val="Calibri"/>
        <family val="2"/>
        <scheme val="minor"/>
      </rPr>
      <t>Impact</t>
    </r>
    <r>
      <rPr>
        <sz val="11"/>
        <color theme="1"/>
        <rFont val="Calibri"/>
        <family val="2"/>
        <scheme val="minor"/>
      </rPr>
      <t xml:space="preserve">
Rather than delete or modify, created order type segmentation ot preserve data integrity while allowing filtered analysis of regular vs bulk purchasing patterns.</t>
    </r>
  </si>
  <si>
    <r>
      <rPr>
        <b/>
        <sz val="11"/>
        <color theme="1"/>
        <rFont val="Calibri"/>
        <family val="2"/>
        <scheme val="minor"/>
      </rPr>
      <t>8) Issue Category</t>
    </r>
    <r>
      <rPr>
        <sz val="11"/>
        <color theme="1"/>
        <rFont val="Calibri"/>
        <family val="2"/>
        <scheme val="minor"/>
      </rPr>
      <t xml:space="preserve">
INCORRECT REVENUE CALCULATIONS
</t>
    </r>
    <r>
      <rPr>
        <b/>
        <sz val="11"/>
        <color theme="1"/>
        <rFont val="Calibri"/>
        <family val="2"/>
        <scheme val="minor"/>
      </rPr>
      <t>Description</t>
    </r>
    <r>
      <rPr>
        <sz val="11"/>
        <color theme="1"/>
        <rFont val="Calibri"/>
        <family val="2"/>
        <scheme val="minor"/>
      </rPr>
      <t xml:space="preserve">
Revenue values did not match Quantity × Unit Price formula
</t>
    </r>
    <r>
      <rPr>
        <b/>
        <sz val="11"/>
        <color theme="1"/>
        <rFont val="Calibri"/>
        <family val="2"/>
        <scheme val="minor"/>
      </rPr>
      <t>Count Found</t>
    </r>
    <r>
      <rPr>
        <sz val="11"/>
        <color theme="1"/>
        <rFont val="Calibri"/>
        <family val="2"/>
        <scheme val="minor"/>
      </rPr>
      <t xml:space="preserve">
 ~75 records (~15% of dataset)
</t>
    </r>
    <r>
      <rPr>
        <b/>
        <sz val="11"/>
        <color theme="1"/>
        <rFont val="Calibri"/>
        <family val="2"/>
        <scheme val="minor"/>
      </rPr>
      <t>Resolution</t>
    </r>
    <r>
      <rPr>
        <sz val="11"/>
        <color theme="1"/>
        <rFont val="Calibri"/>
        <family val="2"/>
        <scheme val="minor"/>
      </rPr>
      <t xml:space="preserve">
 Recalculated all revenue values using formula: 
     Revenue = Quantity × Unit Price
     Verified 100% accuracy using error-checking formula
</t>
    </r>
    <r>
      <rPr>
        <b/>
        <sz val="11"/>
        <color theme="1"/>
        <rFont val="Calibri"/>
        <family val="2"/>
        <scheme val="minor"/>
      </rPr>
      <t>Impact</t>
    </r>
    <r>
      <rPr>
        <sz val="11"/>
        <color theme="1"/>
        <rFont val="Calibri"/>
        <family val="2"/>
        <scheme val="minor"/>
      </rPr>
      <t xml:space="preserve">
Corrected total revenue by $1,910,051.04 . Ensures financial reporting accuracy.</t>
    </r>
  </si>
  <si>
    <r>
      <rPr>
        <b/>
        <sz val="11"/>
        <color theme="1"/>
        <rFont val="Calibri"/>
        <family val="2"/>
        <scheme val="minor"/>
      </rPr>
      <t>9) Issue Category</t>
    </r>
    <r>
      <rPr>
        <sz val="11"/>
        <color theme="1"/>
        <rFont val="Calibri"/>
        <family val="2"/>
        <scheme val="minor"/>
      </rPr>
      <t xml:space="preserve">
INVALID EMAIL FORMATS
</t>
    </r>
    <r>
      <rPr>
        <b/>
        <sz val="11"/>
        <color theme="1"/>
        <rFont val="Calibri"/>
        <family val="2"/>
        <scheme val="minor"/>
      </rPr>
      <t>Description</t>
    </r>
    <r>
      <rPr>
        <sz val="11"/>
        <color theme="1"/>
        <rFont val="Calibri"/>
        <family val="2"/>
        <scheme val="minor"/>
      </rPr>
      <t xml:space="preserve">
Missing @ symbols, incomplete addresses, empty strings
</t>
    </r>
    <r>
      <rPr>
        <b/>
        <sz val="11"/>
        <color theme="1"/>
        <rFont val="Calibri"/>
        <family val="2"/>
        <scheme val="minor"/>
      </rPr>
      <t>Count Found</t>
    </r>
    <r>
      <rPr>
        <sz val="11"/>
        <color theme="1"/>
        <rFont val="Calibri"/>
        <family val="2"/>
        <scheme val="minor"/>
      </rPr>
      <t xml:space="preserve">
 ~25 records with email format issues
</t>
    </r>
    <r>
      <rPr>
        <b/>
        <sz val="11"/>
        <color theme="1"/>
        <rFont val="Calibri"/>
        <family val="2"/>
        <scheme val="minor"/>
      </rPr>
      <t>Resolution</t>
    </r>
    <r>
      <rPr>
        <sz val="11"/>
        <color theme="1"/>
        <rFont val="Calibri"/>
        <family val="2"/>
        <scheme val="minor"/>
      </rPr>
      <t xml:space="preserve">
LEFT AS-IS with documentation
     (Email validation not critical for sales analysis)
</t>
    </r>
    <r>
      <rPr>
        <b/>
        <sz val="11"/>
        <color theme="1"/>
        <rFont val="Calibri"/>
        <family val="2"/>
        <scheme val="minor"/>
      </rPr>
      <t>Impact</t>
    </r>
    <r>
      <rPr>
        <sz val="11"/>
        <color theme="1"/>
        <rFont val="Calibri"/>
        <family val="2"/>
        <scheme val="minor"/>
      </rPr>
      <t xml:space="preserve">
Does not impact revenue or product analysis. 
     Recommendation: Implement email validation at data entry.</t>
    </r>
  </si>
  <si>
    <t>Key Insights</t>
  </si>
  <si>
    <t>(blank)</t>
  </si>
  <si>
    <r>
      <rPr>
        <b/>
        <i/>
        <sz val="11"/>
        <color theme="1"/>
        <rFont val="Calibri"/>
        <family val="2"/>
        <scheme val="minor"/>
      </rPr>
      <t>FINDING #1: Product Performance</t>
    </r>
    <r>
      <rPr>
        <sz val="11"/>
        <color theme="1"/>
        <rFont val="Calibri"/>
        <family val="2"/>
        <scheme val="minor"/>
      </rPr>
      <t xml:space="preserve">
</t>
    </r>
    <r>
      <rPr>
        <b/>
        <sz val="11"/>
        <color theme="1"/>
        <rFont val="Calibri"/>
        <family val="2"/>
        <scheme val="minor"/>
      </rPr>
      <t>Top Revenue-Generating Products:</t>
    </r>
    <r>
      <rPr>
        <sz val="11"/>
        <color theme="1"/>
        <rFont val="Calibri"/>
        <family val="2"/>
        <scheme val="minor"/>
      </rPr>
      <t xml:space="preserve">
1. Monitor - $431,230.84 (28.0%) - 63 orders
2. Laptop - $279,686.77 (18.2%) - 71 orders
3. Headphones - $206,214.00 (13.4%) - 59 orders
</t>
    </r>
    <r>
      <rPr>
        <b/>
        <sz val="11"/>
        <color theme="1"/>
        <rFont val="Calibri"/>
        <family val="2"/>
        <scheme val="minor"/>
      </rPr>
      <t>INSIGHT:</t>
    </r>
    <r>
      <rPr>
        <sz val="11"/>
        <color theme="1"/>
        <rFont val="Calibri"/>
        <family val="2"/>
        <scheme val="minor"/>
      </rPr>
      <t xml:space="preserve">
Monitors surprisingly lead revenue generation at 28%, outperforming laptops despite fewer orders (63 vs 71). This indicates higher average selling prices for monitors. The top 3 products account for 59.6% of total revenue, showing significant concentration in premium electronics. Monitors generate $6,844 per order vs laptops at $3,939, nearly 2x higher transaction value.
</t>
    </r>
    <r>
      <rPr>
        <b/>
        <sz val="11"/>
        <color theme="1"/>
        <rFont val="Calibri"/>
        <family val="2"/>
        <scheme val="minor"/>
      </rPr>
      <t>RECOMMENDATION</t>
    </r>
    <r>
      <rPr>
        <sz val="11"/>
        <color theme="1"/>
        <rFont val="Calibri"/>
        <family val="2"/>
        <scheme val="minor"/>
      </rPr>
      <t>:
Capitalize on monitor dominance: Create monitor bundles with keyboards and mice to increase accessories attachment. Target: Increase monitor orders from 63 to 80 (27% growth) = $108,000 additional revenue. Develop premium monitor line ($500+) to maintain high AOV. Cross-sell monitors to laptop buyers - currently only 89% overlap rate.</t>
    </r>
  </si>
  <si>
    <r>
      <rPr>
        <b/>
        <i/>
        <sz val="11"/>
        <color theme="1"/>
        <rFont val="Calibri"/>
        <family val="2"/>
        <scheme val="minor"/>
      </rPr>
      <t>FINDING #2: Category Distribution</t>
    </r>
    <r>
      <rPr>
        <sz val="11"/>
        <color theme="1"/>
        <rFont val="Calibri"/>
        <family val="2"/>
        <scheme val="minor"/>
      </rPr>
      <t xml:space="preserve">
</t>
    </r>
    <r>
      <rPr>
        <b/>
        <sz val="11"/>
        <color theme="1"/>
        <rFont val="Calibri"/>
        <family val="2"/>
        <scheme val="minor"/>
      </rPr>
      <t>Revenue by Category:</t>
    </r>
    <r>
      <rPr>
        <sz val="11"/>
        <color theme="1"/>
        <rFont val="Calibri"/>
        <family val="2"/>
        <scheme val="minor"/>
      </rPr>
      <t xml:space="preserve">
• Electronics: $909,292.59 (59.1%) - 200 orders - AOV: $4,546
• Accessories: $398,341.93 (25.9%) - 185 orders - AOV: $2,153
• Audio: $206,214.00 (13.4%) - 63 orders - AOV: $3,273
• Other: $25,683.49 (1.7%) - 52 orders - AOV: $494
 </t>
    </r>
    <r>
      <rPr>
        <b/>
        <sz val="11"/>
        <color theme="1"/>
        <rFont val="Calibri"/>
        <family val="2"/>
        <scheme val="minor"/>
      </rPr>
      <t>INSIGHT:</t>
    </r>
    <r>
      <rPr>
        <sz val="11"/>
        <color theme="1"/>
        <rFont val="Calibri"/>
        <family val="2"/>
        <scheme val="minor"/>
      </rPr>
      <t xml:space="preserve">
Electronics dominate with 59.1% revenue share but represent only 40% of orders, demonstrating premium pricing power. Accessories drive volume (37% of orders) but at lower margins. The 2.1x AOV difference between Electronics and Accessories shows clear customer segmentation. The 'Other' category with 52 orders but minimal revenue suggests data quality issues or clearance items.
</t>
    </r>
    <r>
      <rPr>
        <b/>
        <sz val="11"/>
        <color theme="1"/>
        <rFont val="Calibri"/>
        <family val="2"/>
        <scheme val="minor"/>
      </rPr>
      <t>RECOMMENDATION:</t>
    </r>
    <r>
      <rPr>
        <sz val="11"/>
        <color theme="1"/>
        <rFont val="Calibri"/>
        <family val="2"/>
        <scheme val="minor"/>
      </rPr>
      <t xml:space="preserve">
Strategy 1: Increase accessories revenue through bundling - implement 'Complete Your Setup' recommendations at checkout. Target: Raise accessories AOV from $2,153 to $2,500 (+16%) = $64,000 additional revenue. Strategy 2: Protect electronics margins through value-added services (installation, extended warranty, tech support). Strategy 3: Investigate 'Other' category - either reclassify products properly or discontinue low-performers.</t>
    </r>
  </si>
  <si>
    <r>
      <rPr>
        <b/>
        <i/>
        <sz val="11"/>
        <color theme="1"/>
        <rFont val="Calibri"/>
        <family val="2"/>
        <scheme val="minor"/>
      </rPr>
      <t>FINDING #3: Regional Performance Disparity</t>
    </r>
    <r>
      <rPr>
        <sz val="11"/>
        <color theme="1"/>
        <rFont val="Calibri"/>
        <family val="2"/>
        <scheme val="minor"/>
      </rPr>
      <t xml:space="preserve">
</t>
    </r>
    <r>
      <rPr>
        <b/>
        <sz val="11"/>
        <color theme="1"/>
        <rFont val="Calibri"/>
        <family val="2"/>
        <scheme val="minor"/>
      </rPr>
      <t>Regional Revenue Analysis:</t>
    </r>
    <r>
      <rPr>
        <sz val="11"/>
        <color theme="1"/>
        <rFont val="Calibri"/>
        <family val="2"/>
        <scheme val="minor"/>
      </rPr>
      <t xml:space="preserve">
• East: $494,066.81 (32.1%) - 92 orders - AOV: $5,370
• South: $340,694.11 (22.1%) - 89 orders - AOV: $3,828
• North: $294,413.33 (19.1%) - 98 orders - AOV: $3,004
• West: $294,096.67 (19.1%) - 100 orders - AOV: $2,941
• Central: $105,769.69 (6.9%) - 101 orders - AOV: $1,047
</t>
    </r>
    <r>
      <rPr>
        <b/>
        <sz val="11"/>
        <color theme="1"/>
        <rFont val="Calibri"/>
        <family val="2"/>
        <scheme val="minor"/>
      </rPr>
      <t>INSIGHT:</t>
    </r>
    <r>
      <rPr>
        <sz val="11"/>
        <color theme="1"/>
        <rFont val="Calibri"/>
        <family val="2"/>
        <scheme val="minor"/>
      </rPr>
      <t xml:space="preserve">
CRITICAL ISSUE: Central region severely underperforms with AOV of only $1,047 - 5.1x lower than East region ($5,370). Despite having the most orders (101), Central generates only 6.9% of revenue. East region's AOV is 83% higher than company average, indicating either premium customer base or superior sales execution. The $388,297 gap between best and worst regions represents 25% of total revenue.
</t>
    </r>
    <r>
      <rPr>
        <b/>
        <sz val="11"/>
        <color theme="1"/>
        <rFont val="Calibri"/>
        <family val="2"/>
        <scheme val="minor"/>
      </rPr>
      <t>RECOMMENDATION:</t>
    </r>
    <r>
      <rPr>
        <sz val="11"/>
        <color theme="1"/>
        <rFont val="Calibri"/>
        <family val="2"/>
        <scheme val="minor"/>
      </rPr>
      <t xml:space="preserve">
URGENT ACTION REQUIRED for Central region: Immediate investigation into why AOV is $1,047 vs $3,201 company average. Hypotheses: (1) pricing errors, (2) only selling accessories not electronics, (3) different customer segment, (4) operational issues. Action Plan: Week 1-2: Audit Central orders - product mix analysis, pricing verification, customer interviews. Month 1: Pilot East region tactics in Central (same marketing, promotions, product selection). Target: Raise Central AOV to $2,000 = $96,000 additional revenue. East region: Document and replicate success factors company-wide.</t>
    </r>
  </si>
  <si>
    <r>
      <rPr>
        <b/>
        <i/>
        <sz val="11"/>
        <color theme="1"/>
        <rFont val="Calibri"/>
        <family val="2"/>
        <scheme val="minor"/>
      </rPr>
      <t>FINDING #5: Bulk Order Opportunity</t>
    </r>
    <r>
      <rPr>
        <sz val="11"/>
        <color theme="1"/>
        <rFont val="Calibri"/>
        <family val="2"/>
        <scheme val="minor"/>
      </rPr>
      <t xml:space="preserve">
</t>
    </r>
    <r>
      <rPr>
        <b/>
        <sz val="11"/>
        <color theme="1"/>
        <rFont val="Calibri"/>
        <family val="2"/>
        <scheme val="minor"/>
      </rPr>
      <t>Order Type Analysis:</t>
    </r>
    <r>
      <rPr>
        <sz val="11"/>
        <color theme="1"/>
        <rFont val="Calibri"/>
        <family val="2"/>
        <scheme val="minor"/>
      </rPr>
      <t xml:space="preserve">
• Bulk Orders (100+ units): $987,539 (64.1%) - 17 orders
• Regular Orders: $551,993 (35.9%) - 483 orders
</t>
    </r>
    <r>
      <rPr>
        <b/>
        <sz val="11"/>
        <color theme="1"/>
        <rFont val="Calibri"/>
        <family val="2"/>
        <scheme val="minor"/>
      </rPr>
      <t>INSIGHT:</t>
    </r>
    <r>
      <rPr>
        <sz val="11"/>
        <color theme="1"/>
        <rFont val="Calibri"/>
        <family val="2"/>
        <scheme val="minor"/>
      </rPr>
      <t xml:space="preserve">
Just 17 bulk orders (3.4% of total) generate 64.1% of revenue, averaging $58,091 per bulk order vs $1,143 for regular orders (51x difference). This indicates a B2B or enterprise sales channel that's highly profitable but inconsistent. Business is heavily dependent on large deals - loss of even 2-3 bulk customers would devastate revenue.
</t>
    </r>
    <r>
      <rPr>
        <b/>
        <sz val="11"/>
        <color theme="1"/>
        <rFont val="Calibri"/>
        <family val="2"/>
        <scheme val="minor"/>
      </rPr>
      <t>RECOMMENDATION:</t>
    </r>
    <r>
      <rPr>
        <sz val="11"/>
        <color theme="1"/>
        <rFont val="Calibri"/>
        <family val="2"/>
        <scheme val="minor"/>
      </rPr>
      <t xml:space="preserve">
Develop formal B2B sales strategy: Strategy 1: Identify and nurture bulk buyers - assign dedicated account managers to the 17 bulk order customers. Goal: Retain 100% and increase frequency. Strategy 2: Proactive B2B outreach to corporations, schools, government entities. Target: Add 10 new bulk order customers = $580,000 revenue. Strategy 3: Create volume pricing tiers (50+, 100+, 500+ units) with clear incentives. Strategy 4: Develop bulk order management system - quotes, contracts, net-30 terms. Risk Mitigation: Diversify revenue - can't rely on 17 customers for 64% of revenue.</t>
    </r>
  </si>
  <si>
    <r>
      <t xml:space="preserve">1) </t>
    </r>
    <r>
      <rPr>
        <b/>
        <sz val="11"/>
        <color theme="1"/>
        <rFont val="Calibri"/>
        <family val="2"/>
        <scheme val="minor"/>
      </rPr>
      <t>Issue Category</t>
    </r>
    <r>
      <rPr>
        <sz val="11"/>
        <color theme="1"/>
        <rFont val="Calibri"/>
        <family val="2"/>
        <scheme val="minor"/>
      </rPr>
      <t xml:space="preserve">
DUPLICATE RECORDS
</t>
    </r>
    <r>
      <rPr>
        <b/>
        <sz val="11"/>
        <color theme="1"/>
        <rFont val="Calibri"/>
        <family val="2"/>
        <scheme val="minor"/>
      </rPr>
      <t>Description</t>
    </r>
    <r>
      <rPr>
        <sz val="11"/>
        <color theme="1"/>
        <rFont val="Calibri"/>
        <family val="2"/>
        <scheme val="minor"/>
      </rPr>
      <t xml:space="preserve">
 Complete duplicate orders found across all columns
</t>
    </r>
    <r>
      <rPr>
        <b/>
        <sz val="11"/>
        <color theme="1"/>
        <rFont val="Calibri"/>
        <family val="2"/>
        <scheme val="minor"/>
      </rPr>
      <t>Count Found</t>
    </r>
    <r>
      <rPr>
        <sz val="11"/>
        <color theme="1"/>
        <rFont val="Calibri"/>
        <family val="2"/>
        <scheme val="minor"/>
      </rPr>
      <t xml:space="preserve">
15 duplicate records
</t>
    </r>
    <r>
      <rPr>
        <b/>
        <sz val="11"/>
        <color theme="1"/>
        <rFont val="Calibri"/>
        <family val="2"/>
        <scheme val="minor"/>
      </rPr>
      <t>Resolution:</t>
    </r>
    <r>
      <rPr>
        <sz val="11"/>
        <color theme="1"/>
        <rFont val="Calibri"/>
        <family val="2"/>
        <scheme val="minor"/>
      </rPr>
      <t xml:space="preserve">
Removed duplicates using "Remove Duplicates" function, 
     keeping first occurrence
</t>
    </r>
    <r>
      <rPr>
        <b/>
        <sz val="11"/>
        <color theme="1"/>
        <rFont val="Calibri"/>
        <family val="2"/>
        <scheme val="minor"/>
      </rPr>
      <t>Impact:</t>
    </r>
    <r>
      <rPr>
        <sz val="11"/>
        <color theme="1"/>
        <rFont val="Calibri"/>
        <family val="2"/>
        <scheme val="minor"/>
      </rPr>
      <t xml:space="preserve">
 Reduced dataset from 515 to ~500 records. 
     Ensures accurate order counts and revenue totals.</t>
    </r>
  </si>
  <si>
    <r>
      <t>5) Issue Category</t>
    </r>
    <r>
      <rPr>
        <sz val="11"/>
        <color theme="1"/>
        <rFont val="Calibri"/>
        <family val="2"/>
        <scheme val="minor"/>
      </rPr>
      <t xml:space="preserve">
 INCONSISTENT DATE FORMATS
</t>
    </r>
    <r>
      <rPr>
        <b/>
        <sz val="11"/>
        <color theme="1"/>
        <rFont val="Calibri"/>
        <family val="2"/>
        <scheme val="minor"/>
      </rPr>
      <t>Description</t>
    </r>
    <r>
      <rPr>
        <sz val="11"/>
        <color theme="1"/>
        <rFont val="Calibri"/>
        <family val="2"/>
        <scheme val="minor"/>
      </rPr>
      <t xml:space="preserve">
Multiple formats: YYYY-MM-DD, DD/MM/YYYY, MM-DD-YYYY
     Invalid dates: 2024-13-45 (impossible month)
</t>
    </r>
    <r>
      <rPr>
        <b/>
        <sz val="11"/>
        <color theme="1"/>
        <rFont val="Calibri"/>
        <family val="2"/>
        <scheme val="minor"/>
      </rPr>
      <t xml:space="preserve"> Count Found</t>
    </r>
    <r>
      <rPr>
        <sz val="11"/>
        <color theme="1"/>
        <rFont val="Calibri"/>
        <family val="2"/>
        <scheme val="minor"/>
      </rPr>
      <t xml:space="preserve">
~10 NULL dates, ~15 format inconsistencies, ~10 invalid dates
</t>
    </r>
    <r>
      <rPr>
        <b/>
        <sz val="11"/>
        <color theme="1"/>
        <rFont val="Calibri"/>
        <family val="2"/>
        <scheme val="minor"/>
      </rPr>
      <t>Resolution</t>
    </r>
    <r>
      <rPr>
        <sz val="11"/>
        <color theme="1"/>
        <rFont val="Calibri"/>
        <family val="2"/>
        <scheme val="minor"/>
      </rPr>
      <t xml:space="preserve">
Used DATEVALUE() function to convert all formats to 
     standard dates. Deleted/replaced invalid dates.
     Formatted entire column as Short Date.
 </t>
    </r>
    <r>
      <rPr>
        <b/>
        <sz val="11"/>
        <color theme="1"/>
        <rFont val="Calibri"/>
        <family val="2"/>
        <scheme val="minor"/>
      </rPr>
      <t>Impact</t>
    </r>
    <r>
      <rPr>
        <sz val="11"/>
        <color theme="1"/>
        <rFont val="Calibri"/>
        <family val="2"/>
        <scheme val="minor"/>
      </rPr>
      <t xml:space="preserve">
Enables time-series analysis and monthly trend reporting.</t>
    </r>
  </si>
  <si>
    <r>
      <rPr>
        <b/>
        <i/>
        <sz val="11"/>
        <color theme="1"/>
        <rFont val="Calibri"/>
        <family val="2"/>
        <scheme val="minor"/>
      </rPr>
      <t>FINDING #4: Order Fulfillment Crisis</t>
    </r>
    <r>
      <rPr>
        <sz val="11"/>
        <color theme="1"/>
        <rFont val="Calibri"/>
        <family val="2"/>
        <scheme val="minor"/>
      </rPr>
      <t xml:space="preserve">
</t>
    </r>
    <r>
      <rPr>
        <b/>
        <sz val="11"/>
        <color theme="1"/>
        <rFont val="Calibri"/>
        <family val="2"/>
        <scheme val="minor"/>
      </rPr>
      <t>Order Status Breakdown:</t>
    </r>
    <r>
      <rPr>
        <sz val="11"/>
        <color theme="1"/>
        <rFont val="Calibri"/>
        <family val="2"/>
        <scheme val="minor"/>
      </rPr>
      <t xml:space="preserve">
• Completed: 110 orders (22.0%) - $519,262.72
• Pending: 143 orders (28.6%) - $305,283.40
• Cancelled: 117 orders (23.4%) - $189,145.05
• Refunded: 122 orders (24.4%) - $523,613.27
</t>
    </r>
    <r>
      <rPr>
        <b/>
        <sz val="11"/>
        <color theme="1"/>
        <rFont val="Calibri"/>
        <family val="2"/>
        <scheme val="minor"/>
      </rPr>
      <t>INSIGHT:</t>
    </r>
    <r>
      <rPr>
        <sz val="11"/>
        <color theme="1"/>
        <rFont val="Calibri"/>
        <family val="2"/>
        <scheme val="minor"/>
      </rPr>
      <t xml:space="preserve">
 Only 22% order completion rate is catastrophically low (industry standard: 85-90%). 47.8% of orders are cancelled or refunded, representing $712,758 in lost revenue (46% of total revenue). 143 pending orders worth $305,283 suggest fulfillment backlog or checkout abandonment. This completion rate indicates severe operational problems that threaten business viability. If completion rate were industry-standard 85%, revenue would be $5.9M instead of $1.5M.
</t>
    </r>
    <r>
      <rPr>
        <b/>
        <sz val="11"/>
        <color theme="1"/>
        <rFont val="Calibri"/>
        <family val="2"/>
        <scheme val="minor"/>
      </rPr>
      <t>RECOMMENDATION:</t>
    </r>
    <r>
      <rPr>
        <sz val="11"/>
        <color theme="1"/>
        <rFont val="Calibri"/>
        <family val="2"/>
        <scheme val="minor"/>
      </rPr>
      <t xml:space="preserve">
This is the #1 priority issue. Wait for new customer acquisition until fulfillment is fixed. Emergency analysis: Why are 23.4% cancelled? Why 24.4% refunded? Review refund reasons, customer complaints, product quality issues. Pending Order Recovery, 143 pending orders = $305,283 at risk. Implement 48-hour follow-up for all pending. Target: Convert 50% to completed = $152,000 recovered. Root Cause Analysis, Investigate - inventory issues, shipping delays, product descriptions misleading, pricing errors, payment processing. Increase completion rate from 22% to 60% minimum. This could add $2.3M annual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</si>
</sst>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6" x14ac:knownFonts="1">
    <font>
      <sz val="11"/>
      <color theme="1"/>
      <name val="Calibri"/>
      <family val="2"/>
      <scheme val="minor"/>
    </font>
    <font>
      <b/>
      <sz val="11"/>
      <color rgb="FFFFFFFF"/>
      <name val="Calibri"/>
    </font>
    <font>
      <sz val="11"/>
      <color theme="1"/>
      <name val="Calibri"/>
      <family val="2"/>
      <scheme val="minor"/>
    </font>
    <font>
      <b/>
      <sz val="11"/>
      <color theme="1"/>
      <name val="Calibri"/>
      <family val="2"/>
      <scheme val="minor"/>
    </font>
    <font>
      <b/>
      <sz val="11"/>
      <color rgb="FFFFFFFF"/>
      <name val="Calibri"/>
      <family val="2"/>
    </font>
    <font>
      <sz val="11"/>
      <color theme="1"/>
      <name val="Arial"/>
      <family val="2"/>
    </font>
    <font>
      <b/>
      <sz val="24"/>
      <color theme="1"/>
      <name val="Calibri"/>
      <family val="2"/>
      <scheme val="minor"/>
    </font>
    <font>
      <sz val="14"/>
      <color theme="1"/>
      <name val="Calibri"/>
      <family val="2"/>
      <scheme val="minor"/>
    </font>
    <font>
      <i/>
      <sz val="14"/>
      <color theme="1" tint="0.34998626667073579"/>
      <name val="Calibri"/>
      <family val="2"/>
      <scheme val="minor"/>
    </font>
    <font>
      <b/>
      <sz val="12"/>
      <color theme="1"/>
      <name val="Calibri"/>
      <family val="2"/>
      <scheme val="minor"/>
    </font>
    <font>
      <b/>
      <sz val="22"/>
      <color theme="1"/>
      <name val="Calibri"/>
      <family val="2"/>
      <scheme val="minor"/>
    </font>
    <font>
      <sz val="20"/>
      <color theme="1"/>
      <name val="Calibri"/>
      <family val="2"/>
      <scheme val="minor"/>
    </font>
    <font>
      <b/>
      <sz val="20"/>
      <color theme="1"/>
      <name val="Calibri"/>
      <family val="2"/>
      <scheme val="minor"/>
    </font>
    <font>
      <b/>
      <sz val="24"/>
      <color rgb="FF272727"/>
      <name val="Calibri"/>
      <family val="2"/>
      <scheme val="minor"/>
    </font>
    <font>
      <sz val="11"/>
      <color rgb="FF272727"/>
      <name val="Calibri"/>
      <family val="2"/>
      <scheme val="minor"/>
    </font>
    <font>
      <b/>
      <i/>
      <sz val="11"/>
      <color theme="1"/>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theme="8" tint="0.39997558519241921"/>
        <bgColor indexed="64"/>
      </patternFill>
    </fill>
    <fill>
      <patternFill patternType="solid">
        <fgColor theme="4"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2" fillId="0" borderId="0" applyFont="0" applyFill="0" applyBorder="0" applyAlignment="0" applyProtection="0"/>
  </cellStyleXfs>
  <cellXfs count="83">
    <xf numFmtId="0" fontId="0" fillId="0" borderId="0" xfId="0"/>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14" fontId="0" fillId="0" borderId="0" xfId="0" applyNumberFormat="1"/>
    <xf numFmtId="0" fontId="4" fillId="2" borderId="2" xfId="0" applyFont="1" applyFill="1" applyBorder="1" applyAlignment="1">
      <alignment horizontal="center" vertical="top"/>
    </xf>
    <xf numFmtId="44" fontId="0" fillId="0" borderId="0" xfId="1" applyFont="1"/>
    <xf numFmtId="0" fontId="0" fillId="0" borderId="0" xfId="0" pivotButton="1"/>
    <xf numFmtId="0" fontId="0" fillId="0" borderId="0" xfId="0" applyAlignment="1">
      <alignment horizontal="left"/>
    </xf>
    <xf numFmtId="0" fontId="5" fillId="0" borderId="0" xfId="0" applyFont="1" applyAlignment="1">
      <alignment vertical="center"/>
    </xf>
    <xf numFmtId="44" fontId="0" fillId="0" borderId="0" xfId="0" applyNumberFormat="1"/>
    <xf numFmtId="0" fontId="3" fillId="0" borderId="0" xfId="0" applyFont="1" applyAlignment="1">
      <alignment horizontal="center"/>
    </xf>
    <xf numFmtId="0" fontId="3" fillId="0" borderId="0" xfId="0" applyFont="1"/>
    <xf numFmtId="0" fontId="0" fillId="0" borderId="0" xfId="0" applyAlignment="1">
      <alignment wrapText="1"/>
    </xf>
    <xf numFmtId="0" fontId="3" fillId="0" borderId="0" xfId="0" applyFont="1" applyAlignment="1">
      <alignment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0" xfId="0"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2"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10" xfId="0" applyFont="1" applyFill="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9" fillId="0" borderId="11" xfId="0" applyFont="1" applyBorder="1" applyAlignment="1">
      <alignment horizontal="center"/>
    </xf>
    <xf numFmtId="0" fontId="13" fillId="3" borderId="0" xfId="0" applyFont="1" applyFill="1" applyAlignment="1">
      <alignment horizontal="center"/>
    </xf>
    <xf numFmtId="0" fontId="14" fillId="3" borderId="0" xfId="0" applyFont="1" applyFill="1" applyAlignment="1">
      <alignment horizontal="center"/>
    </xf>
    <xf numFmtId="0" fontId="8" fillId="0" borderId="0" xfId="0" applyFont="1" applyAlignment="1">
      <alignment horizontal="center"/>
    </xf>
    <xf numFmtId="0" fontId="7" fillId="0" borderId="0" xfId="0" applyFont="1" applyAlignment="1">
      <alignment horizontal="center"/>
    </xf>
    <xf numFmtId="44" fontId="6" fillId="0" borderId="3" xfId="0" applyNumberFormat="1" applyFont="1" applyBorder="1" applyAlignment="1">
      <alignment horizontal="center" vertical="center"/>
    </xf>
    <xf numFmtId="0" fontId="9" fillId="0" borderId="9" xfId="0" applyFont="1" applyBorder="1" applyAlignment="1">
      <alignment horizontal="center"/>
    </xf>
    <xf numFmtId="164" fontId="10" fillId="0" borderId="3" xfId="0" applyNumberFormat="1" applyFont="1" applyBorder="1" applyAlignment="1">
      <alignment horizontal="center" vertical="center"/>
    </xf>
    <xf numFmtId="164" fontId="10" fillId="0" borderId="4" xfId="0" applyNumberFormat="1" applyFont="1" applyBorder="1" applyAlignment="1">
      <alignment horizontal="center" vertical="center"/>
    </xf>
    <xf numFmtId="164" fontId="10" fillId="0" borderId="5" xfId="0" applyNumberFormat="1" applyFont="1" applyBorder="1" applyAlignment="1">
      <alignment horizontal="center" vertical="center"/>
    </xf>
    <xf numFmtId="164" fontId="10" fillId="0" borderId="6" xfId="0" applyNumberFormat="1" applyFont="1" applyBorder="1" applyAlignment="1">
      <alignment horizontal="center" vertical="center"/>
    </xf>
    <xf numFmtId="164" fontId="10" fillId="0" borderId="0" xfId="0" applyNumberFormat="1" applyFont="1" applyAlignment="1">
      <alignment horizontal="center" vertical="center"/>
    </xf>
    <xf numFmtId="164" fontId="10" fillId="0" borderId="7" xfId="0" applyNumberFormat="1" applyFont="1" applyBorder="1" applyAlignment="1">
      <alignment horizontal="center" vertical="center"/>
    </xf>
    <xf numFmtId="164" fontId="10" fillId="0" borderId="8" xfId="0" applyNumberFormat="1" applyFont="1" applyBorder="1" applyAlignment="1">
      <alignment horizontal="center" vertical="center"/>
    </xf>
    <xf numFmtId="164" fontId="10" fillId="0" borderId="9" xfId="0" applyNumberFormat="1" applyFont="1" applyBorder="1" applyAlignment="1">
      <alignment horizontal="center" vertical="center"/>
    </xf>
    <xf numFmtId="164" fontId="10" fillId="0" borderId="10" xfId="0" applyNumberFormat="1" applyFont="1" applyBorder="1" applyAlignment="1">
      <alignment horizontal="center" vertical="center"/>
    </xf>
  </cellXfs>
  <cellStyles count="2">
    <cellStyle name="Currency" xfId="1" builtinId="4"/>
    <cellStyle name="Normal" xfId="0" builtinId="0"/>
  </cellStyles>
  <dxfs count="14">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Products</a:t>
            </a:r>
          </a:p>
        </c:rich>
      </c:tx>
      <c:layout>
        <c:manualLayout>
          <c:xMode val="edge"/>
          <c:yMode val="edge"/>
          <c:x val="0.14762992686580356"/>
          <c:y val="5.08071718307938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06161376853617"/>
          <c:y val="0.21386201724784401"/>
          <c:w val="0.45497939750001731"/>
          <c:h val="0.6293157626130067"/>
        </c:manualLayout>
      </c:layout>
      <c:barChart>
        <c:barDir val="bar"/>
        <c:grouping val="clustered"/>
        <c:varyColors val="0"/>
        <c:ser>
          <c:idx val="0"/>
          <c:order val="0"/>
          <c:tx>
            <c:strRef>
              <c:f>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Analysis!$A$4:$A$13</c:f>
              <c:strCache>
                <c:ptCount val="9"/>
                <c:pt idx="0">
                  <c:v>Monitor</c:v>
                </c:pt>
                <c:pt idx="1">
                  <c:v>Laptop</c:v>
                </c:pt>
                <c:pt idx="2">
                  <c:v>Headphones</c:v>
                </c:pt>
                <c:pt idx="3">
                  <c:v>Webcam</c:v>
                </c:pt>
                <c:pt idx="4">
                  <c:v>Laptop Stand</c:v>
                </c:pt>
                <c:pt idx="5">
                  <c:v>Keyboard</c:v>
                </c:pt>
                <c:pt idx="6">
                  <c:v>Mouse</c:v>
                </c:pt>
                <c:pt idx="7">
                  <c:v>Usb Cable</c:v>
                </c:pt>
                <c:pt idx="8">
                  <c:v>(blank)</c:v>
                </c:pt>
              </c:strCache>
            </c:strRef>
          </c:cat>
          <c:val>
            <c:numRef>
              <c:f>Analysis!$B$4:$B$13</c:f>
              <c:numCache>
                <c:formatCode>General</c:formatCode>
                <c:ptCount val="9"/>
                <c:pt idx="0">
                  <c:v>431230.84083333326</c:v>
                </c:pt>
                <c:pt idx="1">
                  <c:v>279686.76604166662</c:v>
                </c:pt>
                <c:pt idx="2">
                  <c:v>206213.99999999997</c:v>
                </c:pt>
                <c:pt idx="3">
                  <c:v>199479.86999999997</c:v>
                </c:pt>
                <c:pt idx="4">
                  <c:v>177135.27604166663</c:v>
                </c:pt>
                <c:pt idx="5">
                  <c:v>115465.53000000001</c:v>
                </c:pt>
                <c:pt idx="6">
                  <c:v>104636.23240740743</c:v>
                </c:pt>
                <c:pt idx="7">
                  <c:v>25683.49</c:v>
                </c:pt>
              </c:numCache>
            </c:numRef>
          </c:val>
          <c:extLst>
            <c:ext xmlns:c16="http://schemas.microsoft.com/office/drawing/2014/chart" uri="{C3380CC4-5D6E-409C-BE32-E72D297353CC}">
              <c16:uniqueId val="{00000000-FA70-45C8-AFFD-74592762A3DD}"/>
            </c:ext>
          </c:extLst>
        </c:ser>
        <c:dLbls>
          <c:dLblPos val="outEnd"/>
          <c:showLegendKey val="0"/>
          <c:showVal val="1"/>
          <c:showCatName val="0"/>
          <c:showSerName val="0"/>
          <c:showPercent val="0"/>
          <c:showBubbleSize val="0"/>
        </c:dLbls>
        <c:gapWidth val="115"/>
        <c:overlap val="-20"/>
        <c:axId val="1978219487"/>
        <c:axId val="1978216607"/>
      </c:barChart>
      <c:catAx>
        <c:axId val="1978219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16607"/>
        <c:crosses val="autoZero"/>
        <c:auto val="1"/>
        <c:lblAlgn val="ctr"/>
        <c:lblOffset val="100"/>
        <c:noMultiLvlLbl val="0"/>
      </c:catAx>
      <c:valAx>
        <c:axId val="197821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1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[messy_ecommerce_data.xlsx]Analysis!PivotTable5</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for Category</a:t>
            </a:r>
          </a:p>
        </c:rich>
      </c:tx>
      <c:layout>
        <c:manualLayout>
          <c:xMode val="edge"/>
          <c:yMode val="edge"/>
          <c:x val="0.57450000000000001"/>
          <c:y val="7.80157083514255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855109361329834"/>
          <c:y val="0.24271489315414388"/>
          <c:w val="0.30209864391951008"/>
          <c:h val="0.61574232169398402"/>
        </c:manualLayout>
      </c:layout>
      <c:pieChart>
        <c:varyColors val="1"/>
        <c:ser>
          <c:idx val="0"/>
          <c:order val="0"/>
          <c:tx>
            <c:strRef>
              <c:f>Analysis!$J$3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918-439A-959D-D300FC616B9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918-439A-959D-D300FC616B9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918-439A-959D-D300FC616B9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918-439A-959D-D300FC616B9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EA8-4BD2-B7E7-FA1B296BB7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Analysis!$I$4:$I$9</c:f>
              <c:strCache>
                <c:ptCount val="5"/>
                <c:pt idx="0">
                  <c:v>Electronics</c:v>
                </c:pt>
                <c:pt idx="1">
                  <c:v>Accessories</c:v>
                </c:pt>
                <c:pt idx="2">
                  <c:v>Audio</c:v>
                </c:pt>
                <c:pt idx="3">
                  <c:v>Other</c:v>
                </c:pt>
                <c:pt idx="4">
                  <c:v>(blank)</c:v>
                </c:pt>
              </c:strCache>
            </c:strRef>
          </c:cat>
          <c:val>
            <c:numRef>
              <c:f>Analysis!$J$4:$J$9</c:f>
              <c:numCache>
                <c:formatCode>General</c:formatCode>
                <c:ptCount val="5"/>
                <c:pt idx="0">
                  <c:v>909292.58687500027</c:v>
                </c:pt>
                <c:pt idx="1">
                  <c:v>398341.92844907404</c:v>
                </c:pt>
                <c:pt idx="2">
                  <c:v>206213.99999999997</c:v>
                </c:pt>
                <c:pt idx="3">
                  <c:v>25683.49</c:v>
                </c:pt>
              </c:numCache>
            </c:numRef>
          </c:val>
          <c:extLst>
            <c:ext xmlns:c16="http://schemas.microsoft.com/office/drawing/2014/chart" uri="{C3380CC4-5D6E-409C-BE32-E72D297353CC}">
              <c16:uniqueId val="{00000008-6918-439A-959D-D300FC616B9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[messy_ecommerce_data.xlsx]Analysis!PivotTable13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a:t>
            </a:r>
            <a:r>
              <a:rPr lang="en-US" baseline="0"/>
              <a:t> Trend Over Time</a:t>
            </a:r>
            <a:endParaRPr lang="en-US"/>
          </a:p>
        </c:rich>
      </c:tx>
      <c:layout>
        <c:manualLayout>
          <c:xMode val="edge"/>
          <c:yMode val="edge"/>
          <c:x val="0.29672900262467189"/>
          <c:y val="9.68355364234720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Analysis!$B$17</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Analysis!$A$18:$A$21</c:f>
              <c:strCache>
                <c:ptCount val="3"/>
                <c:pt idx="0">
                  <c:v>&lt;1/8/2023</c:v>
                </c:pt>
                <c:pt idx="1">
                  <c:v>2023</c:v>
                </c:pt>
                <c:pt idx="2">
                  <c:v>2024</c:v>
                </c:pt>
              </c:strCache>
            </c:strRef>
          </c:cat>
          <c:val>
            <c:numRef>
              <c:f>Analysis!$B$18:$B$21</c:f>
              <c:numCache>
                <c:formatCode>_("$"* #,##0.00_);_("$"* \(#,##0.00\);_("$"* "-"??_);_(@_)</c:formatCode>
                <c:ptCount val="3"/>
                <c:pt idx="0">
                  <c:v>25504.326041666671</c:v>
                </c:pt>
                <c:pt idx="1">
                  <c:v>459821.58928240719</c:v>
                </c:pt>
                <c:pt idx="2">
                  <c:v>1054206.0899999999</c:v>
                </c:pt>
              </c:numCache>
            </c:numRef>
          </c:val>
          <c:smooth val="0"/>
          <c:extLst>
            <c:ext xmlns:c16="http://schemas.microsoft.com/office/drawing/2014/chart" uri="{C3380CC4-5D6E-409C-BE32-E72D297353CC}">
              <c16:uniqueId val="{00000000-CD7D-4C3C-B93A-EA73421A556F}"/>
            </c:ext>
          </c:extLst>
        </c:ser>
        <c:dLbls>
          <c:dLblPos val="t"/>
          <c:showLegendKey val="0"/>
          <c:showVal val="1"/>
          <c:showCatName val="0"/>
          <c:showSerName val="0"/>
          <c:showPercent val="0"/>
          <c:showBubbleSize val="0"/>
        </c:dLbls>
        <c:marker val="1"/>
        <c:smooth val="0"/>
        <c:axId val="1904193007"/>
        <c:axId val="1904194447"/>
      </c:lineChart>
      <c:catAx>
        <c:axId val="19041930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4194447"/>
        <c:crosses val="autoZero"/>
        <c:auto val="1"/>
        <c:lblAlgn val="ctr"/>
        <c:lblOffset val="100"/>
        <c:noMultiLvlLbl val="0"/>
      </c:catAx>
      <c:valAx>
        <c:axId val="1904194447"/>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419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Products</a:t>
            </a:r>
          </a:p>
        </c:rich>
      </c:tx>
      <c:layout>
        <c:manualLayout>
          <c:xMode val="edge"/>
          <c:yMode val="edge"/>
          <c:x val="0.34942366579177603"/>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97047244094488"/>
          <c:y val="0.23550707203266255"/>
          <c:w val="0.44003171478565178"/>
          <c:h val="0.6293157626130067"/>
        </c:manualLayout>
      </c:layout>
      <c:barChart>
        <c:barDir val="bar"/>
        <c:grouping val="clustered"/>
        <c:varyColors val="0"/>
        <c:ser>
          <c:idx val="0"/>
          <c:order val="0"/>
          <c:tx>
            <c:strRef>
              <c:f>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Analysis!$A$4:$A$13</c:f>
              <c:strCache>
                <c:ptCount val="9"/>
                <c:pt idx="0">
                  <c:v>Monitor</c:v>
                </c:pt>
                <c:pt idx="1">
                  <c:v>Laptop</c:v>
                </c:pt>
                <c:pt idx="2">
                  <c:v>Headphones</c:v>
                </c:pt>
                <c:pt idx="3">
                  <c:v>Webcam</c:v>
                </c:pt>
                <c:pt idx="4">
                  <c:v>Laptop Stand</c:v>
                </c:pt>
                <c:pt idx="5">
                  <c:v>Keyboard</c:v>
                </c:pt>
                <c:pt idx="6">
                  <c:v>Mouse</c:v>
                </c:pt>
                <c:pt idx="7">
                  <c:v>Usb Cable</c:v>
                </c:pt>
                <c:pt idx="8">
                  <c:v>(blank)</c:v>
                </c:pt>
              </c:strCache>
            </c:strRef>
          </c:cat>
          <c:val>
            <c:numRef>
              <c:f>Analysis!$B$4:$B$13</c:f>
              <c:numCache>
                <c:formatCode>General</c:formatCode>
                <c:ptCount val="9"/>
                <c:pt idx="0">
                  <c:v>431230.84083333326</c:v>
                </c:pt>
                <c:pt idx="1">
                  <c:v>279686.76604166662</c:v>
                </c:pt>
                <c:pt idx="2">
                  <c:v>206213.99999999997</c:v>
                </c:pt>
                <c:pt idx="3">
                  <c:v>199479.86999999997</c:v>
                </c:pt>
                <c:pt idx="4">
                  <c:v>177135.27604166663</c:v>
                </c:pt>
                <c:pt idx="5">
                  <c:v>115465.53000000001</c:v>
                </c:pt>
                <c:pt idx="6">
                  <c:v>104636.23240740743</c:v>
                </c:pt>
                <c:pt idx="7">
                  <c:v>25683.49</c:v>
                </c:pt>
              </c:numCache>
            </c:numRef>
          </c:val>
          <c:extLst>
            <c:ext xmlns:c16="http://schemas.microsoft.com/office/drawing/2014/chart" uri="{C3380CC4-5D6E-409C-BE32-E72D297353CC}">
              <c16:uniqueId val="{00000000-C295-4331-B9CF-50E2EAB38079}"/>
            </c:ext>
          </c:extLst>
        </c:ser>
        <c:dLbls>
          <c:dLblPos val="outEnd"/>
          <c:showLegendKey val="0"/>
          <c:showVal val="1"/>
          <c:showCatName val="0"/>
          <c:showSerName val="0"/>
          <c:showPercent val="0"/>
          <c:showBubbleSize val="0"/>
        </c:dLbls>
        <c:gapWidth val="115"/>
        <c:overlap val="-20"/>
        <c:axId val="1978219487"/>
        <c:axId val="1978216607"/>
      </c:barChart>
      <c:catAx>
        <c:axId val="1978219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16607"/>
        <c:crosses val="autoZero"/>
        <c:auto val="1"/>
        <c:lblAlgn val="ctr"/>
        <c:lblOffset val="100"/>
        <c:noMultiLvlLbl val="0"/>
      </c:catAx>
      <c:valAx>
        <c:axId val="197821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1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[messy_ecommerce_data.xlsx]Analysis!PivotTable13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a:t>
            </a:r>
            <a:r>
              <a:rPr lang="en-US" baseline="0"/>
              <a:t> Trend Over Time</a:t>
            </a:r>
            <a:endParaRPr lang="en-US"/>
          </a:p>
        </c:rich>
      </c:tx>
      <c:layout>
        <c:manualLayout>
          <c:xMode val="edge"/>
          <c:yMode val="edge"/>
          <c:x val="0.29672900262467189"/>
          <c:y val="9.68355364234720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Analysis!$B$17</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Analysis!$A$18:$A$21</c:f>
              <c:strCache>
                <c:ptCount val="3"/>
                <c:pt idx="0">
                  <c:v>&lt;1/8/2023</c:v>
                </c:pt>
                <c:pt idx="1">
                  <c:v>2023</c:v>
                </c:pt>
                <c:pt idx="2">
                  <c:v>2024</c:v>
                </c:pt>
              </c:strCache>
            </c:strRef>
          </c:cat>
          <c:val>
            <c:numRef>
              <c:f>Analysis!$B$18:$B$21</c:f>
              <c:numCache>
                <c:formatCode>_("$"* #,##0.00_);_("$"* \(#,##0.00\);_("$"* "-"??_);_(@_)</c:formatCode>
                <c:ptCount val="3"/>
                <c:pt idx="0">
                  <c:v>25504.326041666671</c:v>
                </c:pt>
                <c:pt idx="1">
                  <c:v>459821.58928240719</c:v>
                </c:pt>
                <c:pt idx="2">
                  <c:v>1054206.0899999999</c:v>
                </c:pt>
              </c:numCache>
            </c:numRef>
          </c:val>
          <c:smooth val="0"/>
          <c:extLst>
            <c:ext xmlns:c16="http://schemas.microsoft.com/office/drawing/2014/chart" uri="{C3380CC4-5D6E-409C-BE32-E72D297353CC}">
              <c16:uniqueId val="{00000000-266E-4CD8-944A-4E6ACB7AD75D}"/>
            </c:ext>
          </c:extLst>
        </c:ser>
        <c:dLbls>
          <c:dLblPos val="t"/>
          <c:showLegendKey val="0"/>
          <c:showVal val="1"/>
          <c:showCatName val="0"/>
          <c:showSerName val="0"/>
          <c:showPercent val="0"/>
          <c:showBubbleSize val="0"/>
        </c:dLbls>
        <c:marker val="1"/>
        <c:smooth val="0"/>
        <c:axId val="1904193007"/>
        <c:axId val="1904194447"/>
      </c:lineChart>
      <c:catAx>
        <c:axId val="19041930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4194447"/>
        <c:crosses val="autoZero"/>
        <c:auto val="1"/>
        <c:lblAlgn val="ctr"/>
        <c:lblOffset val="100"/>
        <c:noMultiLvlLbl val="0"/>
      </c:catAx>
      <c:valAx>
        <c:axId val="1904194447"/>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419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for Category</a:t>
            </a:r>
          </a:p>
        </c:rich>
      </c:tx>
      <c:layout>
        <c:manualLayout>
          <c:xMode val="edge"/>
          <c:yMode val="edge"/>
          <c:x val="0.57450000000000001"/>
          <c:y val="7.80157083514255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855109361329834"/>
          <c:y val="0.24271489315414388"/>
          <c:w val="0.30209864391951008"/>
          <c:h val="0.61574232169398402"/>
        </c:manualLayout>
      </c:layout>
      <c:pieChart>
        <c:varyColors val="1"/>
        <c:ser>
          <c:idx val="0"/>
          <c:order val="0"/>
          <c:tx>
            <c:strRef>
              <c:f>Analysis!$J$3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B58-4C50-9157-B3A7B340E29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B58-4C50-9157-B3A7B340E29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B58-4C50-9157-B3A7B340E29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B58-4C50-9157-B3A7B340E29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4C7-4720-9BA3-631D7C0A6D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Analysis!$I$4:$I$9</c:f>
              <c:strCache>
                <c:ptCount val="5"/>
                <c:pt idx="0">
                  <c:v>Electronics</c:v>
                </c:pt>
                <c:pt idx="1">
                  <c:v>Accessories</c:v>
                </c:pt>
                <c:pt idx="2">
                  <c:v>Audio</c:v>
                </c:pt>
                <c:pt idx="3">
                  <c:v>Other</c:v>
                </c:pt>
                <c:pt idx="4">
                  <c:v>(blank)</c:v>
                </c:pt>
              </c:strCache>
            </c:strRef>
          </c:cat>
          <c:val>
            <c:numRef>
              <c:f>Analysis!$J$4:$J$9</c:f>
              <c:numCache>
                <c:formatCode>General</c:formatCode>
                <c:ptCount val="5"/>
                <c:pt idx="0">
                  <c:v>909292.58687500027</c:v>
                </c:pt>
                <c:pt idx="1">
                  <c:v>398341.92844907404</c:v>
                </c:pt>
                <c:pt idx="2">
                  <c:v>206213.99999999997</c:v>
                </c:pt>
                <c:pt idx="3">
                  <c:v>25683.49</c:v>
                </c:pt>
              </c:numCache>
            </c:numRef>
          </c:val>
          <c:extLst>
            <c:ext xmlns:c16="http://schemas.microsoft.com/office/drawing/2014/chart" uri="{C3380CC4-5D6E-409C-BE32-E72D297353CC}">
              <c16:uniqueId val="{00000000-F63D-4C57-882B-776861C28E6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Customer Analysis</a:t>
            </a:r>
          </a:p>
        </c:rich>
      </c:tx>
      <c:layout>
        <c:manualLayout>
          <c:xMode val="edge"/>
          <c:yMode val="edge"/>
          <c:x val="0.36146513271354747"/>
          <c:y val="9.03947420886572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5754419230069"/>
          <c:y val="0.24981960821921406"/>
          <c:w val="0.73345893518121141"/>
          <c:h val="0.60678806730604884"/>
        </c:manualLayout>
      </c:layout>
      <c:barChart>
        <c:barDir val="bar"/>
        <c:grouping val="clustered"/>
        <c:varyColors val="0"/>
        <c:ser>
          <c:idx val="0"/>
          <c:order val="0"/>
          <c:tx>
            <c:strRef>
              <c:f>Analysis!$J$24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Analysis!$I$25:$I$35</c:f>
              <c:strCache>
                <c:ptCount val="10"/>
                <c:pt idx="0">
                  <c:v>CUST0174</c:v>
                </c:pt>
                <c:pt idx="1">
                  <c:v>CUST0138</c:v>
                </c:pt>
                <c:pt idx="2">
                  <c:v>CUST0069</c:v>
                </c:pt>
                <c:pt idx="3">
                  <c:v>CUST0161</c:v>
                </c:pt>
                <c:pt idx="4">
                  <c:v>CUST0003</c:v>
                </c:pt>
                <c:pt idx="5">
                  <c:v>CUST0267</c:v>
                </c:pt>
                <c:pt idx="6">
                  <c:v>CUST0019</c:v>
                </c:pt>
                <c:pt idx="7">
                  <c:v>CUST0111</c:v>
                </c:pt>
                <c:pt idx="8">
                  <c:v>CUST0122</c:v>
                </c:pt>
                <c:pt idx="9">
                  <c:v>CUST0020</c:v>
                </c:pt>
              </c:strCache>
            </c:strRef>
          </c:cat>
          <c:val>
            <c:numRef>
              <c:f>Analysis!$J$25:$J$35</c:f>
              <c:numCache>
                <c:formatCode>_("$"* #,##0.00_);_("$"* \(#,##0.00\);_("$"* "-"??_);_(@_)</c:formatCode>
                <c:ptCount val="10"/>
                <c:pt idx="0">
                  <c:v>304255.72000000003</c:v>
                </c:pt>
                <c:pt idx="1">
                  <c:v>153767.63999999998</c:v>
                </c:pt>
                <c:pt idx="2">
                  <c:v>86912.52</c:v>
                </c:pt>
                <c:pt idx="3">
                  <c:v>82367.55</c:v>
                </c:pt>
                <c:pt idx="4">
                  <c:v>81487.91</c:v>
                </c:pt>
                <c:pt idx="5">
                  <c:v>58801.32</c:v>
                </c:pt>
                <c:pt idx="6">
                  <c:v>53776.17</c:v>
                </c:pt>
                <c:pt idx="7">
                  <c:v>52179.19</c:v>
                </c:pt>
                <c:pt idx="8">
                  <c:v>51783.839999999997</c:v>
                </c:pt>
                <c:pt idx="9">
                  <c:v>50482.5</c:v>
                </c:pt>
              </c:numCache>
            </c:numRef>
          </c:val>
          <c:extLst>
            <c:ext xmlns:c16="http://schemas.microsoft.com/office/drawing/2014/chart" uri="{C3380CC4-5D6E-409C-BE32-E72D297353CC}">
              <c16:uniqueId val="{00000000-4AC6-4B2D-ABCB-6CFCCF3CA532}"/>
            </c:ext>
          </c:extLst>
        </c:ser>
        <c:dLbls>
          <c:showLegendKey val="0"/>
          <c:showVal val="0"/>
          <c:showCatName val="0"/>
          <c:showSerName val="0"/>
          <c:showPercent val="0"/>
          <c:showBubbleSize val="0"/>
        </c:dLbls>
        <c:gapWidth val="115"/>
        <c:overlap val="-20"/>
        <c:axId val="133165711"/>
        <c:axId val="133168111"/>
      </c:barChart>
      <c:catAx>
        <c:axId val="1331657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8111"/>
        <c:crosses val="autoZero"/>
        <c:auto val="1"/>
        <c:lblAlgn val="ctr"/>
        <c:lblOffset val="100"/>
        <c:noMultiLvlLbl val="0"/>
      </c:catAx>
      <c:valAx>
        <c:axId val="13316811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8</xdr:col>
      <xdr:colOff>571500</xdr:colOff>
      <xdr:row>26</xdr:row>
      <xdr:rowOff>76200</xdr:rowOff>
    </xdr:to>
    <xdr:graphicFrame macro="">
      <xdr:nvGraphicFramePr>
        <xdr:cNvPr id="7" name="Chart 6">
          <a:extLst>
            <a:ext uri="{FF2B5EF4-FFF2-40B4-BE49-F238E27FC236}">
              <a16:creationId xmlns:a16="http://schemas.microsoft.com/office/drawing/2014/main" id="{D3C5133F-5B1C-4B3D-A5B2-37A0DABEC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666751</xdr:colOff>
      <xdr:row>40</xdr:row>
      <xdr:rowOff>28575</xdr:rowOff>
    </xdr:from>
    <xdr:to>
      <xdr:col>5</xdr:col>
      <xdr:colOff>704850</xdr:colOff>
      <xdr:row>49</xdr:row>
      <xdr:rowOff>157163</xdr:rowOff>
    </xdr:to>
    <xdr:graphicFrame macro="">
      <xdr:nvGraphicFramePr>
        <xdr:cNvPr id="10" name="Chart 9">
          <a:extLst>
            <a:ext uri="{FF2B5EF4-FFF2-40B4-BE49-F238E27FC236}">
              <a16:creationId xmlns:a16="http://schemas.microsoft.com/office/drawing/2014/main" id="{10C43B23-C74B-46AA-896F-C48E73A6D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676274</xdr:colOff>
      <xdr:row>29</xdr:row>
      <xdr:rowOff>47625</xdr:rowOff>
    </xdr:from>
    <xdr:to>
      <xdr:col>11</xdr:col>
      <xdr:colOff>19050</xdr:colOff>
      <xdr:row>39</xdr:row>
      <xdr:rowOff>80963</xdr:rowOff>
    </xdr:to>
    <xdr:graphicFrame macro="">
      <xdr:nvGraphicFramePr>
        <xdr:cNvPr id="11" name="Chart 10">
          <a:extLst>
            <a:ext uri="{FF2B5EF4-FFF2-40B4-BE49-F238E27FC236}">
              <a16:creationId xmlns:a16="http://schemas.microsoft.com/office/drawing/2014/main" id="{50E3F088-BB81-411A-A877-51FC5C1A7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76200</xdr:colOff>
      <xdr:row>19</xdr:row>
      <xdr:rowOff>161925</xdr:rowOff>
    </xdr:from>
    <xdr:to>
      <xdr:col>11</xdr:col>
      <xdr:colOff>76200</xdr:colOff>
      <xdr:row>27</xdr:row>
      <xdr:rowOff>19050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1E6F6894-79A3-08A7-78F1-797BAA0858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05575" y="4114800"/>
              <a:ext cx="142875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10</xdr:row>
      <xdr:rowOff>152400</xdr:rowOff>
    </xdr:from>
    <xdr:to>
      <xdr:col>13</xdr:col>
      <xdr:colOff>238125</xdr:colOff>
      <xdr:row>19</xdr:row>
      <xdr:rowOff>57150</xdr:rowOff>
    </xdr:to>
    <mc:AlternateContent xmlns:mc="http://schemas.openxmlformats.org/markup-compatibility/2006" xmlns:a14="http://schemas.microsoft.com/office/drawing/2010/main">
      <mc:Choice Requires="a14">
        <xdr:graphicFrame macro="">
          <xdr:nvGraphicFramePr>
            <xdr:cNvPr id="13" name="Status">
              <a:extLst>
                <a:ext uri="{FF2B5EF4-FFF2-40B4-BE49-F238E27FC236}">
                  <a16:creationId xmlns:a16="http://schemas.microsoft.com/office/drawing/2014/main" id="{569E3615-AC61-5F91-5D73-03BF96905F2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124825" y="2390775"/>
              <a:ext cx="1400175"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85725</xdr:colOff>
      <xdr:row>10</xdr:row>
      <xdr:rowOff>180976</xdr:rowOff>
    </xdr:from>
    <xdr:to>
      <xdr:col>11</xdr:col>
      <xdr:colOff>57150</xdr:colOff>
      <xdr:row>19</xdr:row>
      <xdr:rowOff>76200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3A964485-4DA7-2430-C09D-F223C50473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15100" y="2419351"/>
              <a:ext cx="1400175" cy="1609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276224</xdr:colOff>
      <xdr:row>19</xdr:row>
      <xdr:rowOff>171450</xdr:rowOff>
    </xdr:from>
    <xdr:to>
      <xdr:col>13</xdr:col>
      <xdr:colOff>247649</xdr:colOff>
      <xdr:row>27</xdr:row>
      <xdr:rowOff>171450</xdr:rowOff>
    </xdr:to>
    <mc:AlternateContent xmlns:mc="http://schemas.openxmlformats.org/markup-compatibility/2006" xmlns:a14="http://schemas.microsoft.com/office/drawing/2010/main">
      <mc:Choice Requires="a14">
        <xdr:graphicFrame macro="">
          <xdr:nvGraphicFramePr>
            <xdr:cNvPr id="15" name="Products">
              <a:extLst>
                <a:ext uri="{FF2B5EF4-FFF2-40B4-BE49-F238E27FC236}">
                  <a16:creationId xmlns:a16="http://schemas.microsoft.com/office/drawing/2014/main" id="{45324BA5-D1B9-D59E-15B1-C80067C28D9B}"/>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8134349" y="4124325"/>
              <a:ext cx="1400175"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104775</xdr:colOff>
      <xdr:row>40</xdr:row>
      <xdr:rowOff>38101</xdr:rowOff>
    </xdr:from>
    <xdr:to>
      <xdr:col>8</xdr:col>
      <xdr:colOff>504825</xdr:colOff>
      <xdr:row>47</xdr:row>
      <xdr:rowOff>133351</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477D5565-70CE-438C-BADE-5312188464F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391025" y="7991476"/>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523875</xdr:colOff>
      <xdr:row>0</xdr:row>
      <xdr:rowOff>185737</xdr:rowOff>
    </xdr:from>
    <xdr:to>
      <xdr:col>6</xdr:col>
      <xdr:colOff>1114425</xdr:colOff>
      <xdr:row>12</xdr:row>
      <xdr:rowOff>19050</xdr:rowOff>
    </xdr:to>
    <xdr:graphicFrame macro="">
      <xdr:nvGraphicFramePr>
        <xdr:cNvPr id="2" name="Chart 1">
          <a:extLst>
            <a:ext uri="{FF2B5EF4-FFF2-40B4-BE49-F238E27FC236}">
              <a16:creationId xmlns:a16="http://schemas.microsoft.com/office/drawing/2014/main" id="{E20D5D6A-229B-DBE4-0830-720C14D75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523875</xdr:colOff>
      <xdr:row>13</xdr:row>
      <xdr:rowOff>14288</xdr:rowOff>
    </xdr:from>
    <xdr:to>
      <xdr:col>6</xdr:col>
      <xdr:colOff>1114425</xdr:colOff>
      <xdr:row>23</xdr:row>
      <xdr:rowOff>47626</xdr:rowOff>
    </xdr:to>
    <xdr:graphicFrame macro="">
      <xdr:nvGraphicFramePr>
        <xdr:cNvPr id="3" name="Chart 2">
          <a:extLst>
            <a:ext uri="{FF2B5EF4-FFF2-40B4-BE49-F238E27FC236}">
              <a16:creationId xmlns:a16="http://schemas.microsoft.com/office/drawing/2014/main" id="{BDF13285-18FF-51AB-C67B-7872BA16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247650</xdr:colOff>
      <xdr:row>1</xdr:row>
      <xdr:rowOff>4762</xdr:rowOff>
    </xdr:from>
    <xdr:to>
      <xdr:col>13</xdr:col>
      <xdr:colOff>895350</xdr:colOff>
      <xdr:row>10</xdr:row>
      <xdr:rowOff>133350</xdr:rowOff>
    </xdr:to>
    <xdr:graphicFrame macro="">
      <xdr:nvGraphicFramePr>
        <xdr:cNvPr id="4" name="Chart 3">
          <a:extLst>
            <a:ext uri="{FF2B5EF4-FFF2-40B4-BE49-F238E27FC236}">
              <a16:creationId xmlns:a16="http://schemas.microsoft.com/office/drawing/2014/main" id="{69816FD4-02A8-68B4-BD79-BB2A68069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380999</xdr:colOff>
      <xdr:row>22</xdr:row>
      <xdr:rowOff>185737</xdr:rowOff>
    </xdr:from>
    <xdr:to>
      <xdr:col>17</xdr:col>
      <xdr:colOff>561975</xdr:colOff>
      <xdr:row>35</xdr:row>
      <xdr:rowOff>66675</xdr:rowOff>
    </xdr:to>
    <xdr:graphicFrame macro="">
      <xdr:nvGraphicFramePr>
        <xdr:cNvPr id="5" name="Chart 4">
          <a:extLst>
            <a:ext uri="{FF2B5EF4-FFF2-40B4-BE49-F238E27FC236}">
              <a16:creationId xmlns:a16="http://schemas.microsoft.com/office/drawing/2014/main" id="{273973DD-A4C0-FB08-A637-A643917A4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vin ye" refreshedDate="46050.647586574072" createdVersion="8" refreshedVersion="8" minRefreshableVersion="3" recordCount="501" xr:uid="{FCEB551C-112E-46EA-83F2-090B67253D0E}">
  <cacheSource type="worksheet">
    <worksheetSource ref="A1:L1048576" sheet="Clean Data"/>
  </cacheSource>
  <cacheFields count="15">
    <cacheField name="Order ID" numFmtId="0">
      <sharedItems containsBlank="1"/>
    </cacheField>
    <cacheField name="Customer ID" numFmtId="0">
      <sharedItems containsBlank="1" count="227">
        <s v="CUST0022"/>
        <s v="CUST0097"/>
        <s v="CUST0255"/>
        <s v="CUST0182"/>
        <s v="CUST0164"/>
        <s v="CUST0128"/>
        <s v="CUST0254"/>
        <s v="CUST9999"/>
        <s v="CUST0125"/>
        <s v="CUST0078"/>
        <s v="CUST0087"/>
        <s v="CUST0061"/>
        <s v="CUST0112"/>
        <s v="CUST0086"/>
        <s v="CUST0126"/>
        <s v="CUST0186"/>
        <s v="CUST0001"/>
        <s v="CUST0174"/>
        <s v="CUST0074"/>
        <s v="CUST0257"/>
        <s v="CUST0045"/>
        <s v="CUST0242"/>
        <s v="CUST0027"/>
        <s v="CUST0065"/>
        <s v="CUST0233"/>
        <s v="CUST0288"/>
        <s v="CUST0204"/>
        <s v="CUST0287"/>
        <s v="CUST0043"/>
        <s v="CUST0245"/>
        <s v="CUST0230"/>
        <s v="CUST0116"/>
        <s v="CUST0264"/>
        <s v="CUST0080"/>
        <s v="CUST0024"/>
        <s v="CUST0051"/>
        <s v="CUST0250"/>
        <s v="CUST0055"/>
        <s v="CUST0106"/>
        <s v="CUST0102"/>
        <s v="CUST0192"/>
        <s v="CUST0238"/>
        <s v="CUST0231"/>
        <s v="CUST0075"/>
        <s v="CUST0085"/>
        <s v="CUST0190"/>
        <s v="CUST0069"/>
        <s v="CUST0021"/>
        <s v="CUST0221"/>
        <s v="CUST0256"/>
        <s v="CUST0090"/>
        <s v="CUST0163"/>
        <s v="CUST0176"/>
        <s v="CUST0089"/>
        <s v="CUST0259"/>
        <s v="CUST0169"/>
        <s v="CUST0039"/>
        <s v="CUST0002"/>
        <s v="CUST0290"/>
        <s v="CUST0115"/>
        <s v="CUST0091"/>
        <s v="CUST0101"/>
        <s v="CUST0137"/>
        <s v="CUST0286"/>
        <s v="CUST0068"/>
        <s v="CUST0298"/>
        <s v="CUST0236"/>
        <s v="CUST0196"/>
        <s v="CUST0240"/>
        <s v="CUST0119"/>
        <s v="CUST0140"/>
        <s v="CUST0209"/>
        <s v="CUST0200"/>
        <s v="CUST0038"/>
        <s v="CUST0249"/>
        <s v="CUST0020"/>
        <s v="CUST0029"/>
        <s v="CUST0099"/>
        <s v="CUST0104"/>
        <s v="CUST0212"/>
        <s v="CUST0279"/>
        <s v="CUST0077"/>
        <s v="CUST0008"/>
        <s v="CUST0155"/>
        <s v="CUST0285"/>
        <s v="CUST0227"/>
        <s v="CUST0223"/>
        <s v="CUST0015"/>
        <s v="CUST0211"/>
        <s v="CUST0276"/>
        <s v="CUST0067"/>
        <s v="CUST0243"/>
        <s v="CUST0094"/>
        <s v="CUST0025"/>
        <s v="CUST0005"/>
        <s v="CUST0134"/>
        <s v="CUST0193"/>
        <s v="CUST0207"/>
        <s v="CUST0166"/>
        <s v="CUST0009"/>
        <s v="CUST0180"/>
        <s v="CUST0179"/>
        <s v="CUST0070"/>
        <s v="CUST0046"/>
        <s v="CUST0162"/>
        <s v="CUST0278"/>
        <s v="CUST0198"/>
        <s v="CUST0143"/>
        <s v="CUST0056"/>
        <s v="CUST0103"/>
        <s v="CUST0195"/>
        <s v="CUST0183"/>
        <s v="CUST0076"/>
        <s v="CUST0172"/>
        <s v="CUST0296"/>
        <s v="CUST0096"/>
        <s v="CUST0131"/>
        <s v="CUST0217"/>
        <s v="CUST0153"/>
        <s v="CUST0144"/>
        <s v="CUST0047"/>
        <s v="CUST0173"/>
        <s v="CUST0016"/>
        <s v="CUST0291"/>
        <s v="CUST0175"/>
        <s v="CUST0239"/>
        <s v="CUST0201"/>
        <s v="CUST0141"/>
        <s v="CUST0224"/>
        <s v="CUST0281"/>
        <s v="CUST0031"/>
        <s v="CUST0215"/>
        <s v="CUST0095"/>
        <s v="CUST0149"/>
        <s v="CUST0214"/>
        <s v="CUST0036"/>
        <s v="CUST0082"/>
        <s v="CUST0165"/>
        <s v="CUST0188"/>
        <s v="CUST0152"/>
        <s v="CUST0019"/>
        <s v="CUST0187"/>
        <s v="CUST0277"/>
        <s v="CUST0026"/>
        <s v="CUST0210"/>
        <s v="CUST0123"/>
        <s v="CUST0167"/>
        <s v="CUST0052"/>
        <s v="CUST0271"/>
        <s v="CUST0084"/>
        <s v="CUST0194"/>
        <s v="CUST0266"/>
        <s v="CUST0059"/>
        <s v="CUST0011"/>
        <s v="CUST0284"/>
        <s v="CUST0073"/>
        <s v="CUST0023"/>
        <s v="CUST0263"/>
        <s v="CUST0127"/>
        <s v="CUST0283"/>
        <s v="CUST0267"/>
        <s v="CUST0111"/>
        <s v="CUST0146"/>
        <s v="CUST0234"/>
        <s v="CUST0060"/>
        <s v="CUST0122"/>
        <s v="CUST0120"/>
        <s v="CUST0216"/>
        <s v="CUST0232"/>
        <s v="CUST0159"/>
        <s v="CUST0040"/>
        <s v="CUST0168"/>
        <s v="CUST0274"/>
        <s v="CUST0261"/>
        <s v="CUST0156"/>
        <s v="CUST0161"/>
        <s v="CUST0145"/>
        <s v="CUST0241"/>
        <s v="CUST0003"/>
        <s v="CUST0129"/>
        <s v="CUST0118"/>
        <s v="CUST0032"/>
        <s v="CUST0130"/>
        <s v="CUST0034"/>
        <s v="CUST0109"/>
        <s v="CUST0280"/>
        <s v="CUST0098"/>
        <s v="CUST0071"/>
        <s v="CUST0275"/>
        <s v="CUST0147"/>
        <s v="CUST0138"/>
        <s v="CUST0132"/>
        <s v="CUST0205"/>
        <s v="CUST0203"/>
        <s v="CUST0289"/>
        <s v="CUST0171"/>
        <s v="CUST0226"/>
        <s v="CUST0057"/>
        <s v="CUST0262"/>
        <s v="CUST0083"/>
        <s v="CUST0300"/>
        <s v="CUST0053"/>
        <s v="CUST0107"/>
        <s v="CUST0246"/>
        <s v="CUST0154"/>
        <s v="CUST0050"/>
        <s v="CUST0018"/>
        <s v="CUST0004"/>
        <s v="CUST0282"/>
        <s v="CUST0017"/>
        <s v="CUST0007"/>
        <s v="CUST0265"/>
        <s v="CUST0062"/>
        <s v="CUST0218"/>
        <s v="CUST0189"/>
        <s v="CUST0213"/>
        <s v="CUST0139"/>
        <s v="CUST0258"/>
        <s v="CUST0251"/>
        <s v="CUST0088"/>
        <s v="CUST0299"/>
        <s v="CUST0133"/>
        <s v="CUST0079"/>
        <s v="CUST0191"/>
        <s v="CUST0012"/>
        <s v="CUST0252"/>
        <m/>
      </sharedItems>
    </cacheField>
    <cacheField name="Order Date" numFmtId="14">
      <sharedItems containsNonDate="0" containsDate="1" containsString="0" containsBlank="1" minDate="2023-01-08T00:00:00" maxDate="2024-12-31T00:00:00" count="347">
        <d v="2024-03-25T00:00:00"/>
        <d v="2024-06-12T00:00:00"/>
        <d v="2023-05-17T00:00:00"/>
        <d v="2024-03-01T00:00:00"/>
        <d v="2024-04-09T00:00:00"/>
        <d v="2023-10-09T00:00:00"/>
        <d v="2023-07-07T00:00:00"/>
        <d v="2023-07-27T00:00:00"/>
        <d v="2024-12-16T00:00:00"/>
        <d v="2024-09-11T00:00:00"/>
        <d v="2023-06-30T00:00:00"/>
        <d v="2024-01-04T00:00:00"/>
        <d v="2023-10-19T00:00:00"/>
        <d v="2023-10-16T00:00:00"/>
        <d v="2024-05-18T00:00:00"/>
        <d v="2023-06-08T00:00:00"/>
        <d v="2024-10-17T00:00:00"/>
        <m/>
        <d v="2023-06-01T00:00:00"/>
        <d v="2023-10-01T00:00:00"/>
        <d v="2024-02-06T00:00:00"/>
        <d v="2024-08-24T00:00:00"/>
        <d v="2024-03-27T00:00:00"/>
        <d v="2024-08-17T00:00:00"/>
        <d v="2023-10-15T00:00:00"/>
        <d v="2024-04-02T00:00:00"/>
        <d v="2023-10-13T00:00:00"/>
        <d v="2023-11-05T00:00:00"/>
        <d v="2023-04-05T00:00:00"/>
        <d v="2024-07-10T00:00:00"/>
        <d v="2024-03-13T00:00:00"/>
        <d v="2024-12-03T00:00:00"/>
        <d v="2023-05-10T00:00:00"/>
        <d v="2024-05-25T00:00:00"/>
        <d v="2024-12-26T00:00:00"/>
        <d v="2023-11-13T00:00:00"/>
        <d v="2023-01-12T00:00:00"/>
        <d v="2024-02-02T00:00:00"/>
        <d v="2024-03-03T00:00:00"/>
        <d v="2024-02-26T00:00:00"/>
        <d v="2023-11-16T00:00:00"/>
        <d v="2024-10-08T00:00:00"/>
        <d v="2023-01-30T00:00:00"/>
        <d v="2024-07-31T00:00:00"/>
        <d v="2024-05-24T00:00:00"/>
        <d v="2024-04-16T00:00:00"/>
        <d v="2023-05-28T00:00:00"/>
        <d v="2023-06-03T00:00:00"/>
        <d v="2023-04-08T00:00:00"/>
        <d v="2023-09-23T00:00:00"/>
        <d v="2024-07-15T00:00:00"/>
        <d v="2023-09-25T00:00:00"/>
        <d v="2024-08-01T00:00:00"/>
        <d v="2023-12-17T00:00:00"/>
        <d v="2023-01-08T00:00:00"/>
        <d v="2023-08-03T00:00:00"/>
        <d v="2023-03-31T00:00:00"/>
        <d v="2023-10-22T00:00:00"/>
        <d v="2023-05-29T00:00:00"/>
        <d v="2023-11-28T00:00:00"/>
        <d v="2023-06-29T00:00:00"/>
        <d v="2023-10-12T00:00:00"/>
        <d v="2023-06-21T00:00:00"/>
        <d v="2023-04-11T00:00:00"/>
        <d v="2023-05-23T00:00:00"/>
        <d v="2023-02-14T00:00:00"/>
        <d v="2023-08-06T00:00:00"/>
        <d v="2023-04-27T00:00:00"/>
        <d v="2024-11-28T00:00:00"/>
        <d v="2024-07-26T00:00:00"/>
        <d v="2024-05-26T00:00:00"/>
        <d v="2023-04-06T00:00:00"/>
        <d v="2023-09-06T00:00:00"/>
        <d v="2024-11-18T00:00:00"/>
        <d v="2023-07-18T00:00:00"/>
        <d v="2023-11-24T00:00:00"/>
        <d v="2023-08-27T00:00:00"/>
        <d v="2024-09-24T00:00:00"/>
        <d v="2024-02-21T00:00:00"/>
        <d v="2023-01-13T00:00:00"/>
        <d v="2024-08-06T00:00:00"/>
        <d v="2024-11-10T00:00:00"/>
        <d v="2024-06-29T00:00:00"/>
        <d v="2023-08-21T00:00:00"/>
        <d v="2024-03-28T00:00:00"/>
        <d v="2024-03-24T00:00:00"/>
        <d v="2024-06-11T00:00:00"/>
        <d v="2024-04-01T00:00:00"/>
        <d v="2023-04-22T00:00:00"/>
        <d v="2024-07-17T00:00:00"/>
        <d v="2023-05-15T00:00:00"/>
        <d v="2024-11-12T00:00:00"/>
        <d v="2024-09-06T00:00:00"/>
        <d v="2023-05-13T00:00:00"/>
        <d v="2024-06-19T00:00:00"/>
        <d v="2023-07-08T00:00:00"/>
        <d v="2023-06-24T00:00:00"/>
        <d v="2023-08-11T00:00:00"/>
        <d v="2024-04-12T00:00:00"/>
        <d v="2024-12-05T00:00:00"/>
        <d v="2024-05-22T00:00:00"/>
        <d v="2023-09-16T00:00:00"/>
        <d v="2024-05-05T00:00:00"/>
        <d v="2023-02-06T00:00:00"/>
        <d v="2023-09-04T00:00:00"/>
        <d v="2024-08-12T00:00:00"/>
        <d v="2023-04-09T00:00:00"/>
        <d v="2023-05-02T00:00:00"/>
        <d v="2024-03-09T00:00:00"/>
        <d v="2024-10-05T00:00:00"/>
        <d v="2024-06-15T00:00:00"/>
        <d v="2024-07-04T00:00:00"/>
        <d v="2024-12-23T00:00:00"/>
        <d v="2024-11-23T00:00:00"/>
        <d v="2024-04-08T00:00:00"/>
        <d v="2024-10-13T00:00:00"/>
        <d v="2023-12-16T00:00:00"/>
        <d v="2023-11-10T00:00:00"/>
        <d v="2024-07-27T00:00:00"/>
        <d v="2023-06-22T00:00:00"/>
        <d v="2024-11-11T00:00:00"/>
        <d v="2024-07-06T00:00:00"/>
        <d v="2024-05-28T00:00:00"/>
        <d v="2024-09-01T00:00:00"/>
        <d v="2023-09-10T00:00:00"/>
        <d v="2023-07-30T00:00:00"/>
        <d v="2024-02-23T00:00:00"/>
        <d v="2024-11-17T00:00:00"/>
        <d v="2023-11-12T00:00:00"/>
        <d v="2023-12-29T00:00:00"/>
        <d v="2024-06-10T00:00:00"/>
        <d v="2024-09-04T00:00:00"/>
        <d v="2024-12-24T00:00:00"/>
        <d v="2023-03-26T00:00:00"/>
        <d v="2024-05-04T00:00:00"/>
        <d v="2023-02-05T00:00:00"/>
        <d v="2023-03-28T00:00:00"/>
        <d v="2024-12-21T00:00:00"/>
        <d v="2023-01-15T00:00:00"/>
        <d v="2024-09-23T00:00:00"/>
        <d v="2023-02-26T00:00:00"/>
        <d v="2023-02-11T00:00:00"/>
        <d v="2023-02-02T00:00:00"/>
        <d v="2023-07-10T00:00:00"/>
        <d v="2024-09-13T00:00:00"/>
        <d v="2023-12-01T00:00:00"/>
        <d v="2023-02-22T00:00:00"/>
        <d v="2023-09-29T00:00:00"/>
        <d v="2024-10-14T00:00:00"/>
        <d v="2024-10-10T00:00:00"/>
        <d v="2023-07-01T00:00:00"/>
        <d v="2024-06-17T00:00:00"/>
        <d v="2023-12-04T00:00:00"/>
        <d v="2023-06-18T00:00:00"/>
        <d v="2024-08-15T00:00:00"/>
        <d v="2024-06-23T00:00:00"/>
        <d v="2024-01-09T00:00:00"/>
        <d v="2024-09-29T00:00:00"/>
        <d v="2024-05-02T00:00:00"/>
        <d v="2023-02-21T00:00:00"/>
        <d v="2024-05-08T00:00:00"/>
        <d v="2023-01-25T00:00:00"/>
        <d v="2024-01-10T00:00:00"/>
        <d v="2024-01-01T00:00:00"/>
        <d v="2024-01-11T00:00:00"/>
        <d v="2024-07-14T00:00:00"/>
        <d v="2024-01-08T00:00:00"/>
        <d v="2023-06-20T00:00:00"/>
        <d v="2023-02-12T00:00:00"/>
        <d v="2024-02-03T00:00:00"/>
        <d v="2023-04-12T00:00:00"/>
        <d v="2023-06-02T00:00:00"/>
        <d v="2024-11-29T00:00:00"/>
        <d v="2023-07-20T00:00:00"/>
        <d v="2024-08-09T00:00:00"/>
        <d v="2024-12-12T00:00:00"/>
        <d v="2023-07-15T00:00:00"/>
        <d v="2024-01-05T00:00:00"/>
        <d v="2023-09-24T00:00:00"/>
        <d v="2023-01-24T00:00:00"/>
        <d v="2023-10-11T00:00:00"/>
        <d v="2024-05-13T00:00:00"/>
        <d v="2023-09-12T00:00:00"/>
        <d v="2024-02-07T00:00:00"/>
        <d v="2023-12-27T00:00:00"/>
        <d v="2024-08-22T00:00:00"/>
        <d v="2023-08-13T00:00:00"/>
        <d v="2024-10-16T00:00:00"/>
        <d v="2024-02-19T00:00:00"/>
        <d v="2023-12-13T00:00:00"/>
        <d v="2024-02-24T00:00:00"/>
        <d v="2023-06-26T00:00:00"/>
        <d v="2023-02-24T00:00:00"/>
        <d v="2024-06-09T00:00:00"/>
        <d v="2024-04-03T00:00:00"/>
        <d v="2023-05-01T00:00:00"/>
        <d v="2024-06-13T00:00:00"/>
        <d v="2024-10-06T00:00:00"/>
        <d v="2024-10-21T00:00:00"/>
        <d v="2023-01-27T00:00:00"/>
        <d v="2023-01-16T00:00:00"/>
        <d v="2023-02-23T00:00:00"/>
        <d v="2024-01-30T00:00:00"/>
        <d v="2024-02-28T00:00:00"/>
        <d v="2023-02-03T00:00:00"/>
        <d v="2023-12-05T00:00:00"/>
        <d v="2023-02-01T00:00:00"/>
        <d v="2024-04-22T00:00:00"/>
        <d v="2024-11-24T00:00:00"/>
        <d v="2024-11-15T00:00:00"/>
        <d v="2024-08-05T00:00:00"/>
        <d v="2024-02-09T00:00:00"/>
        <d v="2023-03-25T00:00:00"/>
        <d v="2023-11-07T00:00:00"/>
        <d v="2024-11-13T00:00:00"/>
        <d v="2023-07-16T00:00:00"/>
        <d v="2023-04-02T00:00:00"/>
        <d v="2023-05-18T00:00:00"/>
        <d v="2024-08-10T00:00:00"/>
        <d v="2023-12-14T00:00:00"/>
        <d v="2023-10-30T00:00:00"/>
        <d v="2023-06-15T00:00:00"/>
        <d v="2024-09-10T00:00:00"/>
        <d v="2024-05-16T00:00:00"/>
        <d v="2023-09-28T00:00:00"/>
        <d v="2024-12-07T00:00:00"/>
        <d v="2024-08-18T00:00:00"/>
        <d v="2024-04-30T00:00:00"/>
        <d v="2024-03-18T00:00:00"/>
        <d v="2024-09-03T00:00:00"/>
        <d v="2023-11-21T00:00:00"/>
        <d v="2024-07-24T00:00:00"/>
        <d v="2024-09-20T00:00:00"/>
        <d v="2024-11-09T00:00:00"/>
        <d v="2023-03-30T00:00:00"/>
        <d v="2023-08-05T00:00:00"/>
        <d v="2024-01-17T00:00:00"/>
        <d v="2023-02-19T00:00:00"/>
        <d v="2023-11-25T00:00:00"/>
        <d v="2024-09-05T00:00:00"/>
        <d v="2024-07-22T00:00:00"/>
        <d v="2024-11-07T00:00:00"/>
        <d v="2024-07-28T00:00:00"/>
        <d v="2024-06-21T00:00:00"/>
        <d v="2024-11-30T00:00:00"/>
        <d v="2024-02-08T00:00:00"/>
        <d v="2024-08-21T00:00:00"/>
        <d v="2024-09-22T00:00:00"/>
        <d v="2024-03-17T00:00:00"/>
        <d v="2023-01-23T00:00:00"/>
        <d v="2023-05-24T00:00:00"/>
        <d v="2024-04-21T00:00:00"/>
        <d v="2023-02-16T00:00:00"/>
        <d v="2024-01-21T00:00:00"/>
        <d v="2023-10-04T00:00:00"/>
        <d v="2023-05-03T00:00:00"/>
        <d v="2024-01-26T00:00:00"/>
        <d v="2023-03-27T00:00:00"/>
        <d v="2024-08-13T00:00:00"/>
        <d v="2024-04-18T00:00:00"/>
        <d v="2023-06-04T00:00:00"/>
        <d v="2023-12-12T00:00:00"/>
        <d v="2023-12-24T00:00:00"/>
        <d v="2023-07-21T00:00:00"/>
        <d v="2023-10-08T00:00:00"/>
        <d v="2023-12-09T00:00:00"/>
        <d v="2023-01-22T00:00:00"/>
        <d v="2023-09-20T00:00:00"/>
        <d v="2024-07-05T00:00:00"/>
        <d v="2024-10-07T00:00:00"/>
        <d v="2024-12-27T00:00:00"/>
        <d v="2023-06-05T00:00:00"/>
        <d v="2024-06-18T00:00:00"/>
        <d v="2023-04-17T00:00:00"/>
        <d v="2023-06-23T00:00:00"/>
        <d v="2023-11-19T00:00:00"/>
        <d v="2024-12-17T00:00:00"/>
        <d v="2023-10-03T00:00:00"/>
        <d v="2024-09-02T00:00:00"/>
        <d v="2023-05-20T00:00:00"/>
        <d v="2024-06-03T00:00:00"/>
        <d v="2023-03-08T00:00:00"/>
        <d v="2024-12-28T00:00:00"/>
        <d v="2024-09-12T00:00:00"/>
        <d v="2024-11-05T00:00:00"/>
        <d v="2023-05-21T00:00:00"/>
        <d v="2023-12-19T00:00:00"/>
        <d v="2024-09-28T00:00:00"/>
        <d v="2023-03-29T00:00:00"/>
        <d v="2024-02-25T00:00:00"/>
        <d v="2024-01-18T00:00:00"/>
        <d v="2024-02-01T00:00:00"/>
        <d v="2023-06-27T00:00:00"/>
        <d v="2024-12-11T00:00:00"/>
        <d v="2023-10-05T00:00:00"/>
        <d v="2024-10-30T00:00:00"/>
        <d v="2024-09-27T00:00:00"/>
        <d v="2023-12-11T00:00:00"/>
        <d v="2023-07-11T00:00:00"/>
        <d v="2023-03-03T00:00:00"/>
        <d v="2024-09-30T00:00:00"/>
        <d v="2024-09-19T00:00:00"/>
        <d v="2023-11-08T00:00:00"/>
        <d v="2024-12-02T00:00:00"/>
        <d v="2024-10-01T00:00:00"/>
        <d v="2024-12-20T00:00:00"/>
        <d v="2023-02-20T00:00:00"/>
        <d v="2024-01-23T00:00:00"/>
        <d v="2023-03-07T00:00:00"/>
        <d v="2023-09-02T00:00:00"/>
        <d v="2024-08-14T00:00:00"/>
        <d v="2024-08-20T00:00:00"/>
        <d v="2023-12-03T00:00:00"/>
        <d v="2023-08-22T00:00:00"/>
        <d v="2023-03-23T00:00:00"/>
        <d v="2024-01-22T00:00:00"/>
        <d v="2024-01-06T00:00:00"/>
        <d v="2023-07-29T00:00:00"/>
        <d v="2023-04-13T00:00:00"/>
        <d v="2024-05-06T00:00:00"/>
        <d v="2023-07-24T00:00:00"/>
        <d v="2023-09-08T00:00:00"/>
        <d v="2024-04-26T00:00:00"/>
        <d v="2024-12-04T00:00:00"/>
        <d v="2023-04-28T00:00:00"/>
        <d v="2024-06-27T00:00:00"/>
        <d v="2023-05-14T00:00:00"/>
        <d v="2024-12-08T00:00:00"/>
        <d v="2023-01-14T00:00:00"/>
        <d v="2023-10-10T00:00:00"/>
        <d v="2024-07-19T00:00:00"/>
        <d v="2023-01-31T00:00:00"/>
        <d v="2024-08-27T00:00:00"/>
        <d v="2023-03-20T00:00:00"/>
        <d v="2023-06-19T00:00:00"/>
        <d v="2023-02-04T00:00:00"/>
        <d v="2024-11-26T00:00:00"/>
        <d v="2024-12-13T00:00:00"/>
        <d v="2023-03-11T00:00:00"/>
        <d v="2023-05-05T00:00:00"/>
        <d v="2023-10-28T00:00:00"/>
        <d v="2024-06-07T00:00:00"/>
        <d v="2023-10-02T00:00:00"/>
        <d v="2023-08-01T00:00:00"/>
        <d v="2023-07-13T00:00:00"/>
        <d v="2024-12-30T00:00:00"/>
        <d v="2023-12-31T00:00:00"/>
      </sharedItems>
      <fieldGroup par="14"/>
    </cacheField>
    <cacheField name="Products" numFmtId="0">
      <sharedItems containsBlank="1" count="9">
        <s v="Laptop Stand"/>
        <s v="Headphones"/>
        <s v="Laptop"/>
        <s v="Keyboard"/>
        <s v="Webcam"/>
        <s v="Mouse"/>
        <s v="Monitor"/>
        <s v="Usb Cable"/>
        <m/>
      </sharedItems>
    </cacheField>
    <cacheField name="Category" numFmtId="0">
      <sharedItems containsBlank="1" count="5">
        <s v="Accessories"/>
        <s v="Audio"/>
        <s v="Electronics"/>
        <s v="Other"/>
        <m/>
      </sharedItems>
    </cacheField>
    <cacheField name="Quantity" numFmtId="0">
      <sharedItems containsString="0" containsBlank="1" containsNumber="1" containsInteger="1" minValue="1" maxValue="999"/>
    </cacheField>
    <cacheField name="Order Type" numFmtId="0">
      <sharedItems containsBlank="1"/>
    </cacheField>
    <cacheField name="Unit Price" numFmtId="0">
      <sharedItems containsString="0" containsBlank="1" containsNumber="1" minValue="23.77" maxValue="988.01"/>
    </cacheField>
    <cacheField name="Revenue" numFmtId="0">
      <sharedItems containsString="0" containsBlank="1" containsNumber="1" minValue="0" maxValue="303186.51" count="392">
        <n v="94.16"/>
        <n v="329.72"/>
        <n v="7399.9800000000005"/>
        <n v="4554.55"/>
        <n v="423.71999999999997"/>
        <n v="84.24"/>
        <n v="2732.73"/>
        <n v="480.68999999999994"/>
        <n v="135.16999999999999"/>
        <n v="51.8"/>
        <n v="4882.7999999999993"/>
        <n v="295.98"/>
        <n v="182.70000000000002"/>
        <n v="373.92"/>
        <n v="777.12"/>
        <n v="732.24"/>
        <n v="299.15999999999997"/>
        <n v="4934.25"/>
        <n v="74.64"/>
        <n v="651.55999999999995"/>
        <n v="151.24"/>
        <n v="419.36"/>
        <n v="92.29083333333331"/>
        <n v="430.08"/>
        <n v="221.44"/>
        <n v="360.75"/>
        <n v="23.972407407407403"/>
        <n v="1124"/>
        <n v="542.15"/>
        <n v="267.04999999999995"/>
        <n v="161.28"/>
        <n v="187.8"/>
        <n v="675.84999999999991"/>
        <n v="767.65"/>
        <n v="2417.04"/>
        <n v="4654.3500000000004"/>
        <n v="1631.5"/>
        <n v="7653.28"/>
        <n v="195.52"/>
        <n v="129.5"/>
        <n v="347.28"/>
        <n v="1985.48"/>
        <n v="3895.4"/>
        <n v="250.25"/>
        <n v="380.17"/>
        <n v="1014.8599999999999"/>
        <n v="28.09"/>
        <n v="4464.1500000000005"/>
        <n v="2466.7799999999997"/>
        <n v="259.34999999999997"/>
        <n v="1980.23"/>
        <n v="1811.6999999999998"/>
        <n v="230.39999999999998"/>
        <n v="367.5"/>
        <n v="5870.76"/>
        <n v="345.08"/>
        <n v="1566.3999999999999"/>
        <n v="477.51"/>
        <n v="2610.4"/>
        <n v="292.2"/>
        <n v="49.14"/>
        <n v="907.56"/>
        <n v="418.25"/>
        <n v="348.68"/>
        <n v="313.32"/>
        <n v="2002.7000000000003"/>
        <n v="1356.9"/>
        <n v="2142.0699999999997"/>
        <n v="3529.6"/>
        <n v="27.28"/>
        <n v="4712.3500000000004"/>
        <n v="347.88"/>
        <n v="93.81"/>
        <n v="223.28"/>
        <n v="376"/>
        <n v="249.3"/>
        <n v="475.91999999999996"/>
        <n v="440.90000000000003"/>
        <n v="49810.14"/>
        <n v="238.64999999999998"/>
        <n v="1973.7"/>
        <n v="319.27999999999997"/>
        <n v="544.56000000000006"/>
        <n v="630.79999999999995"/>
        <n v="362.4"/>
        <n v="804.96"/>
        <n v="223.92"/>
        <n v="250.6"/>
        <n v="302.48"/>
        <n v="73.39"/>
        <n v="837.72"/>
        <n v="604.96"/>
        <n v="544.46"/>
        <n v="482.40000000000003"/>
        <n v="366.94"/>
        <n v="600.96"/>
        <n v="314.52"/>
        <n v="3255.2"/>
        <n v="190.44"/>
        <n v="255.47604166666659"/>
        <n v="394.64"/>
        <n v="4142.5"/>
        <n v="364.63"/>
        <n v="55.36"/>
        <n v="119.5"/>
        <n v="133.75"/>
        <n v="4171.25"/>
        <n v="822.55"/>
        <n v="88.26"/>
        <n v="4594.75"/>
        <n v="264.85000000000002"/>
        <n v="470.58000000000004"/>
        <n v="2711.55"/>
        <n v="7407.81"/>
        <n v="72.150000000000006"/>
        <n v="356.52"/>
        <n v="107.32"/>
        <n v="536.04"/>
        <n v="7722.09"/>
        <n v="843.62999999999988"/>
        <n v="191.51999999999998"/>
        <n v="623.08000000000004"/>
        <n v="277.77"/>
        <n v="264.02999999999997"/>
        <n v="5781.54"/>
        <n v="140.01"/>
        <n v="1178.6400000000001"/>
        <n v="405.36"/>
        <n v="598.08000000000004"/>
        <n v="1276.29"/>
        <n v="647.48"/>
        <n v="154.6"/>
        <m/>
        <n v="2792.31"/>
        <n v="103.08"/>
        <n v="162.44"/>
        <n v="775.95"/>
        <n v="431.19"/>
        <n v="79.97"/>
        <n v="199.16"/>
        <n v="51.42"/>
        <n v="349.86"/>
        <n v="640.22"/>
        <n v="485.73"/>
        <n v="304.62"/>
        <n v="3524.44"/>
        <n v="969.67"/>
        <n v="411"/>
        <n v="524.4"/>
        <n v="513.30999999999995"/>
        <n v="1216.96"/>
        <n v="448.02"/>
        <n v="414.96"/>
        <n v="901.86"/>
        <n v="292.68"/>
        <n v="78.3"/>
        <n v="91.55"/>
        <n v="238.41"/>
        <n v="875.31"/>
        <n v="384.51"/>
        <n v="339.8"/>
        <n v="78.300000000000011"/>
        <n v="4762.1499999999996"/>
        <n v="50.64"/>
        <n v="97.72"/>
        <n v="432.99"/>
        <n v="878.16"/>
        <n v="1470.87"/>
        <n v="441.27"/>
        <n v="1100.4000000000001"/>
        <n v="197.76"/>
        <n v="53776.17"/>
        <n v="138.09"/>
        <n v="1307.07"/>
        <n v="860.4"/>
        <n v="83.93"/>
        <n v="289.66000000000003"/>
        <n v="1399.05"/>
        <n v="80649.27"/>
        <n v="872.02"/>
        <n v="233.7"/>
        <n v="3465.08"/>
        <n v="3775.12"/>
        <n v="4113.8500000000004"/>
        <n v="388.56"/>
        <n v="183.06"/>
        <n v="233.70000000000002"/>
        <n v="274.8"/>
        <n v="392.08"/>
        <n v="97.14"/>
        <n v="549.18000000000006"/>
        <n v="456.45000000000005"/>
        <n v="215.56"/>
        <n v="1294.8800000000001"/>
        <n v="477.9"/>
        <n v="2900.34"/>
        <n v="184.1"/>
        <n v="866.88"/>
        <n v="183.02"/>
        <n v="163.4"/>
        <n v="6589.38"/>
        <n v="53866.080000000002"/>
        <n v="76.349999999999994"/>
        <n v="229.9"/>
        <n v="110.2"/>
        <n v="271.8"/>
        <n v="1918.56"/>
        <n v="84.09"/>
        <n v="5424.12"/>
        <n v="340.9"/>
        <n v="52.96"/>
        <n v="750.75"/>
        <n v="1216.8800000000001"/>
        <n v="522.29999999999995"/>
        <n v="1593.65"/>
        <n v="1263.92"/>
        <n v="267.14999999999998"/>
        <n v="819.02"/>
        <n v="7894.8"/>
        <n v="174.74"/>
        <n v="3672.68"/>
        <n v="1282.68"/>
        <n v="24625.35"/>
        <n v="158.34"/>
        <n v="557.94000000000005"/>
        <n v="180.08"/>
        <n v="2481.66"/>
        <n v="27.54"/>
        <n v="100.42"/>
        <n v="1024.0999999999999"/>
        <n v="3851.92"/>
        <n v="82367.55"/>
        <n v="588.72"/>
        <n v="1816.68"/>
        <n v="550.96"/>
        <n v="317.82"/>
        <n v="8559.81"/>
        <n v="874.44"/>
        <n v="51.13"/>
        <n v="2578.16"/>
        <n v="620.04"/>
        <n v="194.28"/>
        <n v="668.56"/>
        <n v="426"/>
        <n v="331.87"/>
        <n v="4830.25"/>
        <n v="325.08"/>
        <n v="353.15"/>
        <n v="479"/>
        <n v="49.76"/>
        <n v="92.67"/>
        <n v="857.74"/>
        <n v="136.32"/>
        <n v="449.85"/>
        <n v="570.90000000000009"/>
        <n v="81008.91"/>
        <n v="428.88"/>
        <n v="465.4"/>
        <n v="1364.1299999999999"/>
        <n v="385.05"/>
        <n v="160.63999999999999"/>
        <n v="5589.12"/>
        <n v="714.56"/>
        <n v="26.41"/>
        <n v="7291.2"/>
        <n v="186.96"/>
        <n v="264.81"/>
        <n v="26.94"/>
        <n v="2671.5"/>
        <n v="28171.8"/>
        <n v="859.05"/>
        <n v="141.19999999999999"/>
        <n v="1000.93"/>
        <n v="353.88"/>
        <n v="663.04"/>
        <n v="3552.84"/>
        <n v="426.7"/>
        <n v="193.6"/>
        <n v="24.52"/>
        <n v="268.8"/>
        <n v="82.38"/>
        <n v="80.22"/>
        <n v="671.37"/>
        <n v="412.23"/>
        <n v="107.52"/>
        <n v="156.08000000000001"/>
        <n v="48.98"/>
        <n v="255.2"/>
        <n v="410.22"/>
        <n v="83.51"/>
        <n v="728.2"/>
        <n v="171.26"/>
        <n v="4935.24"/>
        <n v="418.95"/>
        <n v="135.93"/>
        <n v="824.34"/>
        <n v="848.2"/>
        <n v="272.27999999999997"/>
        <n v="140.63999999999999"/>
        <n v="52.76"/>
        <n v="399.5"/>
        <n v="4541.05"/>
        <n v="286.7"/>
        <n v="1274.2"/>
        <n v="2584.8000000000002"/>
        <n v="902.97"/>
        <n v="231.21"/>
        <n v="172.82"/>
        <n v="397.68"/>
        <n v="49.51"/>
        <n v="153.72"/>
        <n v="365.44"/>
        <n v="437.04"/>
        <n v="191.16"/>
        <n v="27.06"/>
        <n v="414.54"/>
        <n v="143.46"/>
        <n v="323"/>
        <n v="608.79999999999995"/>
        <n v="283.23"/>
        <n v="1632"/>
        <n v="346.52"/>
        <n v="1446.9"/>
        <n v="49.28"/>
        <n v="191.45"/>
        <n v="843.31"/>
        <n v="2145.9899999999998"/>
        <n v="1927.1"/>
        <n v="162.46"/>
        <n v="28001.97"/>
        <n v="1078.6300000000001"/>
        <n v="184.8"/>
        <n v="303186.51"/>
        <n v="477.63"/>
        <n v="663.12"/>
        <n v="94.61"/>
        <n v="526.26"/>
        <n v="1390.05"/>
        <n v="340.48"/>
        <n v="181.37"/>
        <n v="223.52"/>
        <n v="50.85"/>
        <n v="7904.08"/>
        <n v="378.35"/>
        <n v="7227.6"/>
        <n v="286.32"/>
        <n v="153166.68"/>
        <n v="53.56"/>
        <n v="368"/>
        <n v="439.41"/>
        <n v="2238.39"/>
        <n v="900"/>
        <n v="1153.5999999999999"/>
        <n v="739.3"/>
        <n v="347.69"/>
        <n v="129.80000000000001"/>
        <n v="432.9"/>
        <n v="549.52"/>
        <n v="1084.32"/>
        <n v="428.05"/>
        <n v="364.96"/>
        <n v="436.25"/>
        <n v="432.12"/>
        <n v="5486.04"/>
        <n v="47312.639999999999"/>
        <n v="202.08"/>
        <n v="7745.76"/>
        <n v="443.37"/>
        <n v="2197.23"/>
        <n v="277.62"/>
        <n v="54.02"/>
        <n v="507.99"/>
        <n v="0"/>
        <n v="391.4"/>
        <n v="932.49"/>
        <n v="551.58000000000004"/>
        <n v="370.16"/>
        <n v="102.54"/>
        <n v="697.05"/>
        <n v="243.09"/>
        <n v="474.3"/>
        <n v="507.22"/>
        <n v="309.8"/>
        <n v="370.32"/>
        <n v="409.05"/>
        <n v="606.96"/>
        <n v="425.97"/>
        <n v="2852.55"/>
        <n v="91.28"/>
        <n v="168.72"/>
        <n v="53.54"/>
        <n v="361.5"/>
      </sharedItems>
    </cacheField>
    <cacheField name="Status" numFmtId="0">
      <sharedItems containsBlank="1" count="5">
        <s v="Pending"/>
        <s v="Refunded"/>
        <s v="Completed"/>
        <s v="Cancelled"/>
        <m/>
      </sharedItems>
    </cacheField>
    <cacheField name="Region" numFmtId="0">
      <sharedItems containsBlank="1" count="6">
        <s v="East"/>
        <s v="North"/>
        <s v="Central"/>
        <s v="West"/>
        <s v="South"/>
        <m/>
      </sharedItems>
    </cacheField>
    <cacheField name="Email" numFmtId="0">
      <sharedItems containsBlank="1"/>
    </cacheField>
    <cacheField name="Months (Order Date)" numFmtId="0" databaseField="0">
      <fieldGroup base="2">
        <rangePr groupBy="months" startDate="2023-01-08T00:00:00" endDate="2024-12-31T00:00:00"/>
        <groupItems count="14">
          <s v="&lt;1/8/2023"/>
          <s v="Jan"/>
          <s v="Feb"/>
          <s v="Mar"/>
          <s v="Apr"/>
          <s v="May"/>
          <s v="Jun"/>
          <s v="Jul"/>
          <s v="Aug"/>
          <s v="Sep"/>
          <s v="Oct"/>
          <s v="Nov"/>
          <s v="Dec"/>
          <s v="&gt;12/31/2024"/>
        </groupItems>
      </fieldGroup>
    </cacheField>
    <cacheField name="Quarters (Order Date)" numFmtId="0" databaseField="0">
      <fieldGroup base="2">
        <rangePr groupBy="quarters" startDate="2023-01-08T00:00:00" endDate="2024-12-31T00:00:00"/>
        <groupItems count="6">
          <s v="&lt;1/8/2023"/>
          <s v="Qtr1"/>
          <s v="Qtr2"/>
          <s v="Qtr3"/>
          <s v="Qtr4"/>
          <s v="&gt;12/31/2024"/>
        </groupItems>
      </fieldGroup>
    </cacheField>
    <cacheField name="Years (Order Date)" numFmtId="0" databaseField="0">
      <fieldGroup base="2">
        <rangePr groupBy="years" startDate="2023-01-08T00:00:00" endDate="2024-12-31T00:00:00"/>
        <groupItems count="4">
          <s v="&lt;1/8/2023"/>
          <s v="2023"/>
          <s v="2024"/>
          <s v="&gt;12/31/2024"/>
        </groupItems>
      </fieldGroup>
    </cacheField>
  </cacheFields>
  <extLst>
    <ext xmlns:x14="http://schemas.microsoft.com/office/spreadsheetml/2009/9/main" uri="{725AE2AE-9491-48be-B2B4-4EB974FC3084}">
      <x14:pivotCacheDefinition pivotCacheId="875812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ORD00305"/>
    <x v="0"/>
    <x v="0"/>
    <x v="0"/>
    <x v="0"/>
    <n v="2"/>
    <s v="Regular Order"/>
    <n v="47.08"/>
    <x v="0"/>
    <x v="0"/>
    <x v="0"/>
    <s v="customer0022@example.com"/>
  </r>
  <r>
    <s v="ORD00500"/>
    <x v="1"/>
    <x v="1"/>
    <x v="1"/>
    <x v="1"/>
    <n v="2"/>
    <s v="Regular Order"/>
    <n v="164.86"/>
    <x v="1"/>
    <x v="0"/>
    <x v="1"/>
    <s v="customer0097@example.com"/>
  </r>
  <r>
    <s v="ORD00442"/>
    <x v="2"/>
    <x v="2"/>
    <x v="2"/>
    <x v="2"/>
    <n v="9"/>
    <s v="Regular Order"/>
    <n v="822.22"/>
    <x v="2"/>
    <x v="1"/>
    <x v="0"/>
    <s v="customer0255@example.com"/>
  </r>
  <r>
    <s v="ORD00154"/>
    <x v="3"/>
    <x v="3"/>
    <x v="1"/>
    <x v="1"/>
    <n v="6"/>
    <s v="Regular Order"/>
    <n v="141.63"/>
    <x v="3"/>
    <x v="2"/>
    <x v="2"/>
    <s v="customer0182@example.com"/>
  </r>
  <r>
    <s v="ORD00074"/>
    <x v="4"/>
    <x v="4"/>
    <x v="3"/>
    <x v="0"/>
    <n v="2"/>
    <s v="Regular Order"/>
    <n v="79.34"/>
    <x v="4"/>
    <x v="2"/>
    <x v="1"/>
    <s v="customer0164@example.com"/>
  </r>
  <r>
    <s v="ORD00132"/>
    <x v="5"/>
    <x v="5"/>
    <x v="2"/>
    <x v="2"/>
    <n v="5"/>
    <s v="Regular Order"/>
    <n v="910.91"/>
    <x v="3"/>
    <x v="1"/>
    <x v="1"/>
    <s v="customer0128@example.com"/>
  </r>
  <r>
    <s v="ORD00205"/>
    <x v="6"/>
    <x v="6"/>
    <x v="2"/>
    <x v="2"/>
    <n v="7"/>
    <s v="Regular Order"/>
    <n v="843.12"/>
    <x v="5"/>
    <x v="2"/>
    <x v="2"/>
    <s v="customer0254@example.com"/>
  </r>
  <r>
    <s v="ORD00010"/>
    <x v="7"/>
    <x v="7"/>
    <x v="3"/>
    <x v="0"/>
    <n v="9"/>
    <s v="Regular Order"/>
    <n v="47.08"/>
    <x v="4"/>
    <x v="0"/>
    <x v="3"/>
    <m/>
  </r>
  <r>
    <s v="ORD00326"/>
    <x v="8"/>
    <x v="8"/>
    <x v="1"/>
    <x v="1"/>
    <n v="3"/>
    <s v="Regular Order"/>
    <n v="910.91"/>
    <x v="6"/>
    <x v="0"/>
    <x v="3"/>
    <s v="customer0125@example.com"/>
  </r>
  <r>
    <s v="ORD00248"/>
    <x v="9"/>
    <x v="9"/>
    <x v="2"/>
    <x v="2"/>
    <n v="1"/>
    <s v="Regular Order"/>
    <n v="84.24"/>
    <x v="5"/>
    <x v="1"/>
    <x v="3"/>
    <s v="customer0078@example.com"/>
  </r>
  <r>
    <s v="ORD00466"/>
    <x v="10"/>
    <x v="10"/>
    <x v="2"/>
    <x v="2"/>
    <n v="9"/>
    <s v="Regular Order"/>
    <n v="53.41"/>
    <x v="7"/>
    <x v="1"/>
    <x v="4"/>
    <s v="customer0087@example.com"/>
  </r>
  <r>
    <s v="ORD00354"/>
    <x v="11"/>
    <x v="11"/>
    <x v="2"/>
    <x v="2"/>
    <n v="1"/>
    <s v="Regular Order"/>
    <n v="135.16999999999999"/>
    <x v="8"/>
    <x v="0"/>
    <x v="3"/>
    <s v="customer0061@example.com"/>
  </r>
  <r>
    <s v="ORD00290"/>
    <x v="12"/>
    <x v="12"/>
    <x v="4"/>
    <x v="2"/>
    <n v="5"/>
    <s v="Regular Order"/>
    <n v="910.91"/>
    <x v="3"/>
    <x v="2"/>
    <x v="2"/>
    <s v="customer0112@example.com"/>
  </r>
  <r>
    <s v="ORD00085"/>
    <x v="13"/>
    <x v="13"/>
    <x v="2"/>
    <x v="2"/>
    <n v="2"/>
    <s v="Regular Order"/>
    <n v="25.9"/>
    <x v="9"/>
    <x v="0"/>
    <x v="3"/>
    <s v="customer0086@example.com"/>
  </r>
  <r>
    <s v="ORD00011"/>
    <x v="7"/>
    <x v="14"/>
    <x v="0"/>
    <x v="0"/>
    <n v="6"/>
    <s v="Regular Order"/>
    <n v="813.8"/>
    <x v="10"/>
    <x v="1"/>
    <x v="0"/>
    <m/>
  </r>
  <r>
    <s v="ORD00325"/>
    <x v="14"/>
    <x v="15"/>
    <x v="3"/>
    <x v="0"/>
    <n v="6"/>
    <s v="Regular Order"/>
    <n v="49.33"/>
    <x v="11"/>
    <x v="0"/>
    <x v="5"/>
    <s v="customer0126@example.com"/>
  </r>
  <r>
    <s v="ORD00079"/>
    <x v="15"/>
    <x v="16"/>
    <x v="0"/>
    <x v="0"/>
    <n v="7"/>
    <s v="Regular Order"/>
    <n v="26.1"/>
    <x v="12"/>
    <x v="0"/>
    <x v="1"/>
    <s v="customer0186@example.com"/>
  </r>
  <r>
    <s v="ORD00031"/>
    <x v="16"/>
    <x v="17"/>
    <x v="5"/>
    <x v="0"/>
    <n v="8"/>
    <s v="Regular Order"/>
    <n v="46.74"/>
    <x v="13"/>
    <x v="3"/>
    <x v="1"/>
    <s v="customer0001@example.com"/>
  </r>
  <r>
    <s v="ORD00185"/>
    <x v="17"/>
    <x v="18"/>
    <x v="3"/>
    <x v="0"/>
    <n v="8"/>
    <s v="Regular Order"/>
    <n v="97.14"/>
    <x v="14"/>
    <x v="3"/>
    <x v="3"/>
    <s v="customer0174@example.com"/>
  </r>
  <r>
    <s v="ORD00196"/>
    <x v="18"/>
    <x v="19"/>
    <x v="5"/>
    <x v="0"/>
    <n v="8"/>
    <s v="Regular Order"/>
    <n v="91.53"/>
    <x v="15"/>
    <x v="3"/>
    <x v="4"/>
    <s v="customer0074@example.com"/>
  </r>
  <r>
    <s v="ORD00223"/>
    <x v="19"/>
    <x v="16"/>
    <x v="1"/>
    <x v="1"/>
    <n v="6"/>
    <s v="Regular Order"/>
    <n v="49.86"/>
    <x v="16"/>
    <x v="2"/>
    <x v="3"/>
    <s v="customer0257@example.com"/>
  </r>
  <r>
    <s v="ORD00210"/>
    <x v="20"/>
    <x v="20"/>
    <x v="4"/>
    <x v="2"/>
    <n v="5"/>
    <s v="Regular Order"/>
    <n v="986.85"/>
    <x v="17"/>
    <x v="1"/>
    <x v="4"/>
    <s v="customer0045@example.com"/>
  </r>
  <r>
    <s v="ORD00282"/>
    <x v="21"/>
    <x v="21"/>
    <x v="0"/>
    <x v="0"/>
    <n v="3"/>
    <s v="Regular Order"/>
    <n v="24.88"/>
    <x v="18"/>
    <x v="3"/>
    <x v="1"/>
    <s v="customer0242@example.com"/>
  </r>
  <r>
    <s v="ORD00209"/>
    <x v="22"/>
    <x v="22"/>
    <x v="0"/>
    <x v="0"/>
    <n v="7"/>
    <s v="Regular Order"/>
    <n v="93.08"/>
    <x v="19"/>
    <x v="1"/>
    <x v="2"/>
    <s v="customer0027@example.com"/>
  </r>
  <r>
    <s v="ORD00125"/>
    <x v="23"/>
    <x v="23"/>
    <x v="5"/>
    <x v="0"/>
    <n v="1"/>
    <s v="Regular Order"/>
    <n v="151.24"/>
    <x v="20"/>
    <x v="1"/>
    <x v="4"/>
    <s v="customer0065@example.com"/>
  </r>
  <r>
    <s v="ORD00251"/>
    <x v="24"/>
    <x v="17"/>
    <x v="3"/>
    <x v="0"/>
    <n v="8"/>
    <s v="Regular Order"/>
    <n v="52.42"/>
    <x v="21"/>
    <x v="0"/>
    <x v="2"/>
    <s v="customer0233example.com"/>
  </r>
  <r>
    <s v="ORD00077"/>
    <x v="25"/>
    <x v="24"/>
    <x v="6"/>
    <x v="2"/>
    <n v="2"/>
    <s v="Regular Order"/>
    <n v="46.145416666666655"/>
    <x v="22"/>
    <x v="1"/>
    <x v="1"/>
    <s v="customer0288@example.com"/>
  </r>
  <r>
    <s v="ORD00383"/>
    <x v="26"/>
    <x v="25"/>
    <x v="4"/>
    <x v="2"/>
    <n v="8"/>
    <s v="Regular Order"/>
    <n v="53.76"/>
    <x v="23"/>
    <x v="3"/>
    <x v="4"/>
    <s v="customer0204@example.com"/>
  </r>
  <r>
    <s v="ORD00343"/>
    <x v="27"/>
    <x v="26"/>
    <x v="6"/>
    <x v="2"/>
    <n v="8"/>
    <s v="Regular Order"/>
    <n v="27.68"/>
    <x v="24"/>
    <x v="2"/>
    <x v="4"/>
    <s v="customer0287@example.com"/>
  </r>
  <r>
    <s v="ORD00324"/>
    <x v="25"/>
    <x v="27"/>
    <x v="3"/>
    <x v="0"/>
    <n v="5"/>
    <s v="Regular Order"/>
    <n v="72.150000000000006"/>
    <x v="25"/>
    <x v="1"/>
    <x v="1"/>
    <s v="customer0288@example.com"/>
  </r>
  <r>
    <s v="ORD00245"/>
    <x v="28"/>
    <x v="28"/>
    <x v="5"/>
    <x v="0"/>
    <n v="1"/>
    <s v="Regular Order"/>
    <n v="23.972407407407403"/>
    <x v="26"/>
    <x v="0"/>
    <x v="2"/>
    <s v="customer0043example.com"/>
  </r>
  <r>
    <s v="ORD00332"/>
    <x v="29"/>
    <x v="29"/>
    <x v="2"/>
    <x v="2"/>
    <n v="8"/>
    <s v="Regular Order"/>
    <n v="140.5"/>
    <x v="27"/>
    <x v="0"/>
    <x v="2"/>
    <s v="customer0245@example.com"/>
  </r>
  <r>
    <s v="ORD00141"/>
    <x v="30"/>
    <x v="30"/>
    <x v="5"/>
    <x v="0"/>
    <n v="7"/>
    <s v="Regular Order"/>
    <n v="77.45"/>
    <x v="28"/>
    <x v="1"/>
    <x v="1"/>
    <s v="customer0230@example.com"/>
  </r>
  <r>
    <s v="ORD00073"/>
    <x v="31"/>
    <x v="31"/>
    <x v="4"/>
    <x v="2"/>
    <n v="5"/>
    <s v="Regular Order"/>
    <m/>
    <x v="29"/>
    <x v="3"/>
    <x v="2"/>
    <s v="customer0116@example.com"/>
  </r>
  <r>
    <s v="ORD00401"/>
    <x v="32"/>
    <x v="17"/>
    <x v="2"/>
    <x v="2"/>
    <n v="3"/>
    <s v="Regular Order"/>
    <n v="53.76"/>
    <x v="30"/>
    <x v="0"/>
    <x v="1"/>
    <s v="0264@"/>
  </r>
  <r>
    <s v="ORD00488"/>
    <x v="33"/>
    <x v="32"/>
    <x v="6"/>
    <x v="2"/>
    <n v="2"/>
    <s v="Regular Order"/>
    <n v="287.94"/>
    <x v="31"/>
    <x v="0"/>
    <x v="3"/>
    <s v="customer0080@example.com"/>
  </r>
  <r>
    <s v="ORD00226"/>
    <x v="34"/>
    <x v="33"/>
    <x v="5"/>
    <x v="0"/>
    <n v="1"/>
    <s v="Regular Order"/>
    <n v="25.5"/>
    <x v="32"/>
    <x v="0"/>
    <x v="0"/>
    <s v="customer0024@example.com"/>
  </r>
  <r>
    <s v="ORD00178"/>
    <x v="35"/>
    <x v="34"/>
    <x v="7"/>
    <x v="3"/>
    <n v="1"/>
    <s v="Regular Order"/>
    <n v="49.6"/>
    <x v="33"/>
    <x v="0"/>
    <x v="0"/>
    <s v="customer0051@example.com"/>
  </r>
  <r>
    <s v="ORD00404"/>
    <x v="36"/>
    <x v="35"/>
    <x v="4"/>
    <x v="2"/>
    <n v="5"/>
    <s v="Regular Order"/>
    <n v="85.01"/>
    <x v="34"/>
    <x v="3"/>
    <x v="1"/>
    <s v="customer0250@example.com"/>
  </r>
  <r>
    <s v="ORD00069"/>
    <x v="37"/>
    <x v="36"/>
    <x v="2"/>
    <x v="2"/>
    <n v="5"/>
    <s v="Regular Order"/>
    <n v="930.87"/>
    <x v="35"/>
    <x v="1"/>
    <x v="3"/>
    <s v="customer0055@example.com"/>
  </r>
  <r>
    <s v="ORD00156"/>
    <x v="5"/>
    <x v="37"/>
    <x v="1"/>
    <x v="1"/>
    <n v="2"/>
    <s v="Regular Order"/>
    <n v="156.93"/>
    <x v="36"/>
    <x v="2"/>
    <x v="4"/>
    <s v="customer0128@example.com"/>
  </r>
  <r>
    <s v="ORD00056"/>
    <x v="38"/>
    <x v="38"/>
    <x v="2"/>
    <x v="2"/>
    <n v="8"/>
    <s v="Regular Order"/>
    <n v="956.66"/>
    <x v="37"/>
    <x v="1"/>
    <x v="1"/>
    <s v="customer0106@example.com"/>
  </r>
  <r>
    <s v="ORD00406"/>
    <x v="39"/>
    <x v="39"/>
    <x v="6"/>
    <x v="2"/>
    <n v="4"/>
    <s v="Regular Order"/>
    <n v="324.26"/>
    <x v="38"/>
    <x v="3"/>
    <x v="4"/>
    <s v="customer0102@example.com"/>
  </r>
  <r>
    <s v="ORD00299"/>
    <x v="40"/>
    <x v="40"/>
    <x v="4"/>
    <x v="2"/>
    <n v="1"/>
    <s v="Regular Order"/>
    <n v="95.83"/>
    <x v="39"/>
    <x v="1"/>
    <x v="4"/>
    <s v="customer0192@example.com"/>
  </r>
  <r>
    <s v="ORD00078"/>
    <x v="41"/>
    <x v="41"/>
    <x v="7"/>
    <x v="3"/>
    <n v="4"/>
    <s v="Regular Order"/>
    <n v="53.41"/>
    <x v="40"/>
    <x v="3"/>
    <x v="0"/>
    <s v="customer0238@example.com"/>
  </r>
  <r>
    <s v="ORD00469"/>
    <x v="42"/>
    <x v="42"/>
    <x v="4"/>
    <x v="2"/>
    <n v="2"/>
    <s v="Regular Order"/>
    <n v="97.69"/>
    <x v="41"/>
    <x v="0"/>
    <x v="0"/>
    <s v="customer0231@example.com"/>
  </r>
  <r>
    <s v="ORD00318"/>
    <x v="43"/>
    <x v="43"/>
    <x v="1"/>
    <x v="1"/>
    <n v="9"/>
    <s v="Regular Order"/>
    <n v="150.9"/>
    <x v="42"/>
    <x v="0"/>
    <x v="3"/>
    <s v="customer0075@example.com"/>
  </r>
  <r>
    <s v="ORD00476"/>
    <x v="44"/>
    <x v="44"/>
    <x v="4"/>
    <x v="2"/>
    <n v="7"/>
    <s v="Regular Order"/>
    <n v="98.37"/>
    <x v="43"/>
    <x v="1"/>
    <x v="4"/>
    <s v="customer0085@example.com"/>
  </r>
  <r>
    <s v="ORD00091"/>
    <x v="45"/>
    <x v="17"/>
    <x v="3"/>
    <x v="0"/>
    <n v="3"/>
    <s v="Regular Order"/>
    <n v="85.42"/>
    <x v="44"/>
    <x v="0"/>
    <x v="3"/>
    <s v="customer0190@example.com"/>
  </r>
  <r>
    <s v="ORD00239"/>
    <x v="46"/>
    <x v="45"/>
    <x v="0"/>
    <x v="0"/>
    <n v="8"/>
    <s v="Regular Order"/>
    <n v="45.15"/>
    <x v="45"/>
    <x v="1"/>
    <x v="2"/>
    <s v="customer0069@example.com"/>
  </r>
  <r>
    <s v="ORD00486"/>
    <x v="47"/>
    <x v="46"/>
    <x v="1"/>
    <x v="1"/>
    <n v="4"/>
    <s v="Regular Order"/>
    <n v="135.16999999999999"/>
    <x v="46"/>
    <x v="1"/>
    <x v="3"/>
    <s v="customer0021@example.com"/>
  </r>
  <r>
    <s v="ORD00064"/>
    <x v="48"/>
    <x v="47"/>
    <x v="2"/>
    <x v="2"/>
    <n v="5"/>
    <s v="Regular Order"/>
    <n v="53.41"/>
    <x v="29"/>
    <x v="1"/>
    <x v="3"/>
    <s v="customer0221@example.com"/>
  </r>
  <r>
    <s v="ORD00458"/>
    <x v="1"/>
    <x v="48"/>
    <x v="5"/>
    <x v="0"/>
    <n v="5"/>
    <s v="Regular Order"/>
    <n v="25.96"/>
    <x v="47"/>
    <x v="0"/>
    <x v="0"/>
    <s v="customer0097@example.com"/>
  </r>
  <r>
    <s v="ORD00071"/>
    <x v="49"/>
    <x v="49"/>
    <x v="2"/>
    <x v="2"/>
    <n v="3"/>
    <s v="Regular Order"/>
    <n v="822.26"/>
    <x v="48"/>
    <x v="1"/>
    <x v="3"/>
    <s v="customer0256@example.com"/>
  </r>
  <r>
    <s v="ORD00003"/>
    <x v="7"/>
    <x v="50"/>
    <x v="0"/>
    <x v="0"/>
    <n v="4"/>
    <s v="Regular Order"/>
    <n v="46.95"/>
    <x v="31"/>
    <x v="1"/>
    <x v="1"/>
    <m/>
  </r>
  <r>
    <s v="ORD00288"/>
    <x v="23"/>
    <x v="51"/>
    <x v="1"/>
    <x v="1"/>
    <n v="2"/>
    <s v="Regular Order"/>
    <n v="143.22999999999999"/>
    <x v="49"/>
    <x v="1"/>
    <x v="4"/>
    <s v="customer0065@example.com"/>
  </r>
  <r>
    <s v="ORD00342"/>
    <x v="50"/>
    <x v="52"/>
    <x v="7"/>
    <x v="3"/>
    <n v="5"/>
    <s v="Regular Order"/>
    <n v="47.15"/>
    <x v="50"/>
    <x v="1"/>
    <x v="5"/>
    <s v="customer0090@example.com"/>
  </r>
  <r>
    <s v="ORD00138"/>
    <x v="51"/>
    <x v="53"/>
    <x v="7"/>
    <x v="3"/>
    <n v="5"/>
    <s v="Regular Order"/>
    <n v="135.16999999999999"/>
    <x v="32"/>
    <x v="2"/>
    <x v="0"/>
    <s v="customer0163@example.com"/>
  </r>
  <r>
    <s v="ORD00250"/>
    <x v="52"/>
    <x v="54"/>
    <x v="7"/>
    <x v="3"/>
    <n v="1"/>
    <s v="Regular Order"/>
    <n v="48.16"/>
    <x v="51"/>
    <x v="2"/>
    <x v="4"/>
    <s v="customer0176@example.com"/>
  </r>
  <r>
    <s v="ORD00195"/>
    <x v="53"/>
    <x v="55"/>
    <x v="6"/>
    <x v="2"/>
    <n v="8"/>
    <s v="Regular Order"/>
    <n v="320.92"/>
    <x v="52"/>
    <x v="1"/>
    <x v="2"/>
    <s v="customer0089@example.com"/>
  </r>
  <r>
    <s v="ORD00173"/>
    <x v="10"/>
    <x v="56"/>
    <x v="1"/>
    <x v="1"/>
    <n v="5"/>
    <s v="Regular Order"/>
    <n v="153.53"/>
    <x v="33"/>
    <x v="0"/>
    <x v="2"/>
    <s v="customer0087@example.com"/>
  </r>
  <r>
    <s v="ORD00083"/>
    <x v="14"/>
    <x v="57"/>
    <x v="5"/>
    <x v="0"/>
    <n v="9"/>
    <s v="Regular Order"/>
    <n v="24.86"/>
    <x v="53"/>
    <x v="3"/>
    <x v="4"/>
    <s v="customer0126@example.com"/>
  </r>
  <r>
    <s v="ORD00454"/>
    <x v="54"/>
    <x v="58"/>
    <x v="3"/>
    <x v="0"/>
    <n v="2"/>
    <s v="Regular Order"/>
    <n v="73.11"/>
    <x v="54"/>
    <x v="0"/>
    <x v="1"/>
    <s v="customer0259@example.com"/>
  </r>
  <r>
    <s v="ORD00319"/>
    <x v="6"/>
    <x v="59"/>
    <x v="4"/>
    <x v="2"/>
    <n v="6"/>
    <s v="Regular Order"/>
    <n v="86.04"/>
    <x v="55"/>
    <x v="1"/>
    <x v="5"/>
    <s v="customer0254@example.com"/>
  </r>
  <r>
    <s v="ORD00034"/>
    <x v="16"/>
    <x v="57"/>
    <x v="0"/>
    <x v="0"/>
    <n v="5"/>
    <s v="Regular Order"/>
    <n v="54.39"/>
    <x v="56"/>
    <x v="1"/>
    <x v="1"/>
    <s v="customer0001@example.com"/>
  </r>
  <r>
    <s v="ORD00427"/>
    <x v="55"/>
    <x v="60"/>
    <x v="6"/>
    <x v="2"/>
    <n v="8"/>
    <s v="Regular Order"/>
    <n v="302.13"/>
    <x v="34"/>
    <x v="1"/>
    <x v="4"/>
    <s v="customer0169@example.com"/>
  </r>
  <r>
    <s v="ORD00228"/>
    <x v="56"/>
    <x v="61"/>
    <x v="4"/>
    <x v="2"/>
    <n v="999"/>
    <s v="Bulk Order"/>
    <n v="83.36"/>
    <x v="57"/>
    <x v="0"/>
    <x v="3"/>
    <s v="customer0039@example.com"/>
  </r>
  <r>
    <s v="ORD00001"/>
    <x v="7"/>
    <x v="17"/>
    <x v="6"/>
    <x v="2"/>
    <n v="8"/>
    <s v="Regular Order"/>
    <n v="326.3"/>
    <x v="58"/>
    <x v="2"/>
    <x v="1"/>
    <m/>
  </r>
  <r>
    <s v="ORD00012"/>
    <x v="7"/>
    <x v="62"/>
    <x v="6"/>
    <x v="2"/>
    <n v="1"/>
    <s v="Regular Order"/>
    <n v="286.10000000000002"/>
    <x v="59"/>
    <x v="0"/>
    <x v="4"/>
    <m/>
  </r>
  <r>
    <s v="ORD00238"/>
    <x v="57"/>
    <x v="63"/>
    <x v="1"/>
    <x v="1"/>
    <n v="6"/>
    <s v="Regular Order"/>
    <n v="160.79"/>
    <x v="60"/>
    <x v="1"/>
    <x v="5"/>
    <s v="customer0002@example.com"/>
  </r>
  <r>
    <s v="ORD00023"/>
    <x v="7"/>
    <x v="64"/>
    <x v="7"/>
    <x v="3"/>
    <n v="8"/>
    <s v="Regular Order"/>
    <n v="49.64"/>
    <x v="61"/>
    <x v="0"/>
    <x v="0"/>
    <m/>
  </r>
  <r>
    <s v="ORD00105"/>
    <x v="58"/>
    <x v="65"/>
    <x v="1"/>
    <x v="1"/>
    <n v="8"/>
    <s v="Regular Order"/>
    <n v="159.09"/>
    <x v="62"/>
    <x v="0"/>
    <x v="5"/>
    <s v="customer0290@example.com"/>
  </r>
  <r>
    <s v="ORD00297"/>
    <x v="59"/>
    <x v="66"/>
    <x v="2"/>
    <x v="2"/>
    <n v="5"/>
    <s v="Regular Order"/>
    <n v="961.27"/>
    <x v="63"/>
    <x v="3"/>
    <x v="1"/>
    <s v="customer0115@example.com"/>
  </r>
  <r>
    <s v="ORD00102"/>
    <x v="60"/>
    <x v="67"/>
    <x v="5"/>
    <x v="0"/>
    <n v="6"/>
    <s v="Regular Order"/>
    <n v="25.9"/>
    <x v="64"/>
    <x v="3"/>
    <x v="0"/>
    <s v="customer0091@example.com"/>
  </r>
  <r>
    <s v="ORD00080"/>
    <x v="61"/>
    <x v="68"/>
    <x v="6"/>
    <x v="2"/>
    <n v="5"/>
    <s v="Regular Order"/>
    <n v="326.3"/>
    <x v="36"/>
    <x v="1"/>
    <x v="3"/>
    <s v="customer0101@example.com"/>
  </r>
  <r>
    <s v="ORD00430"/>
    <x v="62"/>
    <x v="69"/>
    <x v="5"/>
    <x v="0"/>
    <n v="9"/>
    <s v="Regular Order"/>
    <n v="27.32"/>
    <x v="65"/>
    <x v="2"/>
    <x v="3"/>
    <s v="customer0137@example.com"/>
  </r>
  <r>
    <s v="ORD00432"/>
    <x v="63"/>
    <x v="70"/>
    <x v="6"/>
    <x v="2"/>
    <n v="5"/>
    <s v="Regular Order"/>
    <n v="271.38"/>
    <x v="66"/>
    <x v="0"/>
    <x v="1"/>
    <s v="customer0286@example.com"/>
  </r>
  <r>
    <s v="ORD00019"/>
    <x v="7"/>
    <x v="71"/>
    <x v="0"/>
    <x v="0"/>
    <n v="4"/>
    <s v="Regular Order"/>
    <n v="48.88"/>
    <x v="38"/>
    <x v="1"/>
    <x v="3"/>
    <m/>
  </r>
  <r>
    <s v="ORD00177"/>
    <x v="64"/>
    <x v="72"/>
    <x v="5"/>
    <x v="0"/>
    <n v="2"/>
    <s v="Regular Order"/>
    <n v="25.86"/>
    <x v="67"/>
    <x v="3"/>
    <x v="0"/>
    <s v="customer0068@example.com"/>
  </r>
  <r>
    <s v="ORD00232"/>
    <x v="65"/>
    <x v="8"/>
    <x v="2"/>
    <x v="2"/>
    <n v="2"/>
    <s v="Regular Order"/>
    <n v="968.74"/>
    <x v="68"/>
    <x v="3"/>
    <x v="0"/>
    <m/>
  </r>
  <r>
    <s v="ORD00378"/>
    <x v="51"/>
    <x v="73"/>
    <x v="4"/>
    <x v="2"/>
    <n v="5"/>
    <s v="Regular Order"/>
    <n v="25.9"/>
    <x v="39"/>
    <x v="0"/>
    <x v="4"/>
    <s v="customer0163@example.com"/>
  </r>
  <r>
    <s v="ORD00133"/>
    <x v="24"/>
    <x v="74"/>
    <x v="4"/>
    <x v="0"/>
    <n v="999"/>
    <s v="Bulk Order"/>
    <n v="89.62"/>
    <x v="69"/>
    <x v="1"/>
    <x v="2"/>
    <s v="customer0233@example.com"/>
  </r>
  <r>
    <s v="ORD00040"/>
    <x v="16"/>
    <x v="75"/>
    <x v="4"/>
    <x v="2"/>
    <n v="4"/>
    <s v="Regular Order"/>
    <n v="86.82"/>
    <x v="40"/>
    <x v="2"/>
    <x v="3"/>
    <s v="customer0001@example.com"/>
  </r>
  <r>
    <s v="ORD00465"/>
    <x v="62"/>
    <x v="58"/>
    <x v="6"/>
    <x v="2"/>
    <n v="7"/>
    <s v="Regular Order"/>
    <n v="283.64"/>
    <x v="41"/>
    <x v="2"/>
    <x v="4"/>
    <s v="customer0137@example.com"/>
  </r>
  <r>
    <s v="ORD00047"/>
    <x v="66"/>
    <x v="76"/>
    <x v="2"/>
    <x v="2"/>
    <n v="4"/>
    <s v="Regular Order"/>
    <n v="973.85"/>
    <x v="42"/>
    <x v="2"/>
    <x v="2"/>
    <s v="customer0236@example.com"/>
  </r>
  <r>
    <s v="ORD00358"/>
    <x v="46"/>
    <x v="77"/>
    <x v="1"/>
    <x v="1"/>
    <n v="8"/>
    <s v="Regular Order"/>
    <n v="147.83000000000001"/>
    <x v="70"/>
    <x v="1"/>
    <x v="0"/>
    <s v="customer0069@example.com"/>
  </r>
  <r>
    <s v="ORD00278"/>
    <x v="67"/>
    <x v="78"/>
    <x v="0"/>
    <x v="0"/>
    <n v="5"/>
    <s v="Regular Order"/>
    <n v="50.05"/>
    <x v="43"/>
    <x v="3"/>
    <x v="1"/>
    <s v="customer0196@example.com"/>
  </r>
  <r>
    <s v="ORD00363"/>
    <x v="68"/>
    <x v="79"/>
    <x v="4"/>
    <x v="2"/>
    <n v="8"/>
    <s v="Regular Order"/>
    <n v="84.88"/>
    <x v="71"/>
    <x v="0"/>
    <x v="3"/>
    <s v="customer0240@example.com"/>
  </r>
  <r>
    <s v="ORD00094"/>
    <x v="19"/>
    <x v="80"/>
    <x v="7"/>
    <x v="3"/>
    <n v="9"/>
    <s v="Regular Order"/>
    <n v="51.11"/>
    <x v="72"/>
    <x v="1"/>
    <x v="1"/>
    <s v="customer0257@example.com"/>
  </r>
  <r>
    <s v="ORD00447"/>
    <x v="69"/>
    <x v="81"/>
    <x v="2"/>
    <x v="2"/>
    <n v="1"/>
    <s v="Regular Order"/>
    <n v="970.18"/>
    <x v="73"/>
    <x v="3"/>
    <x v="1"/>
    <s v="0119@"/>
  </r>
  <r>
    <s v="ORD00204"/>
    <x v="70"/>
    <x v="82"/>
    <x v="1"/>
    <x v="1"/>
    <n v="2"/>
    <s v="Regular Order"/>
    <m/>
    <x v="74"/>
    <x v="1"/>
    <x v="2"/>
    <s v="customer0140example.com"/>
  </r>
  <r>
    <s v="ORD00451"/>
    <x v="71"/>
    <x v="17"/>
    <x v="5"/>
    <x v="0"/>
    <n v="8"/>
    <s v="Regular Order"/>
    <n v="23.77"/>
    <x v="75"/>
    <x v="1"/>
    <x v="4"/>
    <s v="customer0209@example.com"/>
  </r>
  <r>
    <s v="ORD00149"/>
    <x v="72"/>
    <x v="83"/>
    <x v="2"/>
    <x v="2"/>
    <n v="3"/>
    <s v="Regular Order"/>
    <n v="917.92"/>
    <x v="76"/>
    <x v="0"/>
    <x v="3"/>
    <s v="customer0200@example.com"/>
  </r>
  <r>
    <s v="ORD00221"/>
    <x v="73"/>
    <x v="84"/>
    <x v="7"/>
    <x v="3"/>
    <n v="7"/>
    <s v="Regular Order"/>
    <n v="54.31"/>
    <x v="44"/>
    <x v="3"/>
    <x v="4"/>
    <s v="customer0038@example.com"/>
  </r>
  <r>
    <s v="ORD00070"/>
    <x v="74"/>
    <x v="85"/>
    <x v="3"/>
    <x v="0"/>
    <n v="4"/>
    <s v="Regular Order"/>
    <n v="85.07"/>
    <x v="77"/>
    <x v="1"/>
    <x v="5"/>
    <s v="customer0249@example.com"/>
  </r>
  <r>
    <s v="ORD00254"/>
    <x v="75"/>
    <x v="86"/>
    <x v="2"/>
    <x v="2"/>
    <n v="7"/>
    <s v="Regular Order"/>
    <n v="48.86"/>
    <x v="78"/>
    <x v="0"/>
    <x v="3"/>
    <s v="customer0020@example.com"/>
  </r>
  <r>
    <s v="ORD00399"/>
    <x v="49"/>
    <x v="87"/>
    <x v="1"/>
    <x v="1"/>
    <n v="7"/>
    <s v="Regular Order"/>
    <n v="144.97999999999999"/>
    <x v="45"/>
    <x v="1"/>
    <x v="1"/>
    <s v="customer0256@example.com"/>
  </r>
  <r>
    <s v="ORD00168"/>
    <x v="76"/>
    <x v="88"/>
    <x v="3"/>
    <x v="0"/>
    <n v="3"/>
    <s v="Regular Order"/>
    <n v="72.400000000000006"/>
    <x v="79"/>
    <x v="1"/>
    <x v="3"/>
    <s v="customer0029@example.com"/>
  </r>
  <r>
    <s v="ORD00276"/>
    <x v="45"/>
    <x v="89"/>
    <x v="4"/>
    <x v="2"/>
    <n v="9"/>
    <s v="Regular Order"/>
    <n v="95.43"/>
    <x v="80"/>
    <x v="3"/>
    <x v="1"/>
    <s v="customer0190@example.com"/>
  </r>
  <r>
    <s v="ORD00321"/>
    <x v="77"/>
    <x v="17"/>
    <x v="6"/>
    <x v="2"/>
    <n v="6"/>
    <s v="Regular Order"/>
    <n v="281.68"/>
    <x v="81"/>
    <x v="0"/>
    <x v="1"/>
    <s v="customer0099example.com"/>
  </r>
  <r>
    <s v="ORD00330"/>
    <x v="41"/>
    <x v="90"/>
    <x v="1"/>
    <x v="1"/>
    <n v="5"/>
    <s v="Regular Order"/>
    <n v="151.13999999999999"/>
    <x v="82"/>
    <x v="1"/>
    <x v="3"/>
    <s v="customer0238@example.com"/>
  </r>
  <r>
    <s v="ORD00174"/>
    <x v="66"/>
    <x v="39"/>
    <x v="1"/>
    <x v="1"/>
    <n v="2"/>
    <s v="Regular Order"/>
    <n v="152.94999999999999"/>
    <x v="83"/>
    <x v="1"/>
    <x v="0"/>
    <s v="customer0236@example.com"/>
  </r>
  <r>
    <s v="ORD00273"/>
    <x v="78"/>
    <x v="91"/>
    <x v="5"/>
    <x v="0"/>
    <n v="1"/>
    <s v="Regular Order"/>
    <n v="28.09"/>
    <x v="46"/>
    <x v="1"/>
    <x v="3"/>
    <s v="customer0104@example.com"/>
  </r>
  <r>
    <s v="ORD00496"/>
    <x v="79"/>
    <x v="80"/>
    <x v="5"/>
    <x v="0"/>
    <n v="3"/>
    <s v="Regular Order"/>
    <n v="24.21"/>
    <x v="84"/>
    <x v="0"/>
    <x v="0"/>
    <s v="customer0212@example.com"/>
  </r>
  <r>
    <s v="ORD00183"/>
    <x v="80"/>
    <x v="92"/>
    <x v="0"/>
    <x v="0"/>
    <n v="7"/>
    <s v="Regular Order"/>
    <n v="50.74"/>
    <x v="85"/>
    <x v="0"/>
    <x v="3"/>
    <s v="customer0279@example.com"/>
  </r>
  <r>
    <s v="ORD00269"/>
    <x v="16"/>
    <x v="93"/>
    <x v="0"/>
    <x v="0"/>
    <n v="3"/>
    <s v="Regular Order"/>
    <n v="54.57"/>
    <x v="86"/>
    <x v="2"/>
    <x v="1"/>
    <s v="customer0001@example.com"/>
  </r>
  <r>
    <s v="ORD00353"/>
    <x v="81"/>
    <x v="41"/>
    <x v="0"/>
    <x v="0"/>
    <n v="5"/>
    <s v="Regular Order"/>
    <n v="50.12"/>
    <x v="87"/>
    <x v="2"/>
    <x v="3"/>
    <s v="customer0077@example.com"/>
  </r>
  <r>
    <s v="ORD00118"/>
    <x v="34"/>
    <x v="94"/>
    <x v="5"/>
    <x v="0"/>
    <n v="9"/>
    <s v="Regular Order"/>
    <m/>
    <x v="88"/>
    <x v="2"/>
    <x v="5"/>
    <s v="customer0024@example.com"/>
  </r>
  <r>
    <s v="ORD00394"/>
    <x v="82"/>
    <x v="95"/>
    <x v="2"/>
    <x v="2"/>
    <n v="5"/>
    <s v="Regular Order"/>
    <n v="892.83"/>
    <x v="47"/>
    <x v="2"/>
    <x v="4"/>
    <s v="customer0008@example.com"/>
  </r>
  <r>
    <s v="ORD00333"/>
    <x v="83"/>
    <x v="96"/>
    <x v="0"/>
    <x v="0"/>
    <n v="6"/>
    <s v="Regular Order"/>
    <n v="45.02"/>
    <x v="89"/>
    <x v="2"/>
    <x v="2"/>
    <s v="customer0155@example.com"/>
  </r>
  <r>
    <s v="ORD00456"/>
    <x v="84"/>
    <x v="97"/>
    <x v="2"/>
    <x v="2"/>
    <n v="6"/>
    <s v="Regular Order"/>
    <n v="813.8"/>
    <x v="90"/>
    <x v="2"/>
    <x v="4"/>
    <s v="customer0285@example.com"/>
  </r>
  <r>
    <s v="ORD00445"/>
    <x v="70"/>
    <x v="98"/>
    <x v="2"/>
    <x v="2"/>
    <n v="999"/>
    <s v="Bulk Order"/>
    <n v="917.66"/>
    <x v="91"/>
    <x v="3"/>
    <x v="2"/>
    <s v="customer0140@example.com"/>
  </r>
  <r>
    <s v="ORD00357"/>
    <x v="85"/>
    <x v="99"/>
    <x v="7"/>
    <x v="3"/>
    <n v="6"/>
    <s v="Regular Order"/>
    <n v="49.51"/>
    <x v="92"/>
    <x v="1"/>
    <x v="3"/>
    <s v="customer0227@example.com"/>
  </r>
  <r>
    <s v="ORD00087"/>
    <x v="82"/>
    <x v="100"/>
    <x v="6"/>
    <x v="2"/>
    <n v="6"/>
    <s v="Regular Order"/>
    <n v="324.36"/>
    <x v="93"/>
    <x v="1"/>
    <x v="2"/>
    <s v="customer0008@example.com"/>
  </r>
  <r>
    <s v="ORD00439"/>
    <x v="86"/>
    <x v="101"/>
    <x v="2"/>
    <x v="2"/>
    <n v="999"/>
    <s v="Bulk Order"/>
    <n v="928.36"/>
    <x v="94"/>
    <x v="2"/>
    <x v="5"/>
    <s v="customer0223@example.com"/>
  </r>
  <r>
    <s v="ORD00076"/>
    <x v="35"/>
    <x v="102"/>
    <x v="5"/>
    <x v="0"/>
    <n v="8"/>
    <s v="Regular Order"/>
    <n v="24.02"/>
    <x v="95"/>
    <x v="0"/>
    <x v="4"/>
    <s v="customer0051@example.com"/>
  </r>
  <r>
    <s v="ORD00452"/>
    <x v="87"/>
    <x v="103"/>
    <x v="5"/>
    <x v="0"/>
    <n v="3"/>
    <s v="Regular Order"/>
    <n v="27.59"/>
    <x v="96"/>
    <x v="2"/>
    <x v="0"/>
    <s v="customer0015@example.com"/>
  </r>
  <r>
    <s v="ORD00016"/>
    <x v="7"/>
    <x v="104"/>
    <x v="3"/>
    <x v="0"/>
    <n v="4"/>
    <s v="Regular Order"/>
    <n v="813.8"/>
    <x v="97"/>
    <x v="2"/>
    <x v="4"/>
    <m/>
  </r>
  <r>
    <s v="ORD00211"/>
    <x v="9"/>
    <x v="17"/>
    <x v="4"/>
    <x v="2"/>
    <n v="4"/>
    <s v="Regular Order"/>
    <n v="91.22"/>
    <x v="98"/>
    <x v="1"/>
    <x v="1"/>
    <s v="customer0078@example.com"/>
  </r>
  <r>
    <s v="ORD00181"/>
    <x v="88"/>
    <x v="17"/>
    <x v="0"/>
    <x v="0"/>
    <n v="6"/>
    <s v="Regular Order"/>
    <n v="46.76"/>
    <x v="99"/>
    <x v="0"/>
    <x v="3"/>
    <s v="customer0211@example.com"/>
  </r>
  <r>
    <s v="ORD00398"/>
    <x v="89"/>
    <x v="105"/>
    <x v="0"/>
    <x v="0"/>
    <n v="8"/>
    <s v="Regular Order"/>
    <n v="49.33"/>
    <x v="100"/>
    <x v="2"/>
    <x v="0"/>
    <s v="customer0276@example.com"/>
  </r>
  <r>
    <s v="ORD00020"/>
    <x v="7"/>
    <x v="106"/>
    <x v="6"/>
    <x v="2"/>
    <n v="5"/>
    <s v="Regular Order"/>
    <n v="328.11"/>
    <x v="101"/>
    <x v="0"/>
    <x v="2"/>
    <m/>
  </r>
  <r>
    <s v="ORD00341"/>
    <x v="90"/>
    <x v="90"/>
    <x v="7"/>
    <x v="3"/>
    <n v="5"/>
    <s v="Regular Order"/>
    <n v="51.87"/>
    <x v="49"/>
    <x v="0"/>
    <x v="5"/>
    <s v="0067@"/>
  </r>
  <r>
    <s v="ORD00057"/>
    <x v="91"/>
    <x v="107"/>
    <x v="3"/>
    <x v="0"/>
    <n v="6"/>
    <s v="Regular Order"/>
    <n v="73.3"/>
    <x v="102"/>
    <x v="2"/>
    <x v="3"/>
    <s v="customer0243@example.com"/>
  </r>
  <r>
    <s v="ORD00279"/>
    <x v="92"/>
    <x v="108"/>
    <x v="0"/>
    <x v="0"/>
    <n v="8"/>
    <s v="Regular Order"/>
    <n v="47.41"/>
    <x v="103"/>
    <x v="3"/>
    <x v="2"/>
    <s v="customer0094@example.com"/>
  </r>
  <r>
    <s v="ORD00468"/>
    <x v="93"/>
    <x v="109"/>
    <x v="3"/>
    <x v="0"/>
    <n v="999"/>
    <s v="Bulk Order"/>
    <n v="81.42"/>
    <x v="104"/>
    <x v="2"/>
    <x v="5"/>
    <s v="0025@"/>
  </r>
  <r>
    <s v="ORD00155"/>
    <x v="94"/>
    <x v="110"/>
    <x v="4"/>
    <x v="2"/>
    <n v="3"/>
    <s v="Regular Order"/>
    <n v="92.66"/>
    <x v="105"/>
    <x v="3"/>
    <x v="2"/>
    <s v="customer0005@example.com"/>
  </r>
  <r>
    <s v="ORD00026"/>
    <x v="7"/>
    <x v="111"/>
    <x v="5"/>
    <x v="0"/>
    <n v="1"/>
    <s v="Regular Order"/>
    <m/>
    <x v="106"/>
    <x v="2"/>
    <x v="3"/>
    <m/>
  </r>
  <r>
    <s v="ORD00266"/>
    <x v="95"/>
    <x v="112"/>
    <x v="0"/>
    <x v="0"/>
    <n v="6"/>
    <s v="Regular Order"/>
    <n v="53.06"/>
    <x v="107"/>
    <x v="0"/>
    <x v="5"/>
    <s v="customer0134@example.com"/>
  </r>
  <r>
    <s v="ORD00043"/>
    <x v="96"/>
    <x v="113"/>
    <x v="6"/>
    <x v="2"/>
    <n v="7"/>
    <s v="Regular Order"/>
    <n v="282.89"/>
    <x v="50"/>
    <x v="3"/>
    <x v="0"/>
    <s v="customer0193@example.com"/>
  </r>
  <r>
    <s v="ORD00313"/>
    <x v="97"/>
    <x v="114"/>
    <x v="0"/>
    <x v="0"/>
    <n v="7"/>
    <s v="Regular Order"/>
    <n v="45.78"/>
    <x v="108"/>
    <x v="0"/>
    <x v="3"/>
    <s v="customer0207@example.com"/>
  </r>
  <r>
    <s v="ORD00413"/>
    <x v="98"/>
    <x v="115"/>
    <x v="3"/>
    <x v="0"/>
    <n v="7"/>
    <s v="Regular Order"/>
    <n v="81.319999999999993"/>
    <x v="109"/>
    <x v="1"/>
    <x v="4"/>
    <s v="customer0166@example.com"/>
  </r>
  <r>
    <s v="ORD00457"/>
    <x v="99"/>
    <x v="116"/>
    <x v="6"/>
    <x v="2"/>
    <n v="5"/>
    <s v="Regular Order"/>
    <n v="290.08"/>
    <x v="110"/>
    <x v="1"/>
    <x v="0"/>
    <s v="customer0009@example.com"/>
  </r>
  <r>
    <s v="ORD00285"/>
    <x v="100"/>
    <x v="45"/>
    <x v="5"/>
    <x v="0"/>
    <n v="9"/>
    <s v="Regular Order"/>
    <n v="28.42"/>
    <x v="111"/>
    <x v="2"/>
    <x v="4"/>
    <s v="customer0180@example.com"/>
  </r>
  <r>
    <s v="ORD00127"/>
    <x v="11"/>
    <x v="117"/>
    <x v="2"/>
    <x v="2"/>
    <n v="3"/>
    <s v="Regular Order"/>
    <n v="903.85"/>
    <x v="112"/>
    <x v="2"/>
    <x v="3"/>
    <s v="customer0061@example.com"/>
  </r>
  <r>
    <s v="ORD00335"/>
    <x v="101"/>
    <x v="118"/>
    <x v="7"/>
    <x v="3"/>
    <n v="7"/>
    <s v="Regular Order"/>
    <n v="50.77"/>
    <x v="113"/>
    <x v="1"/>
    <x v="3"/>
    <s v="customer0179@example.com"/>
  </r>
  <r>
    <s v="ORD00032"/>
    <x v="16"/>
    <x v="119"/>
    <x v="6"/>
    <x v="2"/>
    <n v="6"/>
    <s v="Regular Order"/>
    <n v="301.95"/>
    <x v="51"/>
    <x v="0"/>
    <x v="5"/>
    <s v="customer0001@example.com"/>
  </r>
  <r>
    <s v="ORD00114"/>
    <x v="102"/>
    <x v="120"/>
    <x v="0"/>
    <x v="0"/>
    <n v="7"/>
    <s v="Regular Order"/>
    <n v="46.89"/>
    <x v="114"/>
    <x v="3"/>
    <x v="4"/>
    <s v="customer0070@example.com"/>
  </r>
  <r>
    <s v="ORD00256"/>
    <x v="103"/>
    <x v="41"/>
    <x v="4"/>
    <x v="2"/>
    <n v="4"/>
    <s v="Regular Order"/>
    <n v="85.7"/>
    <x v="115"/>
    <x v="3"/>
    <x v="0"/>
    <s v="customer0046@example.com"/>
  </r>
  <r>
    <s v="ORD00219"/>
    <x v="104"/>
    <x v="52"/>
    <x v="0"/>
    <x v="0"/>
    <n v="7"/>
    <s v="Regular Order"/>
    <n v="48.03"/>
    <x v="116"/>
    <x v="0"/>
    <x v="3"/>
    <s v="customer0162@example.com"/>
  </r>
  <r>
    <s v="ORD00417"/>
    <x v="105"/>
    <x v="121"/>
    <x v="6"/>
    <x v="2"/>
    <n v="4"/>
    <s v="Regular Order"/>
    <n v="313.83"/>
    <x v="27"/>
    <x v="0"/>
    <x v="2"/>
    <s v="customer0278@example.com"/>
  </r>
  <r>
    <s v="ORD00058"/>
    <x v="75"/>
    <x v="18"/>
    <x v="5"/>
    <x v="0"/>
    <n v="3"/>
    <s v="Regular Order"/>
    <n v="26.63"/>
    <x v="117"/>
    <x v="3"/>
    <x v="4"/>
    <s v="customer0020@example.com"/>
  </r>
  <r>
    <s v="ORD00397"/>
    <x v="22"/>
    <x v="122"/>
    <x v="2"/>
    <x v="2"/>
    <n v="5"/>
    <s v="Regular Order"/>
    <n v="46.08"/>
    <x v="52"/>
    <x v="2"/>
    <x v="3"/>
    <s v="customer0027@example.com"/>
  </r>
  <r>
    <s v="ORD00025"/>
    <x v="7"/>
    <x v="123"/>
    <x v="2"/>
    <x v="2"/>
    <n v="5"/>
    <s v="Regular Order"/>
    <n v="853.39"/>
    <x v="118"/>
    <x v="2"/>
    <x v="1"/>
    <m/>
  </r>
  <r>
    <s v="ORD00018"/>
    <x v="7"/>
    <x v="124"/>
    <x v="3"/>
    <x v="0"/>
    <n v="5"/>
    <s v="Regular Order"/>
    <n v="78.680000000000007"/>
    <x v="119"/>
    <x v="1"/>
    <x v="1"/>
    <m/>
  </r>
  <r>
    <s v="ORD00193"/>
    <x v="106"/>
    <x v="125"/>
    <x v="5"/>
    <x v="0"/>
    <n v="7"/>
    <s v="Regular Order"/>
    <n v="27.36"/>
    <x v="120"/>
    <x v="3"/>
    <x v="0"/>
    <s v="customer0198@example.com"/>
  </r>
  <r>
    <s v="ORD00067"/>
    <x v="107"/>
    <x v="126"/>
    <x v="6"/>
    <x v="2"/>
    <n v="2"/>
    <s v="Regular Order"/>
    <n v="311.54000000000002"/>
    <x v="121"/>
    <x v="1"/>
    <x v="2"/>
    <s v="customer0143@example.com"/>
  </r>
  <r>
    <s v="ORD00287"/>
    <x v="108"/>
    <x v="127"/>
    <x v="3"/>
    <x v="0"/>
    <n v="5"/>
    <s v="Regular Order"/>
    <n v="73.5"/>
    <x v="53"/>
    <x v="3"/>
    <x v="3"/>
    <s v="customer0056@example.com"/>
  </r>
  <r>
    <s v="ORD00423"/>
    <x v="109"/>
    <x v="128"/>
    <x v="4"/>
    <x v="2"/>
    <n v="3"/>
    <s v="Regular Order"/>
    <n v="92.59"/>
    <x v="122"/>
    <x v="3"/>
    <x v="0"/>
    <s v="customer0103@example.com"/>
  </r>
  <r>
    <s v="ORD00095"/>
    <x v="38"/>
    <x v="129"/>
    <x v="4"/>
    <x v="2"/>
    <n v="3"/>
    <s v="Regular Order"/>
    <n v="88.01"/>
    <x v="123"/>
    <x v="1"/>
    <x v="1"/>
    <s v="customer0106example.com"/>
  </r>
  <r>
    <s v="ORD00312"/>
    <x v="110"/>
    <x v="130"/>
    <x v="2"/>
    <x v="2"/>
    <n v="6"/>
    <s v="Regular Order"/>
    <n v="963.59"/>
    <x v="124"/>
    <x v="3"/>
    <x v="2"/>
    <s v="customer0195@example.com"/>
  </r>
  <r>
    <s v="ORD00369"/>
    <x v="6"/>
    <x v="131"/>
    <x v="7"/>
    <x v="3"/>
    <n v="3"/>
    <s v="Regular Order"/>
    <n v="46.67"/>
    <x v="125"/>
    <x v="0"/>
    <x v="3"/>
    <s v="customer0254@example.com"/>
  </r>
  <r>
    <s v="ORD00024"/>
    <x v="7"/>
    <x v="132"/>
    <x v="1"/>
    <x v="1"/>
    <n v="8"/>
    <s v="Regular Order"/>
    <n v="147.33000000000001"/>
    <x v="126"/>
    <x v="0"/>
    <x v="1"/>
    <m/>
  </r>
  <r>
    <s v="ORD00272"/>
    <x v="55"/>
    <x v="133"/>
    <x v="0"/>
    <x v="0"/>
    <n v="9"/>
    <s v="Regular Order"/>
    <n v="45.04"/>
    <x v="127"/>
    <x v="1"/>
    <x v="2"/>
    <s v="customer0169@example.com"/>
  </r>
  <r>
    <s v="ORD00300"/>
    <x v="111"/>
    <x v="81"/>
    <x v="3"/>
    <x v="0"/>
    <n v="7"/>
    <s v="Regular Order"/>
    <n v="85.44"/>
    <x v="128"/>
    <x v="1"/>
    <x v="0"/>
    <s v="customer0183@example.com"/>
  </r>
  <r>
    <s v="ORD00374"/>
    <x v="31"/>
    <x v="134"/>
    <x v="1"/>
    <x v="1"/>
    <n v="9"/>
    <s v="Regular Order"/>
    <n v="141.81"/>
    <x v="129"/>
    <x v="2"/>
    <x v="0"/>
    <s v="customer0116@example.com"/>
  </r>
  <r>
    <s v="ORD00006"/>
    <x v="7"/>
    <x v="135"/>
    <x v="1"/>
    <x v="1"/>
    <n v="4"/>
    <s v="Regular Order"/>
    <n v="161.87"/>
    <x v="130"/>
    <x v="4"/>
    <x v="2"/>
    <m/>
  </r>
  <r>
    <s v="ORD00117"/>
    <x v="112"/>
    <x v="5"/>
    <x v="3"/>
    <x v="0"/>
    <n v="2"/>
    <s v="Regular Order"/>
    <n v="77.3"/>
    <x v="131"/>
    <x v="1"/>
    <x v="0"/>
    <s v="customer0076@example.com"/>
  </r>
  <r>
    <s v="ORD00046"/>
    <x v="56"/>
    <x v="130"/>
    <x v="0"/>
    <x v="0"/>
    <n v="2"/>
    <s v="Regular Order"/>
    <m/>
    <x v="132"/>
    <x v="3"/>
    <x v="0"/>
    <s v="customer0039@example.com"/>
  </r>
  <r>
    <s v="ORD00186"/>
    <x v="113"/>
    <x v="136"/>
    <x v="2"/>
    <x v="2"/>
    <n v="3"/>
    <s v="Regular Order"/>
    <n v="930.77"/>
    <x v="133"/>
    <x v="3"/>
    <x v="4"/>
    <s v="customer0172@example.com"/>
  </r>
  <r>
    <s v="ORD00017"/>
    <x v="7"/>
    <x v="97"/>
    <x v="5"/>
    <x v="0"/>
    <n v="4"/>
    <s v="Regular Order"/>
    <n v="25.77"/>
    <x v="134"/>
    <x v="2"/>
    <x v="0"/>
    <m/>
  </r>
  <r>
    <s v="ORD00478"/>
    <x v="114"/>
    <x v="137"/>
    <x v="2"/>
    <x v="2"/>
    <n v="6"/>
    <s v="Regular Order"/>
    <n v="978.46"/>
    <x v="54"/>
    <x v="2"/>
    <x v="1"/>
    <m/>
  </r>
  <r>
    <s v="ORD00368"/>
    <x v="115"/>
    <x v="73"/>
    <x v="7"/>
    <x v="3"/>
    <n v="4"/>
    <s v="Regular Order"/>
    <m/>
    <x v="132"/>
    <x v="3"/>
    <x v="4"/>
    <s v="customer0096@example.com"/>
  </r>
  <r>
    <s v="ORD00004"/>
    <x v="7"/>
    <x v="138"/>
    <x v="1"/>
    <x v="1"/>
    <n v="1"/>
    <s v="Regular Order"/>
    <n v="162.44"/>
    <x v="135"/>
    <x v="1"/>
    <x v="2"/>
    <m/>
  </r>
  <r>
    <s v="ORD00235"/>
    <x v="116"/>
    <x v="139"/>
    <x v="3"/>
    <x v="0"/>
    <n v="4"/>
    <s v="Regular Order"/>
    <n v="86.27"/>
    <x v="55"/>
    <x v="2"/>
    <x v="0"/>
    <s v="customer0131@example.com"/>
  </r>
  <r>
    <s v="ORD00385"/>
    <x v="28"/>
    <x v="140"/>
    <x v="6"/>
    <x v="2"/>
    <n v="5"/>
    <s v="Regular Order"/>
    <n v="313.27999999999997"/>
    <x v="56"/>
    <x v="0"/>
    <x v="4"/>
    <s v="customer0043example.com"/>
  </r>
  <r>
    <s v="ORD00061"/>
    <x v="117"/>
    <x v="141"/>
    <x v="1"/>
    <x v="1"/>
    <n v="5"/>
    <s v="Regular Order"/>
    <n v="155.19"/>
    <x v="136"/>
    <x v="2"/>
    <x v="4"/>
    <s v="customer0217example.com"/>
  </r>
  <r>
    <s v="ORD00111"/>
    <x v="118"/>
    <x v="142"/>
    <x v="7"/>
    <x v="3"/>
    <n v="9"/>
    <s v="Regular Order"/>
    <n v="47.91"/>
    <x v="137"/>
    <x v="3"/>
    <x v="4"/>
    <s v="customer0153@example.com"/>
  </r>
  <r>
    <s v="ORD00410"/>
    <x v="62"/>
    <x v="143"/>
    <x v="1"/>
    <x v="1"/>
    <n v="3"/>
    <s v="Regular Order"/>
    <n v="159.16999999999999"/>
    <x v="57"/>
    <x v="3"/>
    <x v="3"/>
    <s v="customer0137@example.com"/>
  </r>
  <r>
    <s v="ORD00421"/>
    <x v="48"/>
    <x v="17"/>
    <x v="3"/>
    <x v="0"/>
    <n v="1"/>
    <s v="Regular Order"/>
    <n v="79.97"/>
    <x v="138"/>
    <x v="2"/>
    <x v="0"/>
    <s v="customer0221@example.com"/>
  </r>
  <r>
    <s v="ORD00030"/>
    <x v="7"/>
    <x v="138"/>
    <x v="0"/>
    <x v="0"/>
    <n v="4"/>
    <s v="Regular Order"/>
    <n v="49.79"/>
    <x v="139"/>
    <x v="0"/>
    <x v="0"/>
    <m/>
  </r>
  <r>
    <s v="ORD00275"/>
    <x v="119"/>
    <x v="0"/>
    <x v="2"/>
    <x v="2"/>
    <n v="1"/>
    <s v="Regular Order"/>
    <n v="51.42"/>
    <x v="140"/>
    <x v="0"/>
    <x v="3"/>
    <s v="customer0144@example.com"/>
  </r>
  <r>
    <s v="ORD00303"/>
    <x v="120"/>
    <x v="144"/>
    <x v="0"/>
    <x v="0"/>
    <n v="7"/>
    <s v="Regular Order"/>
    <n v="49.98"/>
    <x v="141"/>
    <x v="3"/>
    <x v="4"/>
    <s v="customer0047@example.com"/>
  </r>
  <r>
    <s v="ORD00027"/>
    <x v="7"/>
    <x v="145"/>
    <x v="3"/>
    <x v="0"/>
    <n v="4"/>
    <s v="Regular Order"/>
    <n v="73.05"/>
    <x v="59"/>
    <x v="0"/>
    <x v="0"/>
    <m/>
  </r>
  <r>
    <s v="ORD00008"/>
    <x v="7"/>
    <x v="146"/>
    <x v="6"/>
    <x v="2"/>
    <n v="2"/>
    <s v="Regular Order"/>
    <n v="320.11"/>
    <x v="142"/>
    <x v="0"/>
    <x v="3"/>
    <m/>
  </r>
  <r>
    <s v="ORD00182"/>
    <x v="71"/>
    <x v="147"/>
    <x v="7"/>
    <x v="3"/>
    <n v="9"/>
    <s v="Regular Order"/>
    <n v="53.97"/>
    <x v="143"/>
    <x v="3"/>
    <x v="2"/>
    <s v="customer0209@example.com"/>
  </r>
  <r>
    <s v="ORD00395"/>
    <x v="121"/>
    <x v="148"/>
    <x v="0"/>
    <x v="0"/>
    <n v="6"/>
    <s v="Regular Order"/>
    <n v="50.77"/>
    <x v="144"/>
    <x v="0"/>
    <x v="1"/>
    <s v="customer0173@example.com"/>
  </r>
  <r>
    <s v="ORD00109"/>
    <x v="122"/>
    <x v="149"/>
    <x v="2"/>
    <x v="2"/>
    <n v="4"/>
    <s v="Regular Order"/>
    <n v="881.11"/>
    <x v="145"/>
    <x v="0"/>
    <x v="2"/>
    <m/>
  </r>
  <r>
    <s v="ORD00038"/>
    <x v="16"/>
    <x v="150"/>
    <x v="0"/>
    <x v="0"/>
    <n v="1"/>
    <s v="Regular Order"/>
    <n v="49.14"/>
    <x v="60"/>
    <x v="2"/>
    <x v="0"/>
    <s v="customer0001@example.com"/>
  </r>
  <r>
    <s v="ORD00158"/>
    <x v="123"/>
    <x v="151"/>
    <x v="2"/>
    <x v="2"/>
    <n v="1"/>
    <s v="Regular Order"/>
    <n v="969.67"/>
    <x v="146"/>
    <x v="1"/>
    <x v="2"/>
    <s v="customer0291@example.com"/>
  </r>
  <r>
    <s v="ORD00482"/>
    <x v="124"/>
    <x v="152"/>
    <x v="4"/>
    <x v="2"/>
    <n v="5"/>
    <s v="Regular Order"/>
    <n v="82.2"/>
    <x v="147"/>
    <x v="3"/>
    <x v="0"/>
    <s v="customer0175@example.com"/>
  </r>
  <r>
    <s v="ORD00119"/>
    <x v="125"/>
    <x v="153"/>
    <x v="1"/>
    <x v="1"/>
    <n v="6"/>
    <s v="Regular Order"/>
    <n v="151.26"/>
    <x v="61"/>
    <x v="3"/>
    <x v="1"/>
    <s v="customer0239@example.com"/>
  </r>
  <r>
    <s v="ORD00115"/>
    <x v="56"/>
    <x v="154"/>
    <x v="3"/>
    <x v="0"/>
    <n v="5"/>
    <s v="Regular Order"/>
    <n v="83.65"/>
    <x v="62"/>
    <x v="4"/>
    <x v="3"/>
    <s v="customer0039@example.com"/>
  </r>
  <r>
    <s v="ORD00267"/>
    <x v="126"/>
    <x v="155"/>
    <x v="3"/>
    <x v="0"/>
    <n v="6"/>
    <s v="Regular Order"/>
    <n v="87.4"/>
    <x v="148"/>
    <x v="0"/>
    <x v="1"/>
    <s v="customer0201@example.com"/>
  </r>
  <r>
    <s v="ORD00176"/>
    <x v="16"/>
    <x v="49"/>
    <x v="3"/>
    <x v="0"/>
    <n v="4"/>
    <s v="Regular Order"/>
    <n v="87.17"/>
    <x v="63"/>
    <x v="0"/>
    <x v="3"/>
    <s v="0001@"/>
  </r>
  <r>
    <s v="ORD00422"/>
    <x v="68"/>
    <x v="156"/>
    <x v="1"/>
    <x v="1"/>
    <n v="2"/>
    <s v="Regular Order"/>
    <n v="156.66"/>
    <x v="64"/>
    <x v="1"/>
    <x v="1"/>
    <s v="customer0240@example.com"/>
  </r>
  <r>
    <s v="ORD00350"/>
    <x v="127"/>
    <x v="157"/>
    <x v="3"/>
    <x v="0"/>
    <n v="7"/>
    <s v="Regular Order"/>
    <n v="73.33"/>
    <x v="149"/>
    <x v="2"/>
    <x v="3"/>
    <s v="customer0141@example.com"/>
  </r>
  <r>
    <s v="ORD00145"/>
    <x v="128"/>
    <x v="158"/>
    <x v="1"/>
    <x v="1"/>
    <n v="8"/>
    <s v="Regular Order"/>
    <n v="152.12"/>
    <x v="150"/>
    <x v="0"/>
    <x v="2"/>
    <s v="customer0224@example.com"/>
  </r>
  <r>
    <s v="ORD00381"/>
    <x v="31"/>
    <x v="159"/>
    <x v="0"/>
    <x v="0"/>
    <n v="9"/>
    <s v="Regular Order"/>
    <n v="49.78"/>
    <x v="151"/>
    <x v="3"/>
    <x v="2"/>
    <s v="customer0116@example.com"/>
  </r>
  <r>
    <s v="ORD00392"/>
    <x v="124"/>
    <x v="160"/>
    <x v="7"/>
    <x v="3"/>
    <n v="8"/>
    <s v="Regular Order"/>
    <n v="51.87"/>
    <x v="152"/>
    <x v="0"/>
    <x v="1"/>
    <s v="customer0175@example.com"/>
  </r>
  <r>
    <s v="ORD00212"/>
    <x v="3"/>
    <x v="161"/>
    <x v="6"/>
    <x v="2"/>
    <n v="3"/>
    <s v="Regular Order"/>
    <n v="300.62"/>
    <x v="153"/>
    <x v="1"/>
    <x v="0"/>
    <s v="customer0182@example.com"/>
  </r>
  <r>
    <s v="ORD00322"/>
    <x v="129"/>
    <x v="127"/>
    <x v="7"/>
    <x v="3"/>
    <n v="6"/>
    <s v="Regular Order"/>
    <n v="48.78"/>
    <x v="154"/>
    <x v="1"/>
    <x v="0"/>
    <s v="customer0281@example.com"/>
  </r>
  <r>
    <s v="ORD00495"/>
    <x v="130"/>
    <x v="113"/>
    <x v="5"/>
    <x v="0"/>
    <n v="3"/>
    <s v="Regular Order"/>
    <n v="26.1"/>
    <x v="155"/>
    <x v="1"/>
    <x v="3"/>
    <s v="customer0031@example.com"/>
  </r>
  <r>
    <s v="ORD00375"/>
    <x v="131"/>
    <x v="162"/>
    <x v="4"/>
    <x v="2"/>
    <n v="1"/>
    <s v="Regular Order"/>
    <n v="91.55"/>
    <x v="156"/>
    <x v="1"/>
    <x v="0"/>
    <s v="customer0215@example.com"/>
  </r>
  <r>
    <s v="ORD00142"/>
    <x v="132"/>
    <x v="163"/>
    <x v="6"/>
    <x v="2"/>
    <n v="7"/>
    <s v="Regular Order"/>
    <n v="286.10000000000002"/>
    <x v="65"/>
    <x v="2"/>
    <x v="3"/>
    <s v="customer0095@example.com"/>
  </r>
  <r>
    <s v="ORD00377"/>
    <x v="133"/>
    <x v="164"/>
    <x v="3"/>
    <x v="0"/>
    <n v="3"/>
    <s v="Regular Order"/>
    <n v="79.47"/>
    <x v="157"/>
    <x v="3"/>
    <x v="4"/>
    <s v="customer0149@example.com"/>
  </r>
  <r>
    <s v="ORD00068"/>
    <x v="67"/>
    <x v="165"/>
    <x v="6"/>
    <x v="2"/>
    <n v="3"/>
    <s v="Regular Order"/>
    <n v="291.77"/>
    <x v="158"/>
    <x v="3"/>
    <x v="3"/>
    <s v="customer0196@example.com"/>
  </r>
  <r>
    <s v="ORD00409"/>
    <x v="134"/>
    <x v="164"/>
    <x v="0"/>
    <x v="0"/>
    <n v="7"/>
    <s v="Regular Order"/>
    <n v="54.93"/>
    <x v="159"/>
    <x v="3"/>
    <x v="4"/>
    <s v="customer0214example.com"/>
  </r>
  <r>
    <s v="ORD00169"/>
    <x v="88"/>
    <x v="111"/>
    <x v="3"/>
    <x v="0"/>
    <n v="4"/>
    <s v="Regular Order"/>
    <n v="84.95"/>
    <x v="160"/>
    <x v="0"/>
    <x v="3"/>
    <s v="customer0211@example.com"/>
  </r>
  <r>
    <s v="ORD00434"/>
    <x v="135"/>
    <x v="166"/>
    <x v="0"/>
    <x v="0"/>
    <n v="3"/>
    <s v="Regular Order"/>
    <n v="26.1"/>
    <x v="161"/>
    <x v="1"/>
    <x v="0"/>
    <s v="customer0036@example.com"/>
  </r>
  <r>
    <s v="ORD00229"/>
    <x v="18"/>
    <x v="167"/>
    <x v="2"/>
    <x v="2"/>
    <n v="5"/>
    <s v="Regular Order"/>
    <n v="952.43"/>
    <x v="162"/>
    <x v="1"/>
    <x v="0"/>
    <s v="0074@"/>
  </r>
  <r>
    <s v="ORD00194"/>
    <x v="136"/>
    <x v="168"/>
    <x v="7"/>
    <x v="3"/>
    <n v="1"/>
    <s v="Regular Order"/>
    <n v="50.64"/>
    <x v="163"/>
    <x v="1"/>
    <x v="1"/>
    <s v="customer0082@example.com"/>
  </r>
  <r>
    <s v="ORD00082"/>
    <x v="120"/>
    <x v="169"/>
    <x v="4"/>
    <x v="2"/>
    <n v="1"/>
    <s v="Regular Order"/>
    <n v="97.72"/>
    <x v="164"/>
    <x v="3"/>
    <x v="2"/>
    <s v="customer0047@example.com"/>
  </r>
  <r>
    <s v="ORD00110"/>
    <x v="137"/>
    <x v="170"/>
    <x v="0"/>
    <x v="0"/>
    <n v="9"/>
    <s v="Regular Order"/>
    <n v="48.11"/>
    <x v="165"/>
    <x v="3"/>
    <x v="2"/>
    <s v="customer0165@example.com"/>
  </r>
  <r>
    <s v="ORD00429"/>
    <x v="128"/>
    <x v="171"/>
    <x v="6"/>
    <x v="2"/>
    <n v="3"/>
    <s v="Regular Order"/>
    <n v="292.72000000000003"/>
    <x v="166"/>
    <x v="0"/>
    <x v="1"/>
    <s v="customer0224@example.com"/>
  </r>
  <r>
    <s v="ORD00146"/>
    <x v="49"/>
    <x v="172"/>
    <x v="6"/>
    <x v="2"/>
    <n v="7"/>
    <s v="Regular Order"/>
    <n v="306.01"/>
    <x v="67"/>
    <x v="2"/>
    <x v="1"/>
    <s v="customer0256@example.com"/>
  </r>
  <r>
    <s v="ORD00093"/>
    <x v="113"/>
    <x v="173"/>
    <x v="1"/>
    <x v="1"/>
    <n v="9"/>
    <s v="Regular Order"/>
    <n v="163.43"/>
    <x v="167"/>
    <x v="2"/>
    <x v="3"/>
    <s v="customer0172@example.com"/>
  </r>
  <r>
    <s v="ORD00153"/>
    <x v="138"/>
    <x v="42"/>
    <x v="3"/>
    <x v="0"/>
    <n v="9"/>
    <s v="Regular Order"/>
    <m/>
    <x v="132"/>
    <x v="0"/>
    <x v="3"/>
    <s v="customer0188@example.com"/>
  </r>
  <r>
    <s v="ORD00480"/>
    <x v="139"/>
    <x v="174"/>
    <x v="0"/>
    <x v="0"/>
    <n v="9"/>
    <s v="Regular Order"/>
    <n v="49.03"/>
    <x v="168"/>
    <x v="1"/>
    <x v="1"/>
    <s v="customer0152@example.com"/>
  </r>
  <r>
    <s v="ORD00249"/>
    <x v="111"/>
    <x v="175"/>
    <x v="1"/>
    <x v="1"/>
    <n v="8"/>
    <s v="Regular Order"/>
    <n v="137.55000000000001"/>
    <x v="169"/>
    <x v="3"/>
    <x v="3"/>
    <m/>
  </r>
  <r>
    <s v="ORD00084"/>
    <x v="47"/>
    <x v="176"/>
    <x v="5"/>
    <x v="0"/>
    <n v="8"/>
    <s v="Regular Order"/>
    <n v="24.72"/>
    <x v="170"/>
    <x v="0"/>
    <x v="2"/>
    <s v="customer0021@example.com"/>
  </r>
  <r>
    <s v="ORD00104"/>
    <x v="140"/>
    <x v="177"/>
    <x v="0"/>
    <x v="0"/>
    <n v="999"/>
    <s v="Bulk Order"/>
    <n v="53.83"/>
    <x v="171"/>
    <x v="3"/>
    <x v="3"/>
    <s v="customer0019@example.com"/>
  </r>
  <r>
    <s v="ORD00166"/>
    <x v="141"/>
    <x v="22"/>
    <x v="1"/>
    <x v="1"/>
    <n v="1"/>
    <s v="Regular Order"/>
    <n v="138.09"/>
    <x v="172"/>
    <x v="1"/>
    <x v="2"/>
    <s v="customer0187example.com"/>
  </r>
  <r>
    <s v="ORD00164"/>
    <x v="129"/>
    <x v="71"/>
    <x v="1"/>
    <x v="1"/>
    <n v="9"/>
    <s v="Regular Order"/>
    <n v="145.22999999999999"/>
    <x v="173"/>
    <x v="0"/>
    <x v="5"/>
    <s v="customer0281@example.com"/>
  </r>
  <r>
    <s v="ORD00200"/>
    <x v="133"/>
    <x v="178"/>
    <x v="4"/>
    <x v="2"/>
    <n v="9"/>
    <s v="Regular Order"/>
    <n v="95.6"/>
    <x v="174"/>
    <x v="3"/>
    <x v="1"/>
    <s v="customer0149@example.com"/>
  </r>
  <r>
    <s v="ORD00246"/>
    <x v="134"/>
    <x v="179"/>
    <x v="2"/>
    <x v="2"/>
    <n v="4"/>
    <s v="Regular Order"/>
    <n v="882.4"/>
    <x v="68"/>
    <x v="2"/>
    <x v="1"/>
    <s v="customer0214@example.com"/>
  </r>
  <r>
    <s v="ORD00075"/>
    <x v="142"/>
    <x v="180"/>
    <x v="3"/>
    <x v="0"/>
    <n v="1"/>
    <s v="Regular Order"/>
    <n v="83.93"/>
    <x v="175"/>
    <x v="3"/>
    <x v="2"/>
    <s v="customer0277@example.com"/>
  </r>
  <r>
    <s v="ORD00317"/>
    <x v="143"/>
    <x v="181"/>
    <x v="6"/>
    <x v="2"/>
    <n v="1"/>
    <s v="Regular Order"/>
    <n v="289.66000000000003"/>
    <x v="176"/>
    <x v="1"/>
    <x v="2"/>
    <s v="customer0026@example.com"/>
  </r>
  <r>
    <s v="ORD00230"/>
    <x v="144"/>
    <x v="182"/>
    <x v="6"/>
    <x v="2"/>
    <n v="5"/>
    <s v="Regular Order"/>
    <n v="279.81"/>
    <x v="177"/>
    <x v="0"/>
    <x v="2"/>
    <s v="customer0210@example.com"/>
  </r>
  <r>
    <s v="ORD00485"/>
    <x v="46"/>
    <x v="183"/>
    <x v="3"/>
    <x v="0"/>
    <n v="999"/>
    <s v="Bulk Order"/>
    <n v="80.73"/>
    <x v="178"/>
    <x v="2"/>
    <x v="1"/>
    <s v="customer0069@example.com"/>
  </r>
  <r>
    <s v="ORD00120"/>
    <x v="145"/>
    <x v="170"/>
    <x v="2"/>
    <x v="2"/>
    <n v="1"/>
    <s v="Regular Order"/>
    <n v="872.02"/>
    <x v="179"/>
    <x v="2"/>
    <x v="0"/>
    <s v="customer0123@example.com"/>
  </r>
  <r>
    <s v="ORD00387"/>
    <x v="133"/>
    <x v="32"/>
    <x v="0"/>
    <x v="0"/>
    <n v="5"/>
    <s v="Regular Order"/>
    <n v="46.74"/>
    <x v="180"/>
    <x v="0"/>
    <x v="3"/>
    <s v="customer0149@example.com"/>
  </r>
  <r>
    <s v="ORD00443"/>
    <x v="40"/>
    <x v="184"/>
    <x v="2"/>
    <x v="2"/>
    <n v="4"/>
    <s v="Regular Order"/>
    <n v="866.27"/>
    <x v="181"/>
    <x v="3"/>
    <x v="3"/>
    <s v="customer0192@example.com"/>
  </r>
  <r>
    <s v="ORD00262"/>
    <x v="0"/>
    <x v="185"/>
    <x v="2"/>
    <x v="2"/>
    <n v="4"/>
    <s v="Regular Order"/>
    <n v="943.78"/>
    <x v="182"/>
    <x v="1"/>
    <x v="4"/>
    <s v="customer0022@example.com"/>
  </r>
  <r>
    <s v="ORD00365"/>
    <x v="17"/>
    <x v="182"/>
    <x v="5"/>
    <x v="0"/>
    <n v="1"/>
    <s v="Regular Order"/>
    <n v="27.28"/>
    <x v="69"/>
    <x v="1"/>
    <x v="2"/>
    <s v="customer0174@example.com"/>
  </r>
  <r>
    <s v="ORD00412"/>
    <x v="146"/>
    <x v="186"/>
    <x v="2"/>
    <x v="2"/>
    <n v="5"/>
    <s v="Regular Order"/>
    <n v="822.77"/>
    <x v="183"/>
    <x v="2"/>
    <x v="4"/>
    <s v="customer0167@example.com"/>
  </r>
  <r>
    <s v="ORD00336"/>
    <x v="147"/>
    <x v="187"/>
    <x v="4"/>
    <x v="2"/>
    <n v="4"/>
    <s v="Regular Order"/>
    <n v="97.14"/>
    <x v="184"/>
    <x v="1"/>
    <x v="3"/>
    <s v="customer0052@example.com"/>
  </r>
  <r>
    <s v="ORD00263"/>
    <x v="148"/>
    <x v="188"/>
    <x v="4"/>
    <x v="2"/>
    <n v="2"/>
    <s v="Regular Order"/>
    <n v="91.53"/>
    <x v="185"/>
    <x v="3"/>
    <x v="4"/>
    <s v="customer0271@example.com"/>
  </r>
  <r>
    <s v="ORD00481"/>
    <x v="149"/>
    <x v="17"/>
    <x v="2"/>
    <x v="2"/>
    <n v="5"/>
    <s v="Regular Order"/>
    <n v="46.74"/>
    <x v="186"/>
    <x v="4"/>
    <x v="3"/>
    <s v="customer0084@example.com"/>
  </r>
  <r>
    <s v="ORD00419"/>
    <x v="150"/>
    <x v="189"/>
    <x v="4"/>
    <x v="2"/>
    <n v="3"/>
    <s v="Regular Order"/>
    <n v="91.6"/>
    <x v="187"/>
    <x v="0"/>
    <x v="0"/>
    <s v="customer0194@example.com"/>
  </r>
  <r>
    <s v="ORD00281"/>
    <x v="151"/>
    <x v="17"/>
    <x v="0"/>
    <x v="0"/>
    <n v="9"/>
    <s v="Regular Order"/>
    <m/>
    <x v="132"/>
    <x v="2"/>
    <x v="3"/>
    <s v="customer0266@example.com"/>
  </r>
  <r>
    <s v="ORD00037"/>
    <x v="16"/>
    <x v="190"/>
    <x v="4"/>
    <x v="2"/>
    <n v="9"/>
    <s v="Regular Order"/>
    <m/>
    <x v="132"/>
    <x v="2"/>
    <x v="4"/>
    <s v="customer0001@example.com"/>
  </r>
  <r>
    <s v="ORD00197"/>
    <x v="112"/>
    <x v="191"/>
    <x v="0"/>
    <x v="0"/>
    <n v="8"/>
    <s v="Regular Order"/>
    <n v="49.01"/>
    <x v="188"/>
    <x v="0"/>
    <x v="3"/>
    <s v="customer0076@example.com"/>
  </r>
  <r>
    <s v="ORD00140"/>
    <x v="152"/>
    <x v="33"/>
    <x v="2"/>
    <x v="2"/>
    <n v="1"/>
    <s v="Regular Order"/>
    <n v="97.14"/>
    <x v="189"/>
    <x v="3"/>
    <x v="3"/>
    <s v="customer0059@example.com"/>
  </r>
  <r>
    <s v="ORD00376"/>
    <x v="153"/>
    <x v="192"/>
    <x v="5"/>
    <x v="0"/>
    <n v="6"/>
    <s v="Regular Order"/>
    <n v="91.53"/>
    <x v="190"/>
    <x v="0"/>
    <x v="2"/>
    <s v="customer0011@example.com"/>
  </r>
  <r>
    <s v="ORD00494"/>
    <x v="115"/>
    <x v="193"/>
    <x v="2"/>
    <x v="2"/>
    <n v="5"/>
    <s v="Regular Order"/>
    <n v="942.47"/>
    <x v="70"/>
    <x v="1"/>
    <x v="2"/>
    <s v="customer0096@example.com"/>
  </r>
  <r>
    <s v="ORD00292"/>
    <x v="27"/>
    <x v="73"/>
    <x v="4"/>
    <x v="2"/>
    <n v="5"/>
    <s v="Regular Order"/>
    <n v="91.29"/>
    <x v="191"/>
    <x v="2"/>
    <x v="1"/>
    <s v="customer0287@example.com"/>
  </r>
  <r>
    <s v="ORD00362"/>
    <x v="25"/>
    <x v="194"/>
    <x v="0"/>
    <x v="0"/>
    <n v="4"/>
    <s v="Regular Order"/>
    <n v="53.89"/>
    <x v="192"/>
    <x v="2"/>
    <x v="5"/>
    <s v="customer0288@example.com"/>
  </r>
  <r>
    <s v="ORD00060"/>
    <x v="154"/>
    <x v="195"/>
    <x v="3"/>
    <x v="0"/>
    <n v="4"/>
    <s v="Regular Order"/>
    <n v="86.97"/>
    <x v="71"/>
    <x v="0"/>
    <x v="0"/>
    <s v="0284@"/>
  </r>
  <r>
    <s v="ORD00473"/>
    <x v="142"/>
    <x v="196"/>
    <x v="6"/>
    <x v="2"/>
    <n v="4"/>
    <s v="Regular Order"/>
    <n v="323.72000000000003"/>
    <x v="193"/>
    <x v="0"/>
    <x v="0"/>
    <s v="customer0277@example.com"/>
  </r>
  <r>
    <s v="ORD00112"/>
    <x v="69"/>
    <x v="197"/>
    <x v="0"/>
    <x v="0"/>
    <n v="9"/>
    <s v="Regular Order"/>
    <n v="53.1"/>
    <x v="194"/>
    <x v="3"/>
    <x v="3"/>
    <s v="customer0119@example.com"/>
  </r>
  <r>
    <s v="ORD00090"/>
    <x v="126"/>
    <x v="198"/>
    <x v="6"/>
    <x v="2"/>
    <n v="9"/>
    <s v="Regular Order"/>
    <n v="322.26"/>
    <x v="195"/>
    <x v="3"/>
    <x v="0"/>
    <s v="customer0201@example.com"/>
  </r>
  <r>
    <s v="ORD00418"/>
    <x v="155"/>
    <x v="199"/>
    <x v="0"/>
    <x v="0"/>
    <n v="9"/>
    <s v="Regular Order"/>
    <m/>
    <x v="132"/>
    <x v="2"/>
    <x v="4"/>
    <s v="customer0073@example.com"/>
  </r>
  <r>
    <s v="ORD00007"/>
    <x v="7"/>
    <x v="149"/>
    <x v="4"/>
    <x v="2"/>
    <n v="1"/>
    <s v="Regular Order"/>
    <n v="93.81"/>
    <x v="72"/>
    <x v="3"/>
    <x v="2"/>
    <m/>
  </r>
  <r>
    <s v="ORD00372"/>
    <x v="156"/>
    <x v="200"/>
    <x v="4"/>
    <x v="2"/>
    <n v="2"/>
    <s v="Regular Order"/>
    <n v="92.05"/>
    <x v="196"/>
    <x v="4"/>
    <x v="3"/>
    <s v="customer0023example.com"/>
  </r>
  <r>
    <s v="ORD00355"/>
    <x v="157"/>
    <x v="88"/>
    <x v="1"/>
    <x v="1"/>
    <n v="6"/>
    <s v="Regular Order"/>
    <n v="144.47999999999999"/>
    <x v="197"/>
    <x v="0"/>
    <x v="2"/>
    <s v="customer0263@example.com"/>
  </r>
  <r>
    <s v="ORD00347"/>
    <x v="131"/>
    <x v="201"/>
    <x v="4"/>
    <x v="2"/>
    <n v="2"/>
    <s v="Regular Order"/>
    <n v="91.51"/>
    <x v="198"/>
    <x v="2"/>
    <x v="2"/>
    <s v="customer0215@example.com"/>
  </r>
  <r>
    <s v="ORD00159"/>
    <x v="158"/>
    <x v="161"/>
    <x v="4"/>
    <x v="2"/>
    <n v="2"/>
    <s v="Regular Order"/>
    <n v="81.7"/>
    <x v="199"/>
    <x v="0"/>
    <x v="1"/>
    <s v="customer0127@example.com"/>
  </r>
  <r>
    <s v="ORD00151"/>
    <x v="159"/>
    <x v="17"/>
    <x v="2"/>
    <x v="2"/>
    <n v="7"/>
    <s v="Regular Order"/>
    <n v="941.34"/>
    <x v="200"/>
    <x v="2"/>
    <x v="2"/>
    <s v="customer0283@example.com"/>
  </r>
  <r>
    <s v="ORD00393"/>
    <x v="160"/>
    <x v="202"/>
    <x v="0"/>
    <x v="0"/>
    <n v="999"/>
    <s v="Bulk Order"/>
    <n v="53.92"/>
    <x v="201"/>
    <x v="0"/>
    <x v="4"/>
    <s v="customer0267@example.com"/>
  </r>
  <r>
    <s v="ORD00039"/>
    <x v="16"/>
    <x v="203"/>
    <x v="3"/>
    <x v="0"/>
    <n v="1"/>
    <s v="Regular Order"/>
    <n v="76.349999999999994"/>
    <x v="202"/>
    <x v="0"/>
    <x v="4"/>
    <s v="customer0001@example.com"/>
  </r>
  <r>
    <s v="ORD00323"/>
    <x v="117"/>
    <x v="204"/>
    <x v="7"/>
    <x v="3"/>
    <n v="5"/>
    <s v="Regular Order"/>
    <n v="45.98"/>
    <x v="203"/>
    <x v="2"/>
    <x v="0"/>
    <s v="customer0217@example.com"/>
  </r>
  <r>
    <s v="ORD00199"/>
    <x v="9"/>
    <x v="205"/>
    <x v="5"/>
    <x v="0"/>
    <n v="8"/>
    <s v="Regular Order"/>
    <n v="27.91"/>
    <x v="73"/>
    <x v="3"/>
    <x v="2"/>
    <s v="customer0078@example.com"/>
  </r>
  <r>
    <s v="ORD00450"/>
    <x v="134"/>
    <x v="206"/>
    <x v="5"/>
    <x v="0"/>
    <n v="4"/>
    <s v="Regular Order"/>
    <n v="27.55"/>
    <x v="204"/>
    <x v="0"/>
    <x v="4"/>
    <s v="customer0214@example.com"/>
  </r>
  <r>
    <s v="ORD00147"/>
    <x v="161"/>
    <x v="172"/>
    <x v="1"/>
    <x v="1"/>
    <n v="2"/>
    <s v="Regular Order"/>
    <n v="135.9"/>
    <x v="205"/>
    <x v="3"/>
    <x v="3"/>
    <s v="customer0111example.com"/>
  </r>
  <r>
    <s v="ORD00405"/>
    <x v="162"/>
    <x v="207"/>
    <x v="6"/>
    <x v="2"/>
    <n v="6"/>
    <s v="Regular Order"/>
    <n v="319.76"/>
    <x v="206"/>
    <x v="1"/>
    <x v="4"/>
    <s v="customer0146@example.com"/>
  </r>
  <r>
    <s v="ORD00148"/>
    <x v="62"/>
    <x v="208"/>
    <x v="7"/>
    <x v="3"/>
    <n v="8"/>
    <s v="Regular Order"/>
    <n v="47"/>
    <x v="74"/>
    <x v="3"/>
    <x v="2"/>
    <s v="customer0137@example.com"/>
  </r>
  <r>
    <s v="ORD00315"/>
    <x v="133"/>
    <x v="8"/>
    <x v="3"/>
    <x v="0"/>
    <n v="1"/>
    <s v="Regular Order"/>
    <n v="84.09"/>
    <x v="207"/>
    <x v="1"/>
    <x v="1"/>
    <s v="customer0149@example.com"/>
  </r>
  <r>
    <s v="ORD00490"/>
    <x v="29"/>
    <x v="209"/>
    <x v="7"/>
    <x v="3"/>
    <n v="5"/>
    <s v="Regular Order"/>
    <n v="49.86"/>
    <x v="75"/>
    <x v="2"/>
    <x v="2"/>
    <s v="customer0245@example.com"/>
  </r>
  <r>
    <s v="ORD00124"/>
    <x v="26"/>
    <x v="210"/>
    <x v="3"/>
    <x v="0"/>
    <n v="6"/>
    <s v="Regular Order"/>
    <n v="79.319999999999993"/>
    <x v="76"/>
    <x v="2"/>
    <x v="4"/>
    <m/>
  </r>
  <r>
    <s v="ORD00403"/>
    <x v="163"/>
    <x v="211"/>
    <x v="2"/>
    <x v="2"/>
    <n v="6"/>
    <s v="Regular Order"/>
    <n v="904.02"/>
    <x v="208"/>
    <x v="1"/>
    <x v="1"/>
    <s v="customer0234@example.com"/>
  </r>
  <r>
    <s v="ORD00097"/>
    <x v="54"/>
    <x v="212"/>
    <x v="4"/>
    <x v="2"/>
    <n v="5"/>
    <s v="Regular Order"/>
    <n v="88.18"/>
    <x v="77"/>
    <x v="0"/>
    <x v="1"/>
    <s v="customer0259@example.com"/>
  </r>
  <r>
    <s v="ORD00144"/>
    <x v="38"/>
    <x v="10"/>
    <x v="0"/>
    <x v="0"/>
    <n v="7"/>
    <s v="Regular Order"/>
    <n v="48.7"/>
    <x v="209"/>
    <x v="0"/>
    <x v="0"/>
    <s v="customer0106@example.com"/>
  </r>
  <r>
    <s v="ORD00240"/>
    <x v="164"/>
    <x v="213"/>
    <x v="0"/>
    <x v="0"/>
    <n v="1"/>
    <s v="Regular Order"/>
    <n v="52.96"/>
    <x v="210"/>
    <x v="0"/>
    <x v="4"/>
    <s v="customer0060@example.com"/>
  </r>
  <r>
    <s v="ORD00407"/>
    <x v="24"/>
    <x v="214"/>
    <x v="1"/>
    <x v="1"/>
    <n v="5"/>
    <s v="Regular Order"/>
    <n v="150.15"/>
    <x v="211"/>
    <x v="1"/>
    <x v="1"/>
    <s v="customer0233@example.com"/>
  </r>
  <r>
    <s v="ORD00098"/>
    <x v="165"/>
    <x v="42"/>
    <x v="6"/>
    <x v="2"/>
    <n v="999"/>
    <s v="Bulk Order"/>
    <n v="49.86"/>
    <x v="78"/>
    <x v="1"/>
    <x v="3"/>
    <s v="customer0122@example.com"/>
  </r>
  <r>
    <s v="ORD00361"/>
    <x v="166"/>
    <x v="17"/>
    <x v="1"/>
    <x v="1"/>
    <n v="8"/>
    <s v="Regular Order"/>
    <n v="152.11000000000001"/>
    <x v="212"/>
    <x v="3"/>
    <x v="1"/>
    <s v="customer0120@example.com"/>
  </r>
  <r>
    <s v="ORD00123"/>
    <x v="134"/>
    <x v="215"/>
    <x v="3"/>
    <x v="0"/>
    <n v="6"/>
    <s v="Regular Order"/>
    <n v="87.05"/>
    <x v="213"/>
    <x v="1"/>
    <x v="4"/>
    <s v="customer0214@example.com"/>
  </r>
  <r>
    <s v="ORD00184"/>
    <x v="167"/>
    <x v="184"/>
    <x v="6"/>
    <x v="2"/>
    <n v="5"/>
    <s v="Regular Order"/>
    <n v="318.73"/>
    <x v="214"/>
    <x v="3"/>
    <x v="0"/>
    <s v="customer0216@example.com"/>
  </r>
  <r>
    <s v="ORD00203"/>
    <x v="168"/>
    <x v="13"/>
    <x v="1"/>
    <x v="1"/>
    <n v="8"/>
    <s v="Regular Order"/>
    <n v="157.99"/>
    <x v="215"/>
    <x v="0"/>
    <x v="1"/>
    <s v="customer0232@example.com"/>
  </r>
  <r>
    <s v="ORD00247"/>
    <x v="158"/>
    <x v="216"/>
    <x v="7"/>
    <x v="3"/>
    <n v="5"/>
    <s v="Regular Order"/>
    <n v="53.43"/>
    <x v="216"/>
    <x v="3"/>
    <x v="4"/>
    <s v="customer0127@example.com"/>
  </r>
  <r>
    <s v="ORD00483"/>
    <x v="25"/>
    <x v="217"/>
    <x v="2"/>
    <x v="2"/>
    <n v="1"/>
    <s v="Regular Order"/>
    <n v="819.02"/>
    <x v="217"/>
    <x v="2"/>
    <x v="4"/>
    <s v="customer0288@example.com"/>
  </r>
  <r>
    <s v="ORD00306"/>
    <x v="74"/>
    <x v="218"/>
    <x v="2"/>
    <x v="2"/>
    <n v="8"/>
    <s v="Regular Order"/>
    <n v="986.85"/>
    <x v="218"/>
    <x v="0"/>
    <x v="2"/>
    <s v="customer0249@example.com"/>
  </r>
  <r>
    <s v="ORD00308"/>
    <x v="169"/>
    <x v="219"/>
    <x v="4"/>
    <x v="2"/>
    <n v="2"/>
    <s v="Regular Order"/>
    <n v="87.37"/>
    <x v="219"/>
    <x v="3"/>
    <x v="3"/>
    <s v="customer0159@example.com"/>
  </r>
  <r>
    <s v="ORD00408"/>
    <x v="170"/>
    <x v="220"/>
    <x v="2"/>
    <x v="2"/>
    <n v="4"/>
    <s v="Regular Order"/>
    <n v="918.17"/>
    <x v="220"/>
    <x v="2"/>
    <x v="4"/>
    <s v="customer0040@example.com"/>
  </r>
  <r>
    <s v="ORD00291"/>
    <x v="171"/>
    <x v="221"/>
    <x v="1"/>
    <x v="1"/>
    <n v="9"/>
    <s v="Regular Order"/>
    <n v="142.52000000000001"/>
    <x v="221"/>
    <x v="3"/>
    <x v="4"/>
    <s v="customer0168@example.com"/>
  </r>
  <r>
    <s v="ORD00126"/>
    <x v="159"/>
    <x v="201"/>
    <x v="5"/>
    <x v="0"/>
    <n v="999"/>
    <s v="Bulk Order"/>
    <n v="24.65"/>
    <x v="222"/>
    <x v="1"/>
    <x v="3"/>
    <s v="customer0283@example.com"/>
  </r>
  <r>
    <s v="ORD00311"/>
    <x v="97"/>
    <x v="222"/>
    <x v="5"/>
    <x v="0"/>
    <n v="6"/>
    <s v="Regular Order"/>
    <n v="26.39"/>
    <x v="223"/>
    <x v="3"/>
    <x v="2"/>
    <s v="customer0207@example.com"/>
  </r>
  <r>
    <s v="ORD00224"/>
    <x v="84"/>
    <x v="223"/>
    <x v="0"/>
    <x v="0"/>
    <n v="5"/>
    <s v="Regular Order"/>
    <n v="47.73"/>
    <x v="79"/>
    <x v="3"/>
    <x v="4"/>
    <s v="customer0285@example.com"/>
  </r>
  <r>
    <s v="ORD00441"/>
    <x v="165"/>
    <x v="17"/>
    <x v="6"/>
    <x v="2"/>
    <n v="2"/>
    <s v="Regular Order"/>
    <n v="986.85"/>
    <x v="80"/>
    <x v="0"/>
    <x v="3"/>
    <s v="customer0122@example.com"/>
  </r>
  <r>
    <s v="ORD00220"/>
    <x v="172"/>
    <x v="221"/>
    <x v="4"/>
    <x v="2"/>
    <n v="6"/>
    <s v="Regular Order"/>
    <n v="92.99"/>
    <x v="224"/>
    <x v="2"/>
    <x v="2"/>
    <s v="customer0274@example.com"/>
  </r>
  <r>
    <s v="ORD00130"/>
    <x v="173"/>
    <x v="3"/>
    <x v="7"/>
    <x v="3"/>
    <n v="4"/>
    <s v="Regular Order"/>
    <n v="45.02"/>
    <x v="225"/>
    <x v="0"/>
    <x v="1"/>
    <s v="customer0261@example.com"/>
  </r>
  <r>
    <s v="ORD00433"/>
    <x v="105"/>
    <x v="224"/>
    <x v="1"/>
    <x v="1"/>
    <n v="2"/>
    <s v="Regular Order"/>
    <m/>
    <x v="132"/>
    <x v="0"/>
    <x v="2"/>
    <s v="customer0278@example.com"/>
  </r>
  <r>
    <s v="ORD00491"/>
    <x v="174"/>
    <x v="37"/>
    <x v="6"/>
    <x v="2"/>
    <n v="9"/>
    <s v="Regular Order"/>
    <n v="275.74"/>
    <x v="226"/>
    <x v="1"/>
    <x v="0"/>
    <s v="customer0156@example.com"/>
  </r>
  <r>
    <s v="ORD00337"/>
    <x v="57"/>
    <x v="225"/>
    <x v="5"/>
    <x v="0"/>
    <n v="1"/>
    <s v="Regular Order"/>
    <n v="27.54"/>
    <x v="227"/>
    <x v="3"/>
    <x v="2"/>
    <s v="customer0002@example.com"/>
  </r>
  <r>
    <s v="ORD00389"/>
    <x v="119"/>
    <x v="226"/>
    <x v="0"/>
    <x v="0"/>
    <n v="2"/>
    <s v="Regular Order"/>
    <n v="50.21"/>
    <x v="228"/>
    <x v="3"/>
    <x v="1"/>
    <s v="customer0144@example.com"/>
  </r>
  <r>
    <s v="ORD00298"/>
    <x v="53"/>
    <x v="227"/>
    <x v="6"/>
    <x v="2"/>
    <n v="1"/>
    <s v="Regular Order"/>
    <n v="319.27999999999997"/>
    <x v="81"/>
    <x v="3"/>
    <x v="1"/>
    <s v="customer0089@example.com"/>
  </r>
  <r>
    <s v="ORD00366"/>
    <x v="82"/>
    <x v="228"/>
    <x v="1"/>
    <x v="1"/>
    <n v="7"/>
    <s v="Regular Order"/>
    <n v="146.30000000000001"/>
    <x v="229"/>
    <x v="3"/>
    <x v="3"/>
    <s v="customer0008@example.com"/>
  </r>
  <r>
    <s v="ORD00302"/>
    <x v="131"/>
    <x v="229"/>
    <x v="2"/>
    <x v="2"/>
    <n v="4"/>
    <s v="Regular Order"/>
    <n v="962.98"/>
    <x v="230"/>
    <x v="3"/>
    <x v="1"/>
    <s v="customer0215@example.com"/>
  </r>
  <r>
    <s v="ORD00295"/>
    <x v="175"/>
    <x v="230"/>
    <x v="4"/>
    <x v="2"/>
    <n v="999"/>
    <s v="Bulk Order"/>
    <n v="82.45"/>
    <x v="231"/>
    <x v="2"/>
    <x v="0"/>
    <s v="customer0161@example.com"/>
  </r>
  <r>
    <s v="ORD00349"/>
    <x v="36"/>
    <x v="231"/>
    <x v="3"/>
    <x v="0"/>
    <n v="8"/>
    <s v="Regular Order"/>
    <n v="73.59"/>
    <x v="232"/>
    <x v="0"/>
    <x v="3"/>
    <s v="customer0250@example.com"/>
  </r>
  <r>
    <s v="ORD00113"/>
    <x v="94"/>
    <x v="226"/>
    <x v="6"/>
    <x v="2"/>
    <n v="6"/>
    <s v="Regular Order"/>
    <n v="302.77999999999997"/>
    <x v="233"/>
    <x v="0"/>
    <x v="2"/>
    <s v="customer0005@example.com"/>
  </r>
  <r>
    <s v="ORD00180"/>
    <x v="61"/>
    <x v="232"/>
    <x v="6"/>
    <x v="2"/>
    <n v="2"/>
    <s v="Regular Order"/>
    <n v="275.48"/>
    <x v="234"/>
    <x v="2"/>
    <x v="1"/>
    <s v="customer0101@example.com"/>
  </r>
  <r>
    <s v="ORD00453"/>
    <x v="50"/>
    <x v="233"/>
    <x v="7"/>
    <x v="3"/>
    <n v="6"/>
    <s v="Regular Order"/>
    <n v="52.97"/>
    <x v="235"/>
    <x v="2"/>
    <x v="1"/>
    <s v="customer0090@example.com"/>
  </r>
  <r>
    <s v="ORD00348"/>
    <x v="133"/>
    <x v="103"/>
    <x v="2"/>
    <x v="2"/>
    <n v="9"/>
    <s v="Regular Order"/>
    <n v="951.09"/>
    <x v="236"/>
    <x v="3"/>
    <x v="2"/>
    <s v="customer0149@example.com"/>
  </r>
  <r>
    <s v="ORD00339"/>
    <x v="115"/>
    <x v="234"/>
    <x v="6"/>
    <x v="2"/>
    <n v="3"/>
    <s v="Regular Order"/>
    <n v="291.48"/>
    <x v="237"/>
    <x v="1"/>
    <x v="4"/>
    <s v="customer0096@example.com"/>
  </r>
  <r>
    <s v="ORD00498"/>
    <x v="132"/>
    <x v="235"/>
    <x v="7"/>
    <x v="3"/>
    <n v="1"/>
    <s v="Regular Order"/>
    <n v="51.13"/>
    <x v="238"/>
    <x v="1"/>
    <x v="4"/>
    <s v="customer0095@example.com"/>
  </r>
  <r>
    <s v="ORD00371"/>
    <x v="80"/>
    <x v="236"/>
    <x v="6"/>
    <x v="2"/>
    <n v="8"/>
    <s v="Regular Order"/>
    <n v="322.27"/>
    <x v="239"/>
    <x v="3"/>
    <x v="3"/>
    <s v="customer0279@example.com"/>
  </r>
  <r>
    <s v="ORD00234"/>
    <x v="103"/>
    <x v="237"/>
    <x v="4"/>
    <x v="2"/>
    <n v="6"/>
    <s v="Regular Order"/>
    <n v="90.76"/>
    <x v="82"/>
    <x v="0"/>
    <x v="0"/>
    <s v="customer0046@example.com"/>
  </r>
  <r>
    <s v="ORD00461"/>
    <x v="63"/>
    <x v="238"/>
    <x v="1"/>
    <x v="1"/>
    <n v="4"/>
    <s v="Regular Order"/>
    <n v="155.01"/>
    <x v="240"/>
    <x v="0"/>
    <x v="3"/>
    <s v="customer0286@example.com"/>
  </r>
  <r>
    <s v="ORD00463"/>
    <x v="176"/>
    <x v="239"/>
    <x v="7"/>
    <x v="3"/>
    <n v="4"/>
    <s v="Regular Order"/>
    <n v="48.57"/>
    <x v="241"/>
    <x v="1"/>
    <x v="2"/>
    <s v="customer0145@example.com"/>
  </r>
  <r>
    <s v="ORD00165"/>
    <x v="169"/>
    <x v="240"/>
    <x v="4"/>
    <x v="0"/>
    <n v="8"/>
    <s v="Regular Order"/>
    <n v="83.57"/>
    <x v="242"/>
    <x v="1"/>
    <x v="1"/>
    <s v="customer0159@example.com"/>
  </r>
  <r>
    <s v="ORD00137"/>
    <x v="19"/>
    <x v="241"/>
    <x v="7"/>
    <x v="3"/>
    <n v="8"/>
    <s v="Regular Order"/>
    <n v="53.25"/>
    <x v="243"/>
    <x v="3"/>
    <x v="0"/>
    <s v="customer0257@example.com"/>
  </r>
  <r>
    <s v="ORD00198"/>
    <x v="79"/>
    <x v="242"/>
    <x v="3"/>
    <x v="0"/>
    <n v="8"/>
    <s v="Regular Order"/>
    <n v="78.849999999999994"/>
    <x v="83"/>
    <x v="3"/>
    <x v="3"/>
    <s v="customer0212@example.com"/>
  </r>
  <r>
    <s v="ORD00259"/>
    <x v="11"/>
    <x v="243"/>
    <x v="7"/>
    <x v="3"/>
    <n v="7"/>
    <s v="Regular Order"/>
    <n v="47.41"/>
    <x v="244"/>
    <x v="3"/>
    <x v="3"/>
    <s v="0061@"/>
  </r>
  <r>
    <s v="ORD00233"/>
    <x v="146"/>
    <x v="244"/>
    <x v="2"/>
    <x v="2"/>
    <n v="5"/>
    <s v="Regular Order"/>
    <n v="966.05"/>
    <x v="245"/>
    <x v="3"/>
    <x v="4"/>
    <s v="customer0167@example.com"/>
  </r>
  <r>
    <s v="ORD00116"/>
    <x v="177"/>
    <x v="245"/>
    <x v="1"/>
    <x v="1"/>
    <n v="2"/>
    <s v="Regular Order"/>
    <n v="162.54"/>
    <x v="246"/>
    <x v="3"/>
    <x v="4"/>
    <s v="customer0241@example.com"/>
  </r>
  <r>
    <s v="ORD00121"/>
    <x v="148"/>
    <x v="17"/>
    <x v="0"/>
    <x v="0"/>
    <n v="7"/>
    <s v="Regular Order"/>
    <n v="50.45"/>
    <x v="247"/>
    <x v="3"/>
    <x v="2"/>
    <s v="customer0271@example.com"/>
  </r>
  <r>
    <s v="ORD00370"/>
    <x v="178"/>
    <x v="200"/>
    <x v="4"/>
    <x v="2"/>
    <n v="5"/>
    <s v="Regular Order"/>
    <n v="95.8"/>
    <x v="248"/>
    <x v="2"/>
    <x v="2"/>
    <s v="customer0003@example.com"/>
  </r>
  <r>
    <s v="ORD00225"/>
    <x v="179"/>
    <x v="246"/>
    <x v="5"/>
    <x v="0"/>
    <n v="2"/>
    <s v="Regular Order"/>
    <n v="24.88"/>
    <x v="249"/>
    <x v="2"/>
    <x v="1"/>
    <s v="customer0129@example.com"/>
  </r>
  <r>
    <s v="ORD00415"/>
    <x v="15"/>
    <x v="173"/>
    <x v="4"/>
    <x v="2"/>
    <n v="1"/>
    <s v="Regular Order"/>
    <n v="92.67"/>
    <x v="250"/>
    <x v="3"/>
    <x v="0"/>
    <s v="customer0186@example.com"/>
  </r>
  <r>
    <s v="ORD00356"/>
    <x v="171"/>
    <x v="247"/>
    <x v="7"/>
    <x v="3"/>
    <n v="8"/>
    <s v="Regular Order"/>
    <n v="45.3"/>
    <x v="84"/>
    <x v="3"/>
    <x v="4"/>
    <s v="customer0168@example.com"/>
  </r>
  <r>
    <s v="ORD00128"/>
    <x v="145"/>
    <x v="6"/>
    <x v="4"/>
    <x v="2"/>
    <n v="9"/>
    <s v="Regular Order"/>
    <n v="89.44"/>
    <x v="85"/>
    <x v="2"/>
    <x v="1"/>
    <s v="customer0123@example.com"/>
  </r>
  <r>
    <s v="ORD00286"/>
    <x v="74"/>
    <x v="248"/>
    <x v="2"/>
    <x v="2"/>
    <n v="1"/>
    <s v="Regular Order"/>
    <n v="857.74"/>
    <x v="251"/>
    <x v="0"/>
    <x v="4"/>
    <m/>
  </r>
  <r>
    <s v="ORD00424"/>
    <x v="75"/>
    <x v="107"/>
    <x v="2"/>
    <x v="2"/>
    <n v="3"/>
    <s v="Regular Order"/>
    <n v="45.44"/>
    <x v="252"/>
    <x v="0"/>
    <x v="1"/>
    <s v="customer0020@example.com"/>
  </r>
  <r>
    <s v="ORD00108"/>
    <x v="124"/>
    <x v="249"/>
    <x v="1"/>
    <x v="1"/>
    <n v="3"/>
    <s v="Regular Order"/>
    <n v="149.94999999999999"/>
    <x v="253"/>
    <x v="1"/>
    <x v="0"/>
    <s v="customer0175@example.com"/>
  </r>
  <r>
    <s v="ORD00382"/>
    <x v="143"/>
    <x v="250"/>
    <x v="6"/>
    <x v="2"/>
    <n v="9"/>
    <s v="Regular Order"/>
    <n v="24.88"/>
    <x v="86"/>
    <x v="2"/>
    <x v="2"/>
    <s v="customer0026@example.com"/>
  </r>
  <r>
    <s v="ORD00334"/>
    <x v="29"/>
    <x v="251"/>
    <x v="4"/>
    <x v="2"/>
    <n v="6"/>
    <s v="Regular Order"/>
    <n v="95.15"/>
    <x v="254"/>
    <x v="1"/>
    <x v="4"/>
    <s v="customer0245@example.com"/>
  </r>
  <r>
    <s v="ORD00134"/>
    <x v="178"/>
    <x v="208"/>
    <x v="4"/>
    <x v="2"/>
    <n v="999"/>
    <s v="Bulk Order"/>
    <n v="81.09"/>
    <x v="255"/>
    <x v="2"/>
    <x v="1"/>
    <s v="customer0003@example.com"/>
  </r>
  <r>
    <s v="ORD00045"/>
    <x v="143"/>
    <x v="252"/>
    <x v="0"/>
    <x v="0"/>
    <n v="8"/>
    <s v="Regular Order"/>
    <n v="53.61"/>
    <x v="256"/>
    <x v="0"/>
    <x v="0"/>
    <s v="customer0026@example.com"/>
  </r>
  <r>
    <s v="ORD00477"/>
    <x v="62"/>
    <x v="253"/>
    <x v="7"/>
    <x v="3"/>
    <n v="2"/>
    <s v="Regular Order"/>
    <m/>
    <x v="132"/>
    <x v="0"/>
    <x v="1"/>
    <s v="customer0137@example.com"/>
  </r>
  <r>
    <s v="ORD00066"/>
    <x v="180"/>
    <x v="254"/>
    <x v="4"/>
    <x v="2"/>
    <n v="5"/>
    <s v="Regular Order"/>
    <n v="93.08"/>
    <x v="257"/>
    <x v="3"/>
    <x v="1"/>
    <s v="0118@"/>
  </r>
  <r>
    <s v="ORD00284"/>
    <x v="11"/>
    <x v="255"/>
    <x v="1"/>
    <x v="1"/>
    <n v="2"/>
    <s v="Regular Order"/>
    <n v="151.24"/>
    <x v="88"/>
    <x v="1"/>
    <x v="4"/>
    <s v="customer0061@example.com"/>
  </r>
  <r>
    <s v="ORD00086"/>
    <x v="181"/>
    <x v="256"/>
    <x v="1"/>
    <x v="1"/>
    <n v="9"/>
    <s v="Regular Order"/>
    <n v="151.57"/>
    <x v="258"/>
    <x v="1"/>
    <x v="3"/>
    <s v="customer0032@example.com"/>
  </r>
  <r>
    <s v="ORD00243"/>
    <x v="3"/>
    <x v="257"/>
    <x v="3"/>
    <x v="0"/>
    <n v="5"/>
    <s v="Regular Order"/>
    <n v="77.010000000000005"/>
    <x v="259"/>
    <x v="1"/>
    <x v="4"/>
    <s v="customer0182@example.com"/>
  </r>
  <r>
    <s v="ORD00187"/>
    <x v="32"/>
    <x v="258"/>
    <x v="3"/>
    <x v="0"/>
    <n v="2"/>
    <s v="Regular Order"/>
    <n v="80.319999999999993"/>
    <x v="260"/>
    <x v="2"/>
    <x v="0"/>
    <s v="customer0264@example.com"/>
  </r>
  <r>
    <s v="ORD00396"/>
    <x v="159"/>
    <x v="60"/>
    <x v="2"/>
    <x v="2"/>
    <n v="6"/>
    <s v="Regular Order"/>
    <n v="931.52"/>
    <x v="261"/>
    <x v="0"/>
    <x v="0"/>
    <s v="customer0283@example.com"/>
  </r>
  <r>
    <s v="ORD00160"/>
    <x v="182"/>
    <x v="259"/>
    <x v="3"/>
    <x v="0"/>
    <n v="1"/>
    <s v="Regular Order"/>
    <n v="73.39"/>
    <x v="89"/>
    <x v="0"/>
    <x v="4"/>
    <s v="customer0130@example.com"/>
  </r>
  <r>
    <s v="ORD00013"/>
    <x v="7"/>
    <x v="260"/>
    <x v="5"/>
    <x v="0"/>
    <n v="9"/>
    <s v="Regular Order"/>
    <n v="93.08"/>
    <x v="90"/>
    <x v="1"/>
    <x v="3"/>
    <m/>
  </r>
  <r>
    <s v="ORD00036"/>
    <x v="16"/>
    <x v="261"/>
    <x v="4"/>
    <x v="2"/>
    <n v="4"/>
    <s v="Regular Order"/>
    <n v="151.24"/>
    <x v="91"/>
    <x v="2"/>
    <x v="2"/>
    <s v="customer0001@example.com"/>
  </r>
  <r>
    <s v="ORD00029"/>
    <x v="7"/>
    <x v="195"/>
    <x v="4"/>
    <x v="2"/>
    <n v="8"/>
    <s v="Regular Order"/>
    <n v="89.32"/>
    <x v="262"/>
    <x v="0"/>
    <x v="0"/>
    <m/>
  </r>
  <r>
    <s v="ORD00171"/>
    <x v="117"/>
    <x v="262"/>
    <x v="5"/>
    <x v="0"/>
    <n v="1"/>
    <s v="Regular Order"/>
    <n v="26.41"/>
    <x v="263"/>
    <x v="1"/>
    <x v="3"/>
    <s v="customer0217@example.com"/>
  </r>
  <r>
    <s v="ORD00143"/>
    <x v="56"/>
    <x v="155"/>
    <x v="2"/>
    <x v="2"/>
    <n v="8"/>
    <s v="Regular Order"/>
    <n v="911.4"/>
    <x v="264"/>
    <x v="2"/>
    <x v="0"/>
    <s v="customer0039@example.com"/>
  </r>
  <r>
    <s v="ORD00411"/>
    <x v="15"/>
    <x v="91"/>
    <x v="6"/>
    <x v="2"/>
    <n v="2"/>
    <s v="Regular Order"/>
    <n v="272.23"/>
    <x v="92"/>
    <x v="3"/>
    <x v="2"/>
    <s v="customer0186@example.com"/>
  </r>
  <r>
    <s v="ORD00437"/>
    <x v="113"/>
    <x v="263"/>
    <x v="0"/>
    <x v="0"/>
    <n v="4"/>
    <s v="Regular Order"/>
    <n v="46.74"/>
    <x v="265"/>
    <x v="3"/>
    <x v="0"/>
    <s v="customer0172@example.com"/>
  </r>
  <r>
    <s v="ORD00222"/>
    <x v="109"/>
    <x v="264"/>
    <x v="3"/>
    <x v="0"/>
    <n v="6"/>
    <s v="Regular Order"/>
    <n v="80.400000000000006"/>
    <x v="93"/>
    <x v="2"/>
    <x v="2"/>
    <s v="customer0103@example.com"/>
  </r>
  <r>
    <s v="ORD00096"/>
    <x v="17"/>
    <x v="265"/>
    <x v="4"/>
    <x v="2"/>
    <n v="3"/>
    <s v="Regular Order"/>
    <n v="88.27"/>
    <x v="266"/>
    <x v="2"/>
    <x v="4"/>
    <s v="customer0174@example.com"/>
  </r>
  <r>
    <s v="ORD00052"/>
    <x v="96"/>
    <x v="266"/>
    <x v="5"/>
    <x v="0"/>
    <n v="1"/>
    <s v="Regular Order"/>
    <n v="26.94"/>
    <x v="267"/>
    <x v="0"/>
    <x v="1"/>
    <s v="customer0193@example.com"/>
  </r>
  <r>
    <s v="ORD00241"/>
    <x v="183"/>
    <x v="17"/>
    <x v="2"/>
    <x v="2"/>
    <n v="3"/>
    <s v="Regular Order"/>
    <n v="890.5"/>
    <x v="268"/>
    <x v="1"/>
    <x v="0"/>
    <s v="customer0034example.com"/>
  </r>
  <r>
    <s v="ORD00384"/>
    <x v="184"/>
    <x v="219"/>
    <x v="5"/>
    <x v="0"/>
    <n v="999"/>
    <s v="Bulk Order"/>
    <n v="28.2"/>
    <x v="269"/>
    <x v="3"/>
    <x v="3"/>
    <s v="customer0109@example.com"/>
  </r>
  <r>
    <s v="ORD00352"/>
    <x v="185"/>
    <x v="267"/>
    <x v="4"/>
    <x v="2"/>
    <n v="9"/>
    <s v="Regular Order"/>
    <n v="95.45"/>
    <x v="270"/>
    <x v="1"/>
    <x v="2"/>
    <s v="customer0280@example.com"/>
  </r>
  <r>
    <s v="ORD00391"/>
    <x v="88"/>
    <x v="268"/>
    <x v="5"/>
    <x v="0"/>
    <n v="5"/>
    <s v="Regular Order"/>
    <n v="28.24"/>
    <x v="271"/>
    <x v="3"/>
    <x v="0"/>
    <s v="customer0211@example.com"/>
  </r>
  <r>
    <s v="ORD00179"/>
    <x v="23"/>
    <x v="269"/>
    <x v="7"/>
    <x v="3"/>
    <n v="7"/>
    <s v="Regular Order"/>
    <n v="52.42"/>
    <x v="94"/>
    <x v="0"/>
    <x v="2"/>
    <s v="customer0065@example.com"/>
  </r>
  <r>
    <s v="ORD00042"/>
    <x v="186"/>
    <x v="270"/>
    <x v="1"/>
    <x v="1"/>
    <n v="7"/>
    <s v="Regular Order"/>
    <n v="142.99"/>
    <x v="272"/>
    <x v="0"/>
    <x v="2"/>
    <s v="customer0098@example.com"/>
  </r>
  <r>
    <s v="ORD00449"/>
    <x v="187"/>
    <x v="271"/>
    <x v="4"/>
    <x v="2"/>
    <n v="4"/>
    <s v="Regular Order"/>
    <n v="88.47"/>
    <x v="273"/>
    <x v="0"/>
    <x v="4"/>
    <s v="customer0071@example.com"/>
  </r>
  <r>
    <s v="ORD00400"/>
    <x v="188"/>
    <x v="272"/>
    <x v="3"/>
    <x v="0"/>
    <n v="8"/>
    <s v="Regular Order"/>
    <n v="82.88"/>
    <x v="274"/>
    <x v="0"/>
    <x v="2"/>
    <s v="customer0275@example.com"/>
  </r>
  <r>
    <s v="ORD00207"/>
    <x v="18"/>
    <x v="214"/>
    <x v="2"/>
    <x v="2"/>
    <n v="4"/>
    <s v="Regular Order"/>
    <n v="888.21"/>
    <x v="275"/>
    <x v="0"/>
    <x v="4"/>
    <s v="customer0074@example.com"/>
  </r>
  <r>
    <s v="ORD00283"/>
    <x v="189"/>
    <x v="273"/>
    <x v="4"/>
    <x v="2"/>
    <n v="5"/>
    <s v="Regular Order"/>
    <n v="85.34"/>
    <x v="276"/>
    <x v="1"/>
    <x v="4"/>
    <s v="customer0147@example.com"/>
  </r>
  <r>
    <s v="ORD00359"/>
    <x v="190"/>
    <x v="274"/>
    <x v="6"/>
    <x v="2"/>
    <n v="2"/>
    <s v="Regular Order"/>
    <n v="300.48"/>
    <x v="95"/>
    <x v="3"/>
    <x v="1"/>
    <s v="customer0138@example.com"/>
  </r>
  <r>
    <s v="ORD00255"/>
    <x v="115"/>
    <x v="257"/>
    <x v="7"/>
    <x v="3"/>
    <n v="6"/>
    <s v="Regular Order"/>
    <n v="52.42"/>
    <x v="96"/>
    <x v="3"/>
    <x v="1"/>
    <s v="customer0096@example.com"/>
  </r>
  <r>
    <s v="ORD00425"/>
    <x v="21"/>
    <x v="253"/>
    <x v="7"/>
    <x v="3"/>
    <n v="4"/>
    <s v="Regular Order"/>
    <n v="48.4"/>
    <x v="277"/>
    <x v="1"/>
    <x v="4"/>
    <s v="customer0242@example.com"/>
  </r>
  <r>
    <s v="ORD00005"/>
    <x v="7"/>
    <x v="131"/>
    <x v="7"/>
    <x v="3"/>
    <n v="3"/>
    <s v="Regular Order"/>
    <m/>
    <x v="132"/>
    <x v="3"/>
    <x v="2"/>
    <m/>
  </r>
  <r>
    <s v="ORD00257"/>
    <x v="170"/>
    <x v="275"/>
    <x v="5"/>
    <x v="0"/>
    <n v="1"/>
    <s v="Regular Order"/>
    <n v="24.52"/>
    <x v="278"/>
    <x v="2"/>
    <x v="4"/>
    <s v="0040@"/>
  </r>
  <r>
    <s v="ORD00462"/>
    <x v="111"/>
    <x v="276"/>
    <x v="0"/>
    <x v="0"/>
    <n v="5"/>
    <s v="Regular Order"/>
    <n v="53.76"/>
    <x v="279"/>
    <x v="0"/>
    <x v="4"/>
    <s v="customer0183@example.com"/>
  </r>
  <r>
    <s v="ORD00101"/>
    <x v="184"/>
    <x v="17"/>
    <x v="5"/>
    <x v="0"/>
    <n v="3"/>
    <s v="Regular Order"/>
    <n v="27.46"/>
    <x v="280"/>
    <x v="0"/>
    <x v="2"/>
    <s v="customer0109@example.com"/>
  </r>
  <r>
    <s v="ORD00227"/>
    <x v="191"/>
    <x v="277"/>
    <x v="5"/>
    <x v="0"/>
    <n v="3"/>
    <s v="Regular Order"/>
    <n v="26.74"/>
    <x v="281"/>
    <x v="2"/>
    <x v="4"/>
    <s v="customer0132@example.com"/>
  </r>
  <r>
    <s v="ORD00440"/>
    <x v="192"/>
    <x v="124"/>
    <x v="4"/>
    <x v="2"/>
    <n v="7"/>
    <s v="Regular Order"/>
    <n v="95.91"/>
    <x v="282"/>
    <x v="0"/>
    <x v="3"/>
    <s v="customer0205@example.com"/>
  </r>
  <r>
    <s v="ORD00214"/>
    <x v="193"/>
    <x v="278"/>
    <x v="7"/>
    <x v="3"/>
    <n v="4"/>
    <s v="Regular Order"/>
    <n v="47.61"/>
    <x v="98"/>
    <x v="1"/>
    <x v="3"/>
    <s v="customer0203@example.com"/>
  </r>
  <r>
    <s v="ORD00435"/>
    <x v="194"/>
    <x v="279"/>
    <x v="2"/>
    <x v="2"/>
    <n v="5"/>
    <s v="Regular Order"/>
    <n v="51.095208333333318"/>
    <x v="99"/>
    <x v="0"/>
    <x v="1"/>
    <s v="customer0289@example.com"/>
  </r>
  <r>
    <s v="ORD00172"/>
    <x v="123"/>
    <x v="280"/>
    <x v="1"/>
    <x v="1"/>
    <n v="3"/>
    <s v="Regular Order"/>
    <n v="137.41"/>
    <x v="283"/>
    <x v="0"/>
    <x v="0"/>
    <s v="customer0291@example.com"/>
  </r>
  <r>
    <s v="ORD00099"/>
    <x v="14"/>
    <x v="202"/>
    <x v="2"/>
    <x v="2"/>
    <n v="2"/>
    <s v="Regular Order"/>
    <n v="53.76"/>
    <x v="284"/>
    <x v="3"/>
    <x v="5"/>
    <s v="customer0126@example.com"/>
  </r>
  <r>
    <s v="ORD00293"/>
    <x v="195"/>
    <x v="281"/>
    <x v="1"/>
    <x v="1"/>
    <n v="1"/>
    <s v="Regular Order"/>
    <n v="156.08000000000001"/>
    <x v="285"/>
    <x v="1"/>
    <x v="5"/>
    <s v="customer0171example.com"/>
  </r>
  <r>
    <s v="ORD00216"/>
    <x v="162"/>
    <x v="0"/>
    <x v="5"/>
    <x v="0"/>
    <n v="2"/>
    <s v="Regular Order"/>
    <n v="24.49"/>
    <x v="286"/>
    <x v="0"/>
    <x v="0"/>
    <s v="customer0146@example.com"/>
  </r>
  <r>
    <s v="ORD00062"/>
    <x v="176"/>
    <x v="243"/>
    <x v="0"/>
    <x v="0"/>
    <n v="5"/>
    <s v="Regular Order"/>
    <n v="51.04"/>
    <x v="287"/>
    <x v="2"/>
    <x v="2"/>
    <s v="customer0145@example.com"/>
  </r>
  <r>
    <s v="ORD00048"/>
    <x v="196"/>
    <x v="171"/>
    <x v="7"/>
    <x v="3"/>
    <n v="9"/>
    <s v="Regular Order"/>
    <n v="45.58"/>
    <x v="288"/>
    <x v="2"/>
    <x v="0"/>
    <s v="customer0226@example.com"/>
  </r>
  <r>
    <s v="ORD00033"/>
    <x v="16"/>
    <x v="126"/>
    <x v="4"/>
    <x v="2"/>
    <n v="1"/>
    <s v="Regular Order"/>
    <n v="83.51"/>
    <x v="289"/>
    <x v="0"/>
    <x v="0"/>
    <s v="customer0001@example.com"/>
  </r>
  <r>
    <s v="ORD00268"/>
    <x v="4"/>
    <x v="190"/>
    <x v="1"/>
    <x v="1"/>
    <n v="5"/>
    <s v="Regular Order"/>
    <n v="145.63999999999999"/>
    <x v="290"/>
    <x v="2"/>
    <x v="1"/>
    <s v="customer0164@example.com"/>
  </r>
  <r>
    <s v="ORD00328"/>
    <x v="197"/>
    <x v="66"/>
    <x v="3"/>
    <x v="0"/>
    <n v="2"/>
    <s v="Regular Order"/>
    <n v="85.63"/>
    <x v="291"/>
    <x v="1"/>
    <x v="2"/>
    <s v="customer0057@example.com"/>
  </r>
  <r>
    <s v="ORD00201"/>
    <x v="160"/>
    <x v="17"/>
    <x v="2"/>
    <x v="2"/>
    <n v="6"/>
    <s v="Regular Order"/>
    <n v="822.54"/>
    <x v="292"/>
    <x v="3"/>
    <x v="2"/>
    <s v="customer0267example.com"/>
  </r>
  <r>
    <s v="ORD00484"/>
    <x v="198"/>
    <x v="282"/>
    <x v="0"/>
    <x v="0"/>
    <n v="9"/>
    <s v="Regular Order"/>
    <n v="46.55"/>
    <x v="293"/>
    <x v="0"/>
    <x v="0"/>
    <s v="customer0262example.com"/>
  </r>
  <r>
    <s v="ORD00028"/>
    <x v="7"/>
    <x v="156"/>
    <x v="0"/>
    <x v="0"/>
    <n v="3"/>
    <s v="Regular Order"/>
    <n v="45.31"/>
    <x v="294"/>
    <x v="2"/>
    <x v="4"/>
    <m/>
  </r>
  <r>
    <s v="ORD00426"/>
    <x v="199"/>
    <x v="283"/>
    <x v="6"/>
    <x v="2"/>
    <n v="3"/>
    <s v="Regular Order"/>
    <n v="274.77999999999997"/>
    <x v="295"/>
    <x v="0"/>
    <x v="3"/>
    <s v="customer0083@example.com"/>
  </r>
  <r>
    <s v="ORD00231"/>
    <x v="200"/>
    <x v="284"/>
    <x v="7"/>
    <x v="3"/>
    <n v="5"/>
    <s v="Regular Order"/>
    <n v="46.74"/>
    <x v="180"/>
    <x v="2"/>
    <x v="0"/>
    <s v="customer0300@example.com"/>
  </r>
  <r>
    <s v="ORD00261"/>
    <x v="60"/>
    <x v="285"/>
    <x v="2"/>
    <x v="2"/>
    <n v="1"/>
    <s v="Regular Order"/>
    <n v="848.2"/>
    <x v="296"/>
    <x v="0"/>
    <x v="3"/>
    <s v="customer0091@example.com"/>
  </r>
  <r>
    <s v="ORD00379"/>
    <x v="201"/>
    <x v="286"/>
    <x v="0"/>
    <x v="0"/>
    <n v="6"/>
    <s v="Regular Order"/>
    <n v="45.38"/>
    <x v="297"/>
    <x v="0"/>
    <x v="2"/>
    <s v="customer0053@example.com"/>
  </r>
  <r>
    <s v="ORD00289"/>
    <x v="30"/>
    <x v="287"/>
    <x v="0"/>
    <x v="0"/>
    <n v="3"/>
    <s v="Regular Order"/>
    <n v="46.88"/>
    <x v="298"/>
    <x v="1"/>
    <x v="2"/>
    <s v="customer0230@example.com"/>
  </r>
  <r>
    <s v="ORD00163"/>
    <x v="202"/>
    <x v="288"/>
    <x v="2"/>
    <x v="2"/>
    <n v="5"/>
    <s v="Regular Order"/>
    <n v="828.5"/>
    <x v="101"/>
    <x v="3"/>
    <x v="0"/>
    <s v="customer0107@example.com"/>
  </r>
  <r>
    <s v="ORD00438"/>
    <x v="191"/>
    <x v="289"/>
    <x v="0"/>
    <x v="0"/>
    <n v="1"/>
    <s v="Regular Order"/>
    <n v="52.76"/>
    <x v="299"/>
    <x v="3"/>
    <x v="4"/>
    <s v="customer0132@example.com"/>
  </r>
  <r>
    <s v="ORD00139"/>
    <x v="76"/>
    <x v="290"/>
    <x v="3"/>
    <x v="0"/>
    <n v="5"/>
    <s v="Regular Order"/>
    <n v="79.900000000000006"/>
    <x v="300"/>
    <x v="0"/>
    <x v="0"/>
    <s v="customer0029@example.com"/>
  </r>
  <r>
    <s v="ORD00063"/>
    <x v="136"/>
    <x v="291"/>
    <x v="2"/>
    <x v="2"/>
    <n v="5"/>
    <s v="Regular Order"/>
    <n v="908.21"/>
    <x v="301"/>
    <x v="0"/>
    <x v="4"/>
    <s v="customer0082@example.com"/>
  </r>
  <r>
    <s v="ORD00136"/>
    <x v="57"/>
    <x v="292"/>
    <x v="6"/>
    <x v="2"/>
    <n v="1"/>
    <s v="Regular Order"/>
    <n v="286.7"/>
    <x v="302"/>
    <x v="3"/>
    <x v="3"/>
    <s v="customer0002@example.com"/>
  </r>
  <r>
    <s v="ORD00129"/>
    <x v="184"/>
    <x v="220"/>
    <x v="6"/>
    <x v="2"/>
    <n v="4"/>
    <s v="Regular Order"/>
    <n v="318.55"/>
    <x v="303"/>
    <x v="0"/>
    <x v="1"/>
    <s v="customer0109@example.com"/>
  </r>
  <r>
    <s v="ORD00493"/>
    <x v="203"/>
    <x v="85"/>
    <x v="6"/>
    <x v="2"/>
    <n v="9"/>
    <s v="Regular Order"/>
    <n v="287.2"/>
    <x v="304"/>
    <x v="1"/>
    <x v="4"/>
    <s v="customer0246@example.com"/>
  </r>
  <r>
    <s v="ORD00009"/>
    <x v="7"/>
    <x v="293"/>
    <x v="6"/>
    <x v="2"/>
    <n v="3"/>
    <s v="Regular Order"/>
    <n v="300.99"/>
    <x v="305"/>
    <x v="2"/>
    <x v="0"/>
    <m/>
  </r>
  <r>
    <s v="ORD00327"/>
    <x v="204"/>
    <x v="148"/>
    <x v="5"/>
    <x v="0"/>
    <n v="8"/>
    <s v="Regular Order"/>
    <n v="27.68"/>
    <x v="24"/>
    <x v="1"/>
    <x v="2"/>
    <s v="customer0154@example.com"/>
  </r>
  <r>
    <s v="ORD00479"/>
    <x v="194"/>
    <x v="294"/>
    <x v="4"/>
    <x v="2"/>
    <n v="1"/>
    <s v="Regular Order"/>
    <m/>
    <x v="132"/>
    <x v="0"/>
    <x v="4"/>
    <s v="customer0289@example.com"/>
  </r>
  <r>
    <s v="ORD00065"/>
    <x v="22"/>
    <x v="295"/>
    <x v="7"/>
    <x v="3"/>
    <n v="7"/>
    <s v="Regular Order"/>
    <n v="52.09"/>
    <x v="102"/>
    <x v="0"/>
    <x v="1"/>
    <s v="customer0027example.com"/>
  </r>
  <r>
    <s v="ORD00301"/>
    <x v="205"/>
    <x v="17"/>
    <x v="6"/>
    <x v="2"/>
    <n v="3"/>
    <s v="Regular Order"/>
    <m/>
    <x v="132"/>
    <x v="0"/>
    <x v="4"/>
    <s v="customer0050@example.com"/>
  </r>
  <r>
    <s v="ORD00015"/>
    <x v="7"/>
    <x v="296"/>
    <x v="5"/>
    <x v="0"/>
    <n v="9"/>
    <s v="Regular Order"/>
    <n v="25.69"/>
    <x v="306"/>
    <x v="0"/>
    <x v="2"/>
    <m/>
  </r>
  <r>
    <s v="ORD00157"/>
    <x v="164"/>
    <x v="123"/>
    <x v="3"/>
    <x v="0"/>
    <n v="2"/>
    <s v="Regular Order"/>
    <n v="86.41"/>
    <x v="307"/>
    <x v="4"/>
    <x v="1"/>
    <s v="customer0060@example.com"/>
  </r>
  <r>
    <s v="ORD00041"/>
    <x v="110"/>
    <x v="17"/>
    <x v="7"/>
    <x v="3"/>
    <n v="8"/>
    <s v="Regular Order"/>
    <n v="49.71"/>
    <x v="308"/>
    <x v="0"/>
    <x v="2"/>
    <s v="customer0195@example.com"/>
  </r>
  <r>
    <s v="ORD00380"/>
    <x v="182"/>
    <x v="127"/>
    <x v="6"/>
    <x v="2"/>
    <n v="2"/>
    <s v="Regular Order"/>
    <n v="27.68"/>
    <x v="103"/>
    <x v="3"/>
    <x v="2"/>
    <s v="customer0130@example.com"/>
  </r>
  <r>
    <s v="ORD00474"/>
    <x v="199"/>
    <x v="113"/>
    <x v="0"/>
    <x v="0"/>
    <n v="1"/>
    <s v="Regular Order"/>
    <n v="49.51"/>
    <x v="309"/>
    <x v="2"/>
    <x v="1"/>
    <s v="customer0083@example.com"/>
  </r>
  <r>
    <s v="ORD00416"/>
    <x v="206"/>
    <x v="297"/>
    <x v="3"/>
    <x v="0"/>
    <n v="2"/>
    <s v="Regular Order"/>
    <n v="76.86"/>
    <x v="310"/>
    <x v="1"/>
    <x v="1"/>
    <s v="customer0018@example.com"/>
  </r>
  <r>
    <s v="ORD00217"/>
    <x v="207"/>
    <x v="217"/>
    <x v="7"/>
    <x v="3"/>
    <n v="8"/>
    <s v="Regular Order"/>
    <n v="45.68"/>
    <x v="311"/>
    <x v="3"/>
    <x v="2"/>
    <m/>
  </r>
  <r>
    <s v="ORD00280"/>
    <x v="131"/>
    <x v="298"/>
    <x v="0"/>
    <x v="0"/>
    <n v="9"/>
    <s v="Regular Order"/>
    <n v="48.56"/>
    <x v="312"/>
    <x v="0"/>
    <x v="3"/>
    <s v="customer0215@example.com"/>
  </r>
  <r>
    <s v="ORD00448"/>
    <x v="84"/>
    <x v="206"/>
    <x v="7"/>
    <x v="3"/>
    <n v="4"/>
    <s v="Regular Order"/>
    <n v="47.79"/>
    <x v="313"/>
    <x v="2"/>
    <x v="0"/>
    <s v="customer0285@example.com"/>
  </r>
  <r>
    <s v="ORD00487"/>
    <x v="107"/>
    <x v="299"/>
    <x v="5"/>
    <x v="0"/>
    <n v="1"/>
    <s v="Regular Order"/>
    <n v="27.06"/>
    <x v="314"/>
    <x v="2"/>
    <x v="1"/>
    <s v="customer0143@example.com"/>
  </r>
  <r>
    <s v="ORD00338"/>
    <x v="208"/>
    <x v="113"/>
    <x v="7"/>
    <x v="3"/>
    <n v="9"/>
    <s v="Regular Order"/>
    <n v="46.06"/>
    <x v="315"/>
    <x v="1"/>
    <x v="2"/>
    <s v="customer0282@example.com"/>
  </r>
  <r>
    <s v="ORD00237"/>
    <x v="209"/>
    <x v="300"/>
    <x v="3"/>
    <x v="0"/>
    <n v="5"/>
    <s v="Regular Order"/>
    <m/>
    <x v="132"/>
    <x v="2"/>
    <x v="2"/>
    <m/>
  </r>
  <r>
    <s v="ORD00208"/>
    <x v="112"/>
    <x v="301"/>
    <x v="1"/>
    <x v="1"/>
    <n v="1"/>
    <s v="Regular Order"/>
    <n v="143.46"/>
    <x v="316"/>
    <x v="3"/>
    <x v="0"/>
    <s v="customer0076@example.com"/>
  </r>
  <r>
    <s v="ORD00213"/>
    <x v="180"/>
    <x v="31"/>
    <x v="5"/>
    <x v="0"/>
    <n v="5"/>
    <s v="Regular Order"/>
    <n v="23.9"/>
    <x v="104"/>
    <x v="0"/>
    <x v="0"/>
    <s v="customer0118@example.com"/>
  </r>
  <r>
    <s v="ORD00296"/>
    <x v="115"/>
    <x v="302"/>
    <x v="1"/>
    <x v="1"/>
    <n v="2"/>
    <s v="Regular Order"/>
    <n v="161.5"/>
    <x v="317"/>
    <x v="1"/>
    <x v="4"/>
    <s v="customer0096@example.com"/>
  </r>
  <r>
    <s v="ORD00471"/>
    <x v="114"/>
    <x v="303"/>
    <x v="5"/>
    <x v="0"/>
    <n v="5"/>
    <s v="Regular Order"/>
    <n v="26.75"/>
    <x v="105"/>
    <x v="0"/>
    <x v="1"/>
    <s v="customer0296@example.com"/>
  </r>
  <r>
    <s v="ORD00252"/>
    <x v="210"/>
    <x v="304"/>
    <x v="3"/>
    <x v="0"/>
    <n v="8"/>
    <s v="Regular Order"/>
    <n v="76.099999999999994"/>
    <x v="318"/>
    <x v="3"/>
    <x v="3"/>
    <s v="customer0007@example.com"/>
  </r>
  <r>
    <s v="ORD00472"/>
    <x v="31"/>
    <x v="185"/>
    <x v="4"/>
    <x v="2"/>
    <n v="3"/>
    <s v="Regular Order"/>
    <n v="94.41"/>
    <x v="319"/>
    <x v="3"/>
    <x v="0"/>
    <s v="customer0116example.com"/>
  </r>
  <r>
    <s v="ORD00304"/>
    <x v="50"/>
    <x v="305"/>
    <x v="6"/>
    <x v="2"/>
    <n v="6"/>
    <s v="Regular Order"/>
    <n v="272"/>
    <x v="320"/>
    <x v="1"/>
    <x v="0"/>
    <s v="customer0090@example.com"/>
  </r>
  <r>
    <s v="ORD00351"/>
    <x v="10"/>
    <x v="17"/>
    <x v="4"/>
    <x v="2"/>
    <n v="4"/>
    <s v="Regular Order"/>
    <n v="86.63"/>
    <x v="321"/>
    <x v="1"/>
    <x v="2"/>
    <s v="customer0087@example.com"/>
  </r>
  <r>
    <s v="ORD00270"/>
    <x v="211"/>
    <x v="55"/>
    <x v="6"/>
    <x v="2"/>
    <n v="5"/>
    <s v="Regular Order"/>
    <n v="289.38"/>
    <x v="322"/>
    <x v="2"/>
    <x v="2"/>
    <s v="customer0265@example.com"/>
  </r>
  <r>
    <s v="ORD00202"/>
    <x v="176"/>
    <x v="306"/>
    <x v="5"/>
    <x v="0"/>
    <n v="2"/>
    <s v="Regular Order"/>
    <n v="24.64"/>
    <x v="323"/>
    <x v="0"/>
    <x v="1"/>
    <s v="customer0145@example.com"/>
  </r>
  <r>
    <s v="ORD00162"/>
    <x v="25"/>
    <x v="307"/>
    <x v="5"/>
    <x v="0"/>
    <n v="7"/>
    <s v="Regular Order"/>
    <n v="27.35"/>
    <x v="324"/>
    <x v="3"/>
    <x v="3"/>
    <s v="customer0288@example.com"/>
  </r>
  <r>
    <s v="ORD00044"/>
    <x v="78"/>
    <x v="141"/>
    <x v="2"/>
    <x v="2"/>
    <n v="1"/>
    <s v="Regular Order"/>
    <n v="843.31"/>
    <x v="325"/>
    <x v="1"/>
    <x v="2"/>
    <s v="customer0104@example.com"/>
  </r>
  <r>
    <s v="ORD00218"/>
    <x v="100"/>
    <x v="308"/>
    <x v="6"/>
    <x v="2"/>
    <n v="7"/>
    <s v="Regular Order"/>
    <n v="306.57"/>
    <x v="326"/>
    <x v="2"/>
    <x v="0"/>
    <s v="customer0180@example.com"/>
  </r>
  <r>
    <s v="ORD00402"/>
    <x v="44"/>
    <x v="309"/>
    <x v="6"/>
    <x v="2"/>
    <n v="7"/>
    <s v="Regular Order"/>
    <n v="275.3"/>
    <x v="327"/>
    <x v="2"/>
    <x v="3"/>
    <s v="customer0085@example.com"/>
  </r>
  <r>
    <s v="ORD00191"/>
    <x v="212"/>
    <x v="26"/>
    <x v="1"/>
    <x v="1"/>
    <n v="1"/>
    <s v="Regular Order"/>
    <n v="162.46"/>
    <x v="328"/>
    <x v="3"/>
    <x v="2"/>
    <s v="customer0062@example.com"/>
  </r>
  <r>
    <s v="ORD00310"/>
    <x v="86"/>
    <x v="310"/>
    <x v="5"/>
    <x v="0"/>
    <n v="999"/>
    <s v="Bulk Order"/>
    <n v="28.03"/>
    <x v="329"/>
    <x v="0"/>
    <x v="1"/>
    <s v="customer0223@example.com"/>
  </r>
  <r>
    <s v="ORD00260"/>
    <x v="176"/>
    <x v="311"/>
    <x v="1"/>
    <x v="1"/>
    <n v="7"/>
    <s v="Regular Order"/>
    <n v="154.09"/>
    <x v="330"/>
    <x v="0"/>
    <x v="0"/>
    <s v="customer0145@example.com"/>
  </r>
  <r>
    <s v="ORD00106"/>
    <x v="130"/>
    <x v="312"/>
    <x v="7"/>
    <x v="3"/>
    <n v="4"/>
    <s v="Regular Order"/>
    <n v="46.2"/>
    <x v="331"/>
    <x v="1"/>
    <x v="4"/>
    <s v="customer0031@example.com"/>
  </r>
  <r>
    <s v="ORD00054"/>
    <x v="17"/>
    <x v="50"/>
    <x v="6"/>
    <x v="2"/>
    <n v="999"/>
    <s v="Bulk Order"/>
    <n v="303.49"/>
    <x v="332"/>
    <x v="1"/>
    <x v="0"/>
    <s v="customer0174@example.com"/>
  </r>
  <r>
    <s v="ORD00390"/>
    <x v="213"/>
    <x v="42"/>
    <x v="2"/>
    <x v="2"/>
    <n v="5"/>
    <s v="Regular Order"/>
    <n v="834.25"/>
    <x v="106"/>
    <x v="0"/>
    <x v="4"/>
    <s v="customer0218@example.com"/>
  </r>
  <r>
    <s v="ORD00002"/>
    <x v="7"/>
    <x v="244"/>
    <x v="0"/>
    <x v="0"/>
    <n v="9"/>
    <s v="Regular Order"/>
    <n v="53.07"/>
    <x v="333"/>
    <x v="2"/>
    <x v="3"/>
    <m/>
  </r>
  <r>
    <s v="ORD00455"/>
    <x v="16"/>
    <x v="303"/>
    <x v="1"/>
    <x v="1"/>
    <n v="8"/>
    <s v="Regular Order"/>
    <m/>
    <x v="132"/>
    <x v="4"/>
    <x v="0"/>
    <s v="customer0001@example.com"/>
  </r>
  <r>
    <s v="ORD00499"/>
    <x v="203"/>
    <x v="313"/>
    <x v="1"/>
    <x v="1"/>
    <n v="5"/>
    <s v="Regular Order"/>
    <n v="164.51"/>
    <x v="107"/>
    <x v="1"/>
    <x v="2"/>
    <s v="customer0246@example.com"/>
  </r>
  <r>
    <s v="ORD00050"/>
    <x v="59"/>
    <x v="68"/>
    <x v="3"/>
    <x v="0"/>
    <n v="9"/>
    <s v="Regular Order"/>
    <n v="73.680000000000007"/>
    <x v="334"/>
    <x v="1"/>
    <x v="0"/>
    <m/>
  </r>
  <r>
    <s v="ORD00420"/>
    <x v="125"/>
    <x v="314"/>
    <x v="4"/>
    <x v="2"/>
    <n v="1"/>
    <s v="Regular Order"/>
    <n v="94.61"/>
    <x v="335"/>
    <x v="2"/>
    <x v="3"/>
    <s v="customer0239@example.com"/>
  </r>
  <r>
    <s v="ORD00081"/>
    <x v="34"/>
    <x v="17"/>
    <x v="4"/>
    <x v="2"/>
    <n v="6"/>
    <s v="Regular Order"/>
    <n v="87.71"/>
    <x v="336"/>
    <x v="2"/>
    <x v="0"/>
    <s v="customer0024@example.com"/>
  </r>
  <r>
    <s v="ORD00206"/>
    <x v="214"/>
    <x v="182"/>
    <x v="6"/>
    <x v="2"/>
    <n v="5"/>
    <s v="Regular Order"/>
    <n v="278.01"/>
    <x v="337"/>
    <x v="2"/>
    <x v="0"/>
    <s v="customer0189@example.com"/>
  </r>
  <r>
    <s v="ORD00035"/>
    <x v="16"/>
    <x v="13"/>
    <x v="4"/>
    <x v="2"/>
    <n v="4"/>
    <s v="Regular Order"/>
    <n v="85.12"/>
    <x v="338"/>
    <x v="0"/>
    <x v="4"/>
    <s v="customer0001@example.com"/>
  </r>
  <r>
    <s v="ORD00431"/>
    <x v="212"/>
    <x v="315"/>
    <x v="5"/>
    <x v="0"/>
    <n v="7"/>
    <s v="Regular Order"/>
    <n v="25.91"/>
    <x v="339"/>
    <x v="0"/>
    <x v="5"/>
    <s v="customer0062@example.com"/>
  </r>
  <r>
    <s v="ORD00264"/>
    <x v="105"/>
    <x v="245"/>
    <x v="5"/>
    <x v="0"/>
    <n v="8"/>
    <s v="Regular Order"/>
    <n v="27.94"/>
    <x v="340"/>
    <x v="4"/>
    <x v="4"/>
    <s v="customer0278@example.com"/>
  </r>
  <r>
    <s v="ORD00428"/>
    <x v="85"/>
    <x v="316"/>
    <x v="6"/>
    <x v="2"/>
    <n v="4"/>
    <s v="Regular Order"/>
    <m/>
    <x v="132"/>
    <x v="0"/>
    <x v="0"/>
    <s v="customer0227@example.com"/>
  </r>
  <r>
    <s v="ORD00367"/>
    <x v="116"/>
    <x v="66"/>
    <x v="0"/>
    <x v="0"/>
    <n v="1"/>
    <s v="Regular Order"/>
    <n v="50.85"/>
    <x v="341"/>
    <x v="0"/>
    <x v="2"/>
    <s v="customer0131@example.com"/>
  </r>
  <r>
    <s v="ORD00092"/>
    <x v="211"/>
    <x v="40"/>
    <x v="2"/>
    <x v="2"/>
    <n v="8"/>
    <s v="Regular Order"/>
    <n v="988.01"/>
    <x v="342"/>
    <x v="1"/>
    <x v="0"/>
    <s v="customer0265@example.com"/>
  </r>
  <r>
    <s v="ORD00340"/>
    <x v="15"/>
    <x v="9"/>
    <x v="6"/>
    <x v="2"/>
    <n v="6"/>
    <s v="Regular Order"/>
    <m/>
    <x v="132"/>
    <x v="2"/>
    <x v="2"/>
    <s v="customer0186@example.com"/>
  </r>
  <r>
    <s v="ORD00489"/>
    <x v="185"/>
    <x v="316"/>
    <x v="4"/>
    <x v="2"/>
    <n v="1"/>
    <s v="Regular Order"/>
    <n v="88.26"/>
    <x v="108"/>
    <x v="3"/>
    <x v="1"/>
    <s v="customer0280@example.com"/>
  </r>
  <r>
    <s v="ORD00053"/>
    <x v="0"/>
    <x v="194"/>
    <x v="3"/>
    <x v="0"/>
    <n v="5"/>
    <s v="Regular Order"/>
    <n v="75.67"/>
    <x v="343"/>
    <x v="1"/>
    <x v="3"/>
    <s v="customer0022@example.com"/>
  </r>
  <r>
    <s v="ORD00346"/>
    <x v="161"/>
    <x v="317"/>
    <x v="2"/>
    <x v="2"/>
    <n v="5"/>
    <s v="Regular Order"/>
    <n v="918.95"/>
    <x v="109"/>
    <x v="1"/>
    <x v="3"/>
    <s v="customer0111@example.com"/>
  </r>
  <r>
    <s v="ORD00265"/>
    <x v="25"/>
    <x v="3"/>
    <x v="0"/>
    <x v="0"/>
    <n v="5"/>
    <s v="Regular Order"/>
    <n v="52.97"/>
    <x v="110"/>
    <x v="3"/>
    <x v="1"/>
    <s v="customer0288example.com"/>
  </r>
  <r>
    <s v="ORD00242"/>
    <x v="54"/>
    <x v="318"/>
    <x v="2"/>
    <x v="2"/>
    <n v="8"/>
    <s v="Regular Order"/>
    <n v="903.45"/>
    <x v="344"/>
    <x v="0"/>
    <x v="1"/>
    <s v="customer0259@example.com"/>
  </r>
  <r>
    <s v="ORD00014"/>
    <x v="7"/>
    <x v="270"/>
    <x v="7"/>
    <x v="3"/>
    <n v="6"/>
    <s v="Regular Order"/>
    <n v="47.72"/>
    <x v="345"/>
    <x v="3"/>
    <x v="0"/>
    <m/>
  </r>
  <r>
    <s v="ORD00316"/>
    <x v="190"/>
    <x v="319"/>
    <x v="1"/>
    <x v="1"/>
    <n v="999"/>
    <s v="Bulk Order"/>
    <n v="153.32"/>
    <x v="346"/>
    <x v="2"/>
    <x v="4"/>
    <s v="customer0138@example.com"/>
  </r>
  <r>
    <s v="ORD00089"/>
    <x v="215"/>
    <x v="282"/>
    <x v="5"/>
    <x v="0"/>
    <n v="2"/>
    <s v="Regular Order"/>
    <n v="26.78"/>
    <x v="347"/>
    <x v="0"/>
    <x v="0"/>
    <s v="customer0213@example.com"/>
  </r>
  <r>
    <s v="ORD00388"/>
    <x v="183"/>
    <x v="170"/>
    <x v="7"/>
    <x v="3"/>
    <n v="8"/>
    <s v="Regular Order"/>
    <n v="46"/>
    <x v="348"/>
    <x v="2"/>
    <x v="1"/>
    <s v="customer0034@example.com"/>
  </r>
  <r>
    <s v="ORD00274"/>
    <x v="216"/>
    <x v="320"/>
    <x v="1"/>
    <x v="1"/>
    <n v="3"/>
    <s v="Regular Order"/>
    <n v="146.47"/>
    <x v="349"/>
    <x v="2"/>
    <x v="3"/>
    <s v="customer0139@example.com"/>
  </r>
  <r>
    <s v="ORD00167"/>
    <x v="25"/>
    <x v="321"/>
    <x v="6"/>
    <x v="2"/>
    <n v="7"/>
    <s v="Regular Order"/>
    <n v="319.77"/>
    <x v="350"/>
    <x v="3"/>
    <x v="0"/>
    <s v="customer0288@example.com"/>
  </r>
  <r>
    <s v="ORD00329"/>
    <x v="215"/>
    <x v="322"/>
    <x v="6"/>
    <x v="2"/>
    <n v="3"/>
    <s v="Regular Order"/>
    <n v="300"/>
    <x v="351"/>
    <x v="3"/>
    <x v="3"/>
    <s v="customer0213@example.com"/>
  </r>
  <r>
    <s v="ORD00135"/>
    <x v="88"/>
    <x v="323"/>
    <x v="6"/>
    <x v="2"/>
    <n v="4"/>
    <s v="Regular Order"/>
    <n v="288.39999999999998"/>
    <x v="352"/>
    <x v="3"/>
    <x v="2"/>
    <s v="customer0211@example.com"/>
  </r>
  <r>
    <s v="ORD00307"/>
    <x v="51"/>
    <x v="209"/>
    <x v="1"/>
    <x v="1"/>
    <n v="5"/>
    <s v="Regular Order"/>
    <n v="147.86000000000001"/>
    <x v="353"/>
    <x v="1"/>
    <x v="5"/>
    <s v="customer0163@example.com"/>
  </r>
  <r>
    <s v="ORD00497"/>
    <x v="207"/>
    <x v="319"/>
    <x v="0"/>
    <x v="0"/>
    <n v="7"/>
    <s v="Regular Order"/>
    <n v="49.67"/>
    <x v="354"/>
    <x v="4"/>
    <x v="2"/>
    <s v="customer0004@example.com"/>
  </r>
  <r>
    <s v="ORD00320"/>
    <x v="11"/>
    <x v="229"/>
    <x v="3"/>
    <x v="0"/>
    <n v="6"/>
    <s v="Regular Order"/>
    <n v="78.430000000000007"/>
    <x v="111"/>
    <x v="2"/>
    <x v="1"/>
    <s v="customer0061@example.com"/>
  </r>
  <r>
    <s v="ORD00244"/>
    <x v="205"/>
    <x v="324"/>
    <x v="5"/>
    <x v="0"/>
    <n v="5"/>
    <s v="Regular Order"/>
    <n v="25.96"/>
    <x v="355"/>
    <x v="1"/>
    <x v="1"/>
    <s v="customer0050@example.com"/>
  </r>
  <r>
    <s v="ORD00055"/>
    <x v="98"/>
    <x v="325"/>
    <x v="3"/>
    <x v="0"/>
    <n v="6"/>
    <s v="Regular Order"/>
    <n v="72.150000000000006"/>
    <x v="356"/>
    <x v="0"/>
    <x v="2"/>
    <s v="customer0166@example.com"/>
  </r>
  <r>
    <s v="ORD00364"/>
    <x v="153"/>
    <x v="73"/>
    <x v="1"/>
    <x v="1"/>
    <n v="4"/>
    <s v="Regular Order"/>
    <n v="137.38"/>
    <x v="357"/>
    <x v="0"/>
    <x v="1"/>
    <s v="customer0011@example.com"/>
  </r>
  <r>
    <s v="ORD00051"/>
    <x v="217"/>
    <x v="17"/>
    <x v="1"/>
    <x v="1"/>
    <n v="8"/>
    <s v="Regular Order"/>
    <n v="135.54"/>
    <x v="358"/>
    <x v="0"/>
    <x v="2"/>
    <s v="customer0258@example.com"/>
  </r>
  <r>
    <s v="ORD00470"/>
    <x v="193"/>
    <x v="326"/>
    <x v="3"/>
    <x v="0"/>
    <n v="5"/>
    <s v="Regular Order"/>
    <n v="85.61"/>
    <x v="359"/>
    <x v="0"/>
    <x v="0"/>
    <s v="customer0203@example.com"/>
  </r>
  <r>
    <s v="ORD00175"/>
    <x v="218"/>
    <x v="255"/>
    <x v="7"/>
    <x v="3"/>
    <n v="8"/>
    <s v="Regular Order"/>
    <n v="45.62"/>
    <x v="360"/>
    <x v="2"/>
    <x v="2"/>
    <s v="customer0251@example.com"/>
  </r>
  <r>
    <s v="ORD00446"/>
    <x v="184"/>
    <x v="268"/>
    <x v="2"/>
    <x v="2"/>
    <n v="9"/>
    <s v="Regular Order"/>
    <n v="823.09"/>
    <x v="113"/>
    <x v="1"/>
    <x v="3"/>
    <s v="customer0109@example.com"/>
  </r>
  <r>
    <s v="ORD00190"/>
    <x v="63"/>
    <x v="327"/>
    <x v="3"/>
    <x v="0"/>
    <n v="5"/>
    <s v="Regular Order"/>
    <n v="87.25"/>
    <x v="361"/>
    <x v="1"/>
    <x v="1"/>
    <s v="customer0286@example.com"/>
  </r>
  <r>
    <s v="ORD00464"/>
    <x v="50"/>
    <x v="46"/>
    <x v="0"/>
    <x v="0"/>
    <n v="1"/>
    <s v="Regular Order"/>
    <n v="72.150000000000006"/>
    <x v="114"/>
    <x v="0"/>
    <x v="3"/>
    <s v="customer0090@example.com"/>
  </r>
  <r>
    <s v="ORD00188"/>
    <x v="29"/>
    <x v="266"/>
    <x v="3"/>
    <x v="0"/>
    <n v="6"/>
    <s v="Regular Order"/>
    <n v="72.02"/>
    <x v="362"/>
    <x v="2"/>
    <x v="1"/>
    <s v="customer0245@example.com"/>
  </r>
  <r>
    <s v="ORD00170"/>
    <x v="219"/>
    <x v="305"/>
    <x v="2"/>
    <x v="2"/>
    <n v="6"/>
    <s v="Regular Order"/>
    <n v="914.34"/>
    <x v="363"/>
    <x v="2"/>
    <x v="0"/>
    <s v="customer0088@example.com"/>
  </r>
  <r>
    <s v="ORD00059"/>
    <x v="161"/>
    <x v="328"/>
    <x v="0"/>
    <x v="0"/>
    <n v="999"/>
    <s v="Bulk Order"/>
    <n v="47.36"/>
    <x v="364"/>
    <x v="0"/>
    <x v="4"/>
    <s v="customer0111@example.com"/>
  </r>
  <r>
    <s v="ORD00475"/>
    <x v="203"/>
    <x v="329"/>
    <x v="0"/>
    <x v="0"/>
    <n v="4"/>
    <s v="Regular Order"/>
    <n v="50.52"/>
    <x v="365"/>
    <x v="0"/>
    <x v="5"/>
    <s v="customer0246@example.com"/>
  </r>
  <r>
    <s v="ORD00049"/>
    <x v="166"/>
    <x v="234"/>
    <x v="2"/>
    <x v="2"/>
    <n v="9"/>
    <s v="Regular Order"/>
    <n v="860.64"/>
    <x v="366"/>
    <x v="0"/>
    <x v="2"/>
    <s v="customer0120@example.com"/>
  </r>
  <r>
    <s v="ORD00345"/>
    <x v="152"/>
    <x v="330"/>
    <x v="4"/>
    <x v="2"/>
    <n v="4"/>
    <s v="Regular Order"/>
    <n v="89.13"/>
    <x v="115"/>
    <x v="3"/>
    <x v="1"/>
    <s v="0059@"/>
  </r>
  <r>
    <s v="ORD00236"/>
    <x v="220"/>
    <x v="305"/>
    <x v="5"/>
    <x v="0"/>
    <n v="9"/>
    <s v="Regular Order"/>
    <m/>
    <x v="132"/>
    <x v="2"/>
    <x v="2"/>
    <s v="customer0299@example.com"/>
  </r>
  <r>
    <s v="ORD00253"/>
    <x v="184"/>
    <x v="331"/>
    <x v="1"/>
    <x v="1"/>
    <n v="3"/>
    <s v="Regular Order"/>
    <n v="147.79"/>
    <x v="367"/>
    <x v="1"/>
    <x v="0"/>
    <s v="customer0109@example.com"/>
  </r>
  <r>
    <s v="ORD00022"/>
    <x v="7"/>
    <x v="184"/>
    <x v="7"/>
    <x v="3"/>
    <n v="5"/>
    <s v="Regular Order"/>
    <m/>
    <x v="132"/>
    <x v="2"/>
    <x v="3"/>
    <m/>
  </r>
  <r>
    <s v="ORD00314"/>
    <x v="5"/>
    <x v="332"/>
    <x v="6"/>
    <x v="2"/>
    <n v="7"/>
    <s v="Regular Order"/>
    <n v="313.89"/>
    <x v="368"/>
    <x v="3"/>
    <x v="3"/>
    <s v="customer0128@example.com"/>
  </r>
  <r>
    <s v="ORD00460"/>
    <x v="80"/>
    <x v="129"/>
    <x v="1"/>
    <x v="1"/>
    <n v="2"/>
    <s v="Regular Order"/>
    <n v="138.81"/>
    <x v="369"/>
    <x v="0"/>
    <x v="1"/>
    <s v="customer0279@example.com"/>
  </r>
  <r>
    <s v="ORD00161"/>
    <x v="188"/>
    <x v="17"/>
    <x v="5"/>
    <x v="0"/>
    <n v="2"/>
    <s v="Regular Order"/>
    <n v="27.01"/>
    <x v="370"/>
    <x v="0"/>
    <x v="3"/>
    <s v="customer0275@example.com"/>
  </r>
  <r>
    <s v="ORD00277"/>
    <x v="221"/>
    <x v="210"/>
    <x v="3"/>
    <x v="0"/>
    <n v="7"/>
    <s v="Regular Order"/>
    <n v="72.569999999999993"/>
    <x v="371"/>
    <x v="3"/>
    <x v="1"/>
    <s v="customer0133@example.com"/>
  </r>
  <r>
    <s v="ORD00444"/>
    <x v="137"/>
    <x v="99"/>
    <x v="5"/>
    <x v="0"/>
    <n v="7"/>
    <s v="Regular Order"/>
    <n v="47.08"/>
    <x v="372"/>
    <x v="3"/>
    <x v="1"/>
    <s v="customer0165@example.com"/>
  </r>
  <r>
    <s v="ORD00192"/>
    <x v="122"/>
    <x v="319"/>
    <x v="3"/>
    <x v="0"/>
    <n v="5"/>
    <s v="Regular Order"/>
    <n v="78.28"/>
    <x v="373"/>
    <x v="3"/>
    <x v="1"/>
    <s v="customer0016@example.com"/>
  </r>
  <r>
    <s v="ORD00386"/>
    <x v="222"/>
    <x v="318"/>
    <x v="6"/>
    <x v="2"/>
    <n v="3"/>
    <s v="Regular Order"/>
    <n v="310.83"/>
    <x v="374"/>
    <x v="2"/>
    <x v="4"/>
    <s v="customer0079@example.com"/>
  </r>
  <r>
    <s v="ORD00294"/>
    <x v="177"/>
    <x v="78"/>
    <x v="4"/>
    <x v="2"/>
    <n v="6"/>
    <s v="Regular Order"/>
    <n v="91.93"/>
    <x v="375"/>
    <x v="2"/>
    <x v="1"/>
    <s v="customer0241@example.com"/>
  </r>
  <r>
    <s v="ORD00414"/>
    <x v="223"/>
    <x v="333"/>
    <x v="1"/>
    <x v="1"/>
    <n v="8"/>
    <s v="Regular Order"/>
    <n v="140.5"/>
    <x v="27"/>
    <x v="1"/>
    <x v="4"/>
    <s v="customer0191@example.com"/>
  </r>
  <r>
    <s v="ORD00492"/>
    <x v="101"/>
    <x v="334"/>
    <x v="7"/>
    <x v="3"/>
    <n v="8"/>
    <s v="Regular Order"/>
    <n v="46.27"/>
    <x v="376"/>
    <x v="3"/>
    <x v="3"/>
    <s v="customer0179@example.com"/>
  </r>
  <r>
    <s v="ORD00344"/>
    <x v="57"/>
    <x v="62"/>
    <x v="1"/>
    <x v="1"/>
    <n v="7"/>
    <s v="Regular Order"/>
    <m/>
    <x v="132"/>
    <x v="2"/>
    <x v="0"/>
    <s v="customer0002@example.com"/>
  </r>
  <r>
    <s v="ORD00258"/>
    <x v="224"/>
    <x v="335"/>
    <x v="7"/>
    <x v="3"/>
    <n v="2"/>
    <s v="Regular Order"/>
    <n v="51.27"/>
    <x v="377"/>
    <x v="2"/>
    <x v="3"/>
    <s v="customer0012@example.com"/>
  </r>
  <r>
    <s v="ORD00309"/>
    <x v="98"/>
    <x v="31"/>
    <x v="7"/>
    <x v="3"/>
    <n v="2"/>
    <s v="Regular Order"/>
    <n v="53.66"/>
    <x v="116"/>
    <x v="2"/>
    <x v="0"/>
    <s v="customer0166@example.com"/>
  </r>
  <r>
    <s v="ORD00150"/>
    <x v="41"/>
    <x v="336"/>
    <x v="3"/>
    <x v="0"/>
    <n v="9"/>
    <s v="Regular Order"/>
    <n v="77.45"/>
    <x v="378"/>
    <x v="3"/>
    <x v="4"/>
    <s v="customer0238@example.com"/>
  </r>
  <r>
    <s v="ORD00131"/>
    <x v="104"/>
    <x v="337"/>
    <x v="5"/>
    <x v="0"/>
    <n v="9"/>
    <s v="Regular Order"/>
    <n v="27.01"/>
    <x v="379"/>
    <x v="2"/>
    <x v="1"/>
    <s v="customer0162@example.com"/>
  </r>
  <r>
    <s v="ORD00152"/>
    <x v="142"/>
    <x v="338"/>
    <x v="2"/>
    <x v="2"/>
    <n v="8"/>
    <s v="Regular Order"/>
    <n v="140.5"/>
    <x v="27"/>
    <x v="2"/>
    <x v="2"/>
    <s v="customer0277@example.com"/>
  </r>
  <r>
    <s v="ORD00360"/>
    <x v="104"/>
    <x v="173"/>
    <x v="4"/>
    <x v="2"/>
    <n v="5"/>
    <s v="Regular Order"/>
    <n v="94.86"/>
    <x v="380"/>
    <x v="1"/>
    <x v="2"/>
    <s v="customer0162@example.com"/>
  </r>
  <r>
    <s v="ORD00100"/>
    <x v="165"/>
    <x v="339"/>
    <x v="1"/>
    <x v="1"/>
    <n v="4"/>
    <s v="Regular Order"/>
    <m/>
    <x v="132"/>
    <x v="1"/>
    <x v="1"/>
    <s v="customer0122@example.com"/>
  </r>
  <r>
    <s v="ORD00373"/>
    <x v="46"/>
    <x v="340"/>
    <x v="4"/>
    <x v="2"/>
    <n v="6"/>
    <s v="Regular Order"/>
    <n v="89.34"/>
    <x v="117"/>
    <x v="0"/>
    <x v="4"/>
    <s v="customer0069@example.com"/>
  </r>
  <r>
    <s v="ORD00088"/>
    <x v="62"/>
    <x v="341"/>
    <x v="3"/>
    <x v="0"/>
    <n v="7"/>
    <s v="Regular Order"/>
    <n v="72.459999999999994"/>
    <x v="381"/>
    <x v="0"/>
    <x v="2"/>
    <s v="customer0137@example.com"/>
  </r>
  <r>
    <s v="ORD00459"/>
    <x v="47"/>
    <x v="342"/>
    <x v="6"/>
    <x v="2"/>
    <n v="4"/>
    <s v="Regular Order"/>
    <n v="77.45"/>
    <x v="382"/>
    <x v="1"/>
    <x v="2"/>
    <s v="customer0021@example.com"/>
  </r>
  <r>
    <s v="ORD00331"/>
    <x v="225"/>
    <x v="343"/>
    <x v="0"/>
    <x v="0"/>
    <n v="8"/>
    <s v="Regular Order"/>
    <n v="46.29"/>
    <x v="383"/>
    <x v="3"/>
    <x v="5"/>
    <s v="customer0252@example.com"/>
  </r>
  <r>
    <s v="ORD00215"/>
    <x v="73"/>
    <x v="33"/>
    <x v="2"/>
    <x v="2"/>
    <n v="9"/>
    <s v="Regular Order"/>
    <n v="858.01"/>
    <x v="118"/>
    <x v="3"/>
    <x v="1"/>
    <s v="customer0038example.com"/>
  </r>
  <r>
    <s v="ORD00467"/>
    <x v="141"/>
    <x v="320"/>
    <x v="4"/>
    <x v="0"/>
    <n v="5"/>
    <s v="Regular Order"/>
    <n v="81.81"/>
    <x v="384"/>
    <x v="3"/>
    <x v="3"/>
    <s v="customer0187@example.com"/>
  </r>
  <r>
    <s v="ORD00122"/>
    <x v="132"/>
    <x v="22"/>
    <x v="6"/>
    <x v="2"/>
    <n v="3"/>
    <s v="Regular Order"/>
    <n v="281.20999999999998"/>
    <x v="119"/>
    <x v="2"/>
    <x v="1"/>
    <s v="customer0095@example.com"/>
  </r>
  <r>
    <s v="ORD00021"/>
    <x v="7"/>
    <x v="344"/>
    <x v="1"/>
    <x v="1"/>
    <n v="4"/>
    <s v="Regular Order"/>
    <n v="151.74"/>
    <x v="385"/>
    <x v="0"/>
    <x v="4"/>
    <m/>
  </r>
  <r>
    <s v="ORD00189"/>
    <x v="1"/>
    <x v="196"/>
    <x v="7"/>
    <x v="3"/>
    <n v="9"/>
    <s v="Regular Order"/>
    <n v="47.33"/>
    <x v="386"/>
    <x v="1"/>
    <x v="2"/>
    <s v="customer0097@example.com"/>
  </r>
  <r>
    <s v="ORD00072"/>
    <x v="6"/>
    <x v="32"/>
    <x v="6"/>
    <x v="2"/>
    <n v="9"/>
    <s v="Regular Order"/>
    <n v="316.95"/>
    <x v="387"/>
    <x v="3"/>
    <x v="1"/>
    <s v="customer0254@example.com"/>
  </r>
  <r>
    <s v="ORD00107"/>
    <x v="204"/>
    <x v="71"/>
    <x v="4"/>
    <x v="2"/>
    <n v="1"/>
    <s v="Regular Order"/>
    <n v="91.28"/>
    <x v="388"/>
    <x v="3"/>
    <x v="3"/>
    <s v="customer0154@example.com"/>
  </r>
  <r>
    <s v="ORD00271"/>
    <x v="59"/>
    <x v="164"/>
    <x v="5"/>
    <x v="0"/>
    <n v="6"/>
    <s v="Regular Order"/>
    <n v="28.12"/>
    <x v="389"/>
    <x v="0"/>
    <x v="4"/>
    <s v="customer0115@example.com"/>
  </r>
  <r>
    <s v="ORD00436"/>
    <x v="217"/>
    <x v="345"/>
    <x v="7"/>
    <x v="3"/>
    <n v="1"/>
    <s v="Regular Order"/>
    <n v="53.54"/>
    <x v="390"/>
    <x v="1"/>
    <x v="2"/>
    <s v="customer0258@example.com"/>
  </r>
  <r>
    <s v="ORD00103"/>
    <x v="124"/>
    <x v="346"/>
    <x v="3"/>
    <x v="0"/>
    <n v="5"/>
    <s v="Regular Order"/>
    <n v="72.3"/>
    <x v="391"/>
    <x v="2"/>
    <x v="2"/>
    <m/>
  </r>
  <r>
    <m/>
    <x v="226"/>
    <x v="17"/>
    <x v="8"/>
    <x v="4"/>
    <m/>
    <m/>
    <m/>
    <x v="132"/>
    <x v="4"/>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99796D-C981-4F9C-AD60-C859C3A723E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5:M20" firstHeaderRow="1" firstDataRow="1" firstDataCol="1"/>
  <pivotFields count="15">
    <pivotField showAll="0"/>
    <pivotField showAll="0"/>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sortType="ascending">
      <items count="10">
        <item x="1"/>
        <item x="3"/>
        <item x="2"/>
        <item x="0"/>
        <item x="6"/>
        <item x="5"/>
        <item x="7"/>
        <item x="4"/>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axis="axisRow" showAll="0" sortType="descending">
      <items count="6">
        <item x="3"/>
        <item x="2"/>
        <item x="0"/>
        <item x="1"/>
        <item h="1" x="4"/>
        <item t="default"/>
      </items>
      <autoSortScope>
        <pivotArea dataOnly="0" outline="0" fieldPosition="0">
          <references count="1">
            <reference field="4294967294" count="1" selected="0">
              <x v="0"/>
            </reference>
          </references>
        </pivotArea>
      </autoSortScope>
    </pivotField>
    <pivotField showAll="0" sortType="a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v="3"/>
    </i>
    <i>
      <x v="1"/>
    </i>
    <i>
      <x v="2"/>
    </i>
    <i>
      <x/>
    </i>
    <i t="grand">
      <x/>
    </i>
  </rowItems>
  <colItems count="1">
    <i/>
  </colItems>
  <dataFields count="1">
    <dataField name="Sum of Revenue" fld="8" baseField="3" baseItem="0"/>
  </dataFields>
  <formats count="2">
    <format dxfId="1">
      <pivotArea collapsedLevelsAreSubtotals="1" fieldPosition="0">
        <references count="1">
          <reference field="9"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856F2A-44C0-4772-B80B-006070B6EDE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J21" firstHeaderRow="1" firstDataRow="1" firstDataCol="1"/>
  <pivotFields count="15">
    <pivotField showAll="0"/>
    <pivotField showAll="0"/>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sortType="ascending">
      <items count="10">
        <item x="1"/>
        <item x="3"/>
        <item x="2"/>
        <item x="0"/>
        <item x="6"/>
        <item x="5"/>
        <item x="7"/>
        <item x="4"/>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showAll="0"/>
    <pivotField axis="axisRow" showAll="0" sortType="de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7">
    <i>
      <x v="1"/>
    </i>
    <i>
      <x v="3"/>
    </i>
    <i>
      <x v="2"/>
    </i>
    <i>
      <x v="4"/>
    </i>
    <i>
      <x/>
    </i>
    <i>
      <x v="5"/>
    </i>
    <i t="grand">
      <x/>
    </i>
  </rowItems>
  <colItems count="1">
    <i/>
  </colItems>
  <dataFields count="1">
    <dataField name="Sum of Revenue" fld="8" baseField="3" baseItem="0"/>
  </dataFields>
  <formats count="2">
    <format dxfId="3">
      <pivotArea collapsedLevelsAreSubtotals="1" fieldPosition="0">
        <references count="1">
          <reference field="10" count="0"/>
        </references>
      </pivotArea>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A724AF-908C-4172-B8D4-8F74924CD9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4:J35" firstHeaderRow="1" firstDataRow="1" firstDataCol="1"/>
  <pivotFields count="15">
    <pivotField showAll="0"/>
    <pivotField axis="axisRow" showAll="0" measureFilter="1" sortType="descending">
      <items count="228">
        <item x="16"/>
        <item x="57"/>
        <item x="178"/>
        <item x="207"/>
        <item x="94"/>
        <item x="210"/>
        <item x="82"/>
        <item x="99"/>
        <item x="153"/>
        <item x="224"/>
        <item x="87"/>
        <item x="122"/>
        <item x="209"/>
        <item x="206"/>
        <item x="140"/>
        <item x="75"/>
        <item x="47"/>
        <item x="0"/>
        <item x="156"/>
        <item x="34"/>
        <item x="93"/>
        <item x="143"/>
        <item x="22"/>
        <item x="76"/>
        <item x="130"/>
        <item x="181"/>
        <item x="183"/>
        <item x="135"/>
        <item x="73"/>
        <item x="56"/>
        <item x="170"/>
        <item x="28"/>
        <item x="20"/>
        <item x="103"/>
        <item x="120"/>
        <item x="205"/>
        <item x="35"/>
        <item x="147"/>
        <item x="201"/>
        <item x="37"/>
        <item x="108"/>
        <item x="197"/>
        <item x="152"/>
        <item x="164"/>
        <item x="11"/>
        <item x="212"/>
        <item x="23"/>
        <item x="90"/>
        <item x="64"/>
        <item x="46"/>
        <item x="102"/>
        <item x="187"/>
        <item x="155"/>
        <item x="18"/>
        <item x="43"/>
        <item x="112"/>
        <item x="81"/>
        <item x="9"/>
        <item x="222"/>
        <item x="33"/>
        <item x="136"/>
        <item x="199"/>
        <item x="149"/>
        <item x="44"/>
        <item x="13"/>
        <item x="10"/>
        <item x="219"/>
        <item x="53"/>
        <item x="50"/>
        <item x="60"/>
        <item x="92"/>
        <item x="132"/>
        <item x="115"/>
        <item x="1"/>
        <item x="186"/>
        <item x="77"/>
        <item x="61"/>
        <item x="39"/>
        <item x="109"/>
        <item x="78"/>
        <item x="38"/>
        <item x="202"/>
        <item x="184"/>
        <item x="161"/>
        <item x="12"/>
        <item x="59"/>
        <item x="31"/>
        <item x="180"/>
        <item x="69"/>
        <item x="166"/>
        <item x="165"/>
        <item x="145"/>
        <item x="8"/>
        <item x="14"/>
        <item x="158"/>
        <item x="5"/>
        <item x="179"/>
        <item x="182"/>
        <item x="116"/>
        <item x="191"/>
        <item x="221"/>
        <item x="95"/>
        <item x="62"/>
        <item x="190"/>
        <item x="216"/>
        <item x="70"/>
        <item x="127"/>
        <item x="107"/>
        <item x="119"/>
        <item x="176"/>
        <item x="162"/>
        <item x="189"/>
        <item x="133"/>
        <item x="139"/>
        <item x="118"/>
        <item x="204"/>
        <item x="83"/>
        <item x="174"/>
        <item x="169"/>
        <item x="175"/>
        <item x="104"/>
        <item x="51"/>
        <item x="4"/>
        <item x="137"/>
        <item x="98"/>
        <item x="146"/>
        <item x="171"/>
        <item x="55"/>
        <item x="195"/>
        <item x="113"/>
        <item x="121"/>
        <item x="17"/>
        <item x="124"/>
        <item x="52"/>
        <item x="101"/>
        <item x="100"/>
        <item x="3"/>
        <item x="111"/>
        <item x="15"/>
        <item x="141"/>
        <item x="138"/>
        <item x="214"/>
        <item x="45"/>
        <item x="223"/>
        <item x="40"/>
        <item x="96"/>
        <item x="150"/>
        <item x="110"/>
        <item x="67"/>
        <item x="106"/>
        <item x="72"/>
        <item x="126"/>
        <item x="193"/>
        <item x="26"/>
        <item x="192"/>
        <item x="97"/>
        <item x="71"/>
        <item x="144"/>
        <item x="88"/>
        <item x="79"/>
        <item x="215"/>
        <item x="134"/>
        <item x="131"/>
        <item x="167"/>
        <item x="117"/>
        <item x="213"/>
        <item x="48"/>
        <item x="86"/>
        <item x="128"/>
        <item x="196"/>
        <item x="85"/>
        <item x="30"/>
        <item x="42"/>
        <item x="168"/>
        <item x="24"/>
        <item x="163"/>
        <item x="66"/>
        <item x="41"/>
        <item x="125"/>
        <item x="68"/>
        <item x="177"/>
        <item x="21"/>
        <item x="91"/>
        <item x="29"/>
        <item x="203"/>
        <item x="74"/>
        <item x="36"/>
        <item x="218"/>
        <item x="225"/>
        <item x="6"/>
        <item x="2"/>
        <item x="49"/>
        <item x="19"/>
        <item x="217"/>
        <item x="54"/>
        <item x="173"/>
        <item x="198"/>
        <item x="157"/>
        <item x="32"/>
        <item x="211"/>
        <item x="151"/>
        <item x="160"/>
        <item x="148"/>
        <item x="172"/>
        <item x="188"/>
        <item x="89"/>
        <item x="142"/>
        <item x="105"/>
        <item x="80"/>
        <item x="185"/>
        <item x="129"/>
        <item x="208"/>
        <item x="159"/>
        <item x="154"/>
        <item x="84"/>
        <item x="63"/>
        <item x="27"/>
        <item x="25"/>
        <item x="194"/>
        <item x="58"/>
        <item x="123"/>
        <item x="114"/>
        <item x="65"/>
        <item x="220"/>
        <item x="200"/>
        <item x="7"/>
        <item x="226"/>
        <item t="default"/>
      </items>
      <autoSortScope>
        <pivotArea dataOnly="0" outline="0" fieldPosition="0">
          <references count="1">
            <reference field="4294967294" count="1" selected="0">
              <x v="0"/>
            </reference>
          </references>
        </pivotArea>
      </autoSortScope>
    </pivotField>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sortType="ascending">
      <items count="10">
        <item x="1"/>
        <item x="3"/>
        <item x="2"/>
        <item x="0"/>
        <item x="6"/>
        <item x="5"/>
        <item x="7"/>
        <item x="4"/>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showAll="0"/>
    <pivotField showAll="0" sortType="de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131"/>
    </i>
    <i>
      <x v="103"/>
    </i>
    <i>
      <x v="49"/>
    </i>
    <i>
      <x v="119"/>
    </i>
    <i>
      <x v="2"/>
    </i>
    <i>
      <x v="201"/>
    </i>
    <i>
      <x v="14"/>
    </i>
    <i>
      <x v="83"/>
    </i>
    <i>
      <x v="90"/>
    </i>
    <i>
      <x v="15"/>
    </i>
    <i t="grand">
      <x/>
    </i>
  </rowItems>
  <colItems count="1">
    <i/>
  </colItems>
  <dataFields count="1">
    <dataField name="Sum of Revenue" fld="8" baseField="3" baseItem="0"/>
  </dataFields>
  <formats count="2">
    <format dxfId="5">
      <pivotArea grandRow="1" outline="0" collapsedLevelsAreSubtotals="1" fieldPosition="0"/>
    </format>
    <format dxfId="4">
      <pivotArea collapsedLevelsAreSubtotals="1" fieldPosition="0">
        <references count="1">
          <reference field="1" count="10">
            <x v="2"/>
            <x v="14"/>
            <x v="15"/>
            <x v="49"/>
            <x v="83"/>
            <x v="90"/>
            <x v="103"/>
            <x v="119"/>
            <x v="131"/>
            <x v="20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CCCF2D-3FB5-41A5-BBDD-CEE3CF43CE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3:J9" firstHeaderRow="1" firstDataRow="1" firstDataCol="1"/>
  <pivotFields count="15">
    <pivotField showAll="0"/>
    <pivotField showAll="0"/>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6">
        <item h="1" x="3"/>
        <item h="1" x="2"/>
        <item h="1" x="0"/>
        <item x="1"/>
        <item h="1" x="4"/>
        <item t="default"/>
      </items>
    </pivotField>
    <pivotField showAll="0">
      <items count="7">
        <item x="2"/>
        <item x="0"/>
        <item x="1"/>
        <item x="4"/>
        <item x="3"/>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2"/>
    </i>
    <i>
      <x/>
    </i>
    <i>
      <x v="1"/>
    </i>
    <i>
      <x v="3"/>
    </i>
    <i>
      <x v="4"/>
    </i>
    <i t="grand">
      <x/>
    </i>
  </rowItems>
  <colItems count="1">
    <i/>
  </colItems>
  <dataFields count="1">
    <dataField name="Sum of Revenue" fld="8" baseField="0" baseItem="0"/>
  </dataFields>
  <formats count="2">
    <format dxfId="7">
      <pivotArea collapsedLevelsAreSubtotals="1" fieldPosition="0">
        <references count="1">
          <reference field="4" count="4">
            <x v="0"/>
            <x v="1"/>
            <x v="2"/>
            <x v="3"/>
          </reference>
        </references>
      </pivotArea>
    </format>
    <format dxfId="6">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2"/>
          </reference>
        </references>
      </pivotArea>
    </chartFormat>
    <chartFormat chart="12" format="8">
      <pivotArea type="data" outline="0" fieldPosition="0">
        <references count="2">
          <reference field="4294967294" count="1" selected="0">
            <x v="0"/>
          </reference>
          <reference field="4" count="1" selected="0">
            <x v="0"/>
          </reference>
        </references>
      </pivotArea>
    </chartFormat>
    <chartFormat chart="12" format="9">
      <pivotArea type="data" outline="0" fieldPosition="0">
        <references count="2">
          <reference field="4294967294" count="1" selected="0">
            <x v="0"/>
          </reference>
          <reference field="4" count="1" selected="0">
            <x v="1"/>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2" format="11">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C71212-71FE-4708-9BE0-3E978C7252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3" firstHeaderRow="1" firstDataRow="1" firstDataCol="1"/>
  <pivotFields count="15">
    <pivotField showAll="0"/>
    <pivotField showAll="0"/>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axis="axisRow" showAll="0" sortType="descending">
      <items count="10">
        <item x="1"/>
        <item x="3"/>
        <item x="2"/>
        <item x="0"/>
        <item x="6"/>
        <item x="5"/>
        <item x="7"/>
        <item x="4"/>
        <item x="8"/>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showAll="0">
      <items count="6">
        <item x="3"/>
        <item x="2"/>
        <item x="0"/>
        <item x="1"/>
        <item x="4"/>
        <item t="default"/>
      </items>
    </pivotField>
    <pivotField showAll="0">
      <items count="7">
        <item x="2"/>
        <item x="0"/>
        <item x="1"/>
        <item x="4"/>
        <item x="3"/>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0">
    <i>
      <x v="4"/>
    </i>
    <i>
      <x v="2"/>
    </i>
    <i>
      <x/>
    </i>
    <i>
      <x v="7"/>
    </i>
    <i>
      <x v="3"/>
    </i>
    <i>
      <x v="1"/>
    </i>
    <i>
      <x v="5"/>
    </i>
    <i>
      <x v="6"/>
    </i>
    <i>
      <x v="8"/>
    </i>
    <i t="grand">
      <x/>
    </i>
  </rowItems>
  <colItems count="1">
    <i/>
  </colItems>
  <dataFields count="1">
    <dataField name="Sum of Revenue" fld="8" baseField="3" baseItem="0"/>
  </dataFields>
  <formats count="2">
    <format dxfId="9">
      <pivotArea collapsedLevelsAreSubtotals="1" fieldPosition="0">
        <references count="1">
          <reference field="3" count="8">
            <x v="0"/>
            <x v="1"/>
            <x v="2"/>
            <x v="3"/>
            <x v="4"/>
            <x v="5"/>
            <x v="6"/>
            <x v="7"/>
          </reference>
        </references>
      </pivotArea>
    </format>
    <format dxfId="8">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E78FE5-9461-401A-9E30-45A0A1511D1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B21" firstHeaderRow="1" firstDataRow="1" firstDataCol="1"/>
  <pivotFields count="15">
    <pivotField showAll="0"/>
    <pivotField showAll="0"/>
    <pivotField axis="axisRow"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sortType="ascending">
      <items count="10">
        <item x="1"/>
        <item x="3"/>
        <item x="2"/>
        <item x="0"/>
        <item x="6"/>
        <item x="5"/>
        <item x="7"/>
        <item x="4"/>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showAll="0" sortType="ascending">
      <items count="6">
        <item x="3"/>
        <item x="2"/>
        <item x="0"/>
        <item x="1"/>
        <item h="1" x="4"/>
        <item t="default"/>
      </items>
      <autoSortScope>
        <pivotArea dataOnly="0" outline="0" fieldPosition="0">
          <references count="1">
            <reference field="4294967294" count="1" selected="0">
              <x v="0"/>
            </reference>
          </references>
        </pivotArea>
      </autoSortScope>
    </pivotField>
    <pivotField showAll="0" sortType="a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ascending">
      <items count="5">
        <item sd="0" x="0"/>
        <item sd="0" x="3"/>
        <item sd="0" x="1"/>
        <item sd="0" x="2"/>
        <item t="default"/>
      </items>
    </pivotField>
  </pivotFields>
  <rowFields count="4">
    <field x="14"/>
    <field x="13"/>
    <field x="12"/>
    <field x="2"/>
  </rowFields>
  <rowItems count="4">
    <i>
      <x/>
    </i>
    <i>
      <x v="2"/>
    </i>
    <i>
      <x v="3"/>
    </i>
    <i t="grand">
      <x/>
    </i>
  </rowItems>
  <colItems count="1">
    <i/>
  </colItems>
  <dataFields count="1">
    <dataField name="Sum of Revenue" fld="8" baseField="3" baseItem="0"/>
  </dataFields>
  <formats count="4">
    <format dxfId="13">
      <pivotArea grandRow="1" outline="0" collapsedLevelsAreSubtotals="1" fieldPosition="0"/>
    </format>
    <format dxfId="12">
      <pivotArea collapsedLevelsAreSubtotals="1" fieldPosition="0">
        <references count="1">
          <reference field="14" count="1">
            <x v="0"/>
          </reference>
        </references>
      </pivotArea>
    </format>
    <format dxfId="11">
      <pivotArea collapsedLevelsAreSubtotals="1" fieldPosition="0">
        <references count="1">
          <reference field="14" count="1">
            <x v="2"/>
          </reference>
        </references>
      </pivotArea>
    </format>
    <format dxfId="10">
      <pivotArea collapsedLevelsAreSubtotals="1" fieldPosition="0">
        <references count="1">
          <reference field="14"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FDA62D-7017-4716-B444-072E3E1387CD}" sourceName="Category">
  <pivotTables>
    <pivotTable tabId="7" name="PivotTable4"/>
  </pivotTables>
  <data>
    <tabular pivotCacheId="875812294">
      <items count="5">
        <i x="0" s="1"/>
        <i x="1" s="1"/>
        <i x="2"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08CA67B-3587-4A82-A149-999DEA75786F}" sourceName="Status">
  <pivotTables>
    <pivotTable tabId="7" name="PivotTable4"/>
  </pivotTables>
  <data>
    <tabular pivotCacheId="875812294">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3C86E7-7A48-4471-A4BA-373DBC5BB672}" sourceName="Region">
  <pivotTables>
    <pivotTable tabId="7" name="PivotTable4"/>
    <pivotTable tabId="7" name="PivotTable10"/>
    <pivotTable tabId="7" name="PivotTable11"/>
    <pivotTable tabId="7" name="PivotTable13"/>
    <pivotTable tabId="7" name="PivotTable5"/>
    <pivotTable tabId="7" name="PivotTable6"/>
  </pivotTables>
  <data>
    <tabular pivotCacheId="875812294">
      <items count="6">
        <i x="2" s="1"/>
        <i x="0" s="1"/>
        <i x="1" s="1"/>
        <i x="4"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A11B407F-1D44-48FD-945C-38647218774A}" sourceName="Products">
  <pivotTables>
    <pivotTable tabId="7" name="PivotTable4"/>
  </pivotTables>
  <data>
    <tabular pivotCacheId="875812294">
      <items count="9">
        <i x="1" s="1"/>
        <i x="3" s="1"/>
        <i x="2" s="1"/>
        <i x="0" s="1"/>
        <i x="6" s="1"/>
        <i x="5" s="1"/>
        <i x="7" s="1"/>
        <i x="4" s="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C21F3A0-41B4-4D8B-94FA-F492D5BC9CE4}" sourceName="Category">
  <pivotTables>
    <pivotTable tabId="7" name="PivotTable5"/>
  </pivotTables>
  <data>
    <tabular pivotCacheId="875812294">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8EF0BD9-910D-42CB-8141-1EE87E0EEF60}" cache="Slicer_Category" caption="Category" startItem="1" rowHeight="241300"/>
  <slicer name="Status" xr10:uid="{D6FC83EF-7D69-43E6-8021-5882EE6D3E95}" cache="Slicer_Status" caption="Status" rowHeight="241300"/>
  <slicer name="Region" xr10:uid="{FF80197E-8533-418F-837C-A4560732D6D5}" cache="Slicer_Region" caption="Region" rowHeight="241300"/>
  <slicer name="Products" xr10:uid="{95BE8955-C556-42E4-9577-BA4BE637317A}" cache="Slicer_Products" caption="Products" rowHeight="241300"/>
  <slicer name="Category 1" xr10:uid="{16AAD110-0675-4A75-BCAB-0D390D6EE73C}" cache="Slicer_Category1" caption="Category"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0C80-AA41-427A-803A-D6A57B976D07}">
  <dimension ref="A1:Q118"/>
  <sheetViews>
    <sheetView showGridLines="0" topLeftCell="A32" workbookViewId="0">
      <selection activeCell="L103" sqref="L103"/>
    </sheetView>
  </sheetViews>
  <sheetFormatPr defaultRowHeight="15" x14ac:dyDescent="0.25"/>
  <cols>
    <col min="2" max="2" width="9" customWidth="1"/>
  </cols>
  <sheetData>
    <row r="1" spans="1:8" ht="28.5" customHeight="1" thickBot="1" x14ac:dyDescent="0.3">
      <c r="A1" s="23" t="s">
        <v>1425</v>
      </c>
      <c r="B1" s="24"/>
      <c r="C1" s="24"/>
      <c r="D1" s="24"/>
      <c r="E1" s="24"/>
      <c r="F1" s="24"/>
      <c r="G1" s="24"/>
      <c r="H1" s="25"/>
    </row>
    <row r="2" spans="1:8" ht="15.75" thickBot="1" x14ac:dyDescent="0.3"/>
    <row r="3" spans="1:8" ht="15" customHeight="1" x14ac:dyDescent="0.25">
      <c r="A3" s="14" t="s">
        <v>1426</v>
      </c>
      <c r="B3" s="15"/>
      <c r="C3" s="15"/>
      <c r="D3" s="15"/>
      <c r="E3" s="15"/>
      <c r="F3" s="15"/>
      <c r="G3" s="15"/>
      <c r="H3" s="16"/>
    </row>
    <row r="4" spans="1:8" x14ac:dyDescent="0.25">
      <c r="A4" s="17"/>
      <c r="B4" s="18"/>
      <c r="C4" s="18"/>
      <c r="D4" s="18"/>
      <c r="E4" s="18"/>
      <c r="F4" s="18"/>
      <c r="G4" s="18"/>
      <c r="H4" s="19"/>
    </row>
    <row r="5" spans="1:8" x14ac:dyDescent="0.25">
      <c r="A5" s="17"/>
      <c r="B5" s="18"/>
      <c r="C5" s="18"/>
      <c r="D5" s="18"/>
      <c r="E5" s="18"/>
      <c r="F5" s="18"/>
      <c r="G5" s="18"/>
      <c r="H5" s="19"/>
    </row>
    <row r="6" spans="1:8" x14ac:dyDescent="0.25">
      <c r="A6" s="17"/>
      <c r="B6" s="18"/>
      <c r="C6" s="18"/>
      <c r="D6" s="18"/>
      <c r="E6" s="18"/>
      <c r="F6" s="18"/>
      <c r="G6" s="18"/>
      <c r="H6" s="19"/>
    </row>
    <row r="7" spans="1:8" x14ac:dyDescent="0.25">
      <c r="A7" s="17"/>
      <c r="B7" s="18"/>
      <c r="C7" s="18"/>
      <c r="D7" s="18"/>
      <c r="E7" s="18"/>
      <c r="F7" s="18"/>
      <c r="G7" s="18"/>
      <c r="H7" s="19"/>
    </row>
    <row r="8" spans="1:8" x14ac:dyDescent="0.25">
      <c r="A8" s="17"/>
      <c r="B8" s="18"/>
      <c r="C8" s="18"/>
      <c r="D8" s="18"/>
      <c r="E8" s="18"/>
      <c r="F8" s="18"/>
      <c r="G8" s="18"/>
      <c r="H8" s="19"/>
    </row>
    <row r="9" spans="1:8" x14ac:dyDescent="0.25">
      <c r="A9" s="17"/>
      <c r="B9" s="18"/>
      <c r="C9" s="18"/>
      <c r="D9" s="18"/>
      <c r="E9" s="18"/>
      <c r="F9" s="18"/>
      <c r="G9" s="18"/>
      <c r="H9" s="19"/>
    </row>
    <row r="10" spans="1:8" x14ac:dyDescent="0.25">
      <c r="A10" s="17"/>
      <c r="B10" s="18"/>
      <c r="C10" s="18"/>
      <c r="D10" s="18"/>
      <c r="E10" s="18"/>
      <c r="F10" s="18"/>
      <c r="G10" s="18"/>
      <c r="H10" s="19"/>
    </row>
    <row r="11" spans="1:8" x14ac:dyDescent="0.25">
      <c r="A11" s="17"/>
      <c r="B11" s="18"/>
      <c r="C11" s="18"/>
      <c r="D11" s="18"/>
      <c r="E11" s="18"/>
      <c r="F11" s="18"/>
      <c r="G11" s="18"/>
      <c r="H11" s="19"/>
    </row>
    <row r="12" spans="1:8" x14ac:dyDescent="0.25">
      <c r="A12" s="17"/>
      <c r="B12" s="18"/>
      <c r="C12" s="18"/>
      <c r="D12" s="18"/>
      <c r="E12" s="18"/>
      <c r="F12" s="18"/>
      <c r="G12" s="18"/>
      <c r="H12" s="19"/>
    </row>
    <row r="13" spans="1:8" ht="15" customHeight="1" x14ac:dyDescent="0.25">
      <c r="A13" s="17"/>
      <c r="B13" s="18"/>
      <c r="C13" s="18"/>
      <c r="D13" s="18"/>
      <c r="E13" s="18"/>
      <c r="F13" s="18"/>
      <c r="G13" s="18"/>
      <c r="H13" s="19"/>
    </row>
    <row r="14" spans="1:8" x14ac:dyDescent="0.25">
      <c r="A14" s="17"/>
      <c r="B14" s="18"/>
      <c r="C14" s="18"/>
      <c r="D14" s="18"/>
      <c r="E14" s="18"/>
      <c r="F14" s="18"/>
      <c r="G14" s="18"/>
      <c r="H14" s="19"/>
    </row>
    <row r="15" spans="1:8" x14ac:dyDescent="0.25">
      <c r="A15" s="17"/>
      <c r="B15" s="18"/>
      <c r="C15" s="18"/>
      <c r="D15" s="18"/>
      <c r="E15" s="18"/>
      <c r="F15" s="18"/>
      <c r="G15" s="18"/>
      <c r="H15" s="19"/>
    </row>
    <row r="16" spans="1:8" x14ac:dyDescent="0.25">
      <c r="A16" s="17"/>
      <c r="B16" s="18"/>
      <c r="C16" s="18"/>
      <c r="D16" s="18"/>
      <c r="E16" s="18"/>
      <c r="F16" s="18"/>
      <c r="G16" s="18"/>
      <c r="H16" s="19"/>
    </row>
    <row r="17" spans="1:17" x14ac:dyDescent="0.25">
      <c r="A17" s="17"/>
      <c r="B17" s="18"/>
      <c r="C17" s="18"/>
      <c r="D17" s="18"/>
      <c r="E17" s="18"/>
      <c r="F17" s="18"/>
      <c r="G17" s="18"/>
      <c r="H17" s="19"/>
    </row>
    <row r="18" spans="1:17" ht="15.75" thickBot="1" x14ac:dyDescent="0.3">
      <c r="A18" s="20"/>
      <c r="B18" s="21"/>
      <c r="C18" s="21"/>
      <c r="D18" s="21"/>
      <c r="E18" s="21"/>
      <c r="F18" s="21"/>
      <c r="G18" s="21"/>
      <c r="H18" s="22"/>
    </row>
    <row r="19" spans="1:17" ht="15.75" thickBot="1" x14ac:dyDescent="0.3"/>
    <row r="20" spans="1:17" ht="15" customHeight="1" x14ac:dyDescent="0.25">
      <c r="A20" s="35" t="s">
        <v>1440</v>
      </c>
      <c r="B20" s="36"/>
      <c r="C20" s="36"/>
      <c r="D20" s="36"/>
      <c r="E20" s="36"/>
      <c r="F20" s="36"/>
      <c r="G20" s="36"/>
      <c r="H20" s="37"/>
      <c r="J20" s="35" t="s">
        <v>1427</v>
      </c>
      <c r="K20" s="44"/>
      <c r="L20" s="44"/>
      <c r="M20" s="44"/>
      <c r="N20" s="44"/>
      <c r="O20" s="44"/>
      <c r="P20" s="44"/>
      <c r="Q20" s="45"/>
    </row>
    <row r="21" spans="1:17" x14ac:dyDescent="0.25">
      <c r="A21" s="38"/>
      <c r="B21" s="39"/>
      <c r="C21" s="39"/>
      <c r="D21" s="39"/>
      <c r="E21" s="39"/>
      <c r="F21" s="39"/>
      <c r="G21" s="39"/>
      <c r="H21" s="40"/>
      <c r="J21" s="46"/>
      <c r="K21" s="47"/>
      <c r="L21" s="47"/>
      <c r="M21" s="47"/>
      <c r="N21" s="47"/>
      <c r="O21" s="47"/>
      <c r="P21" s="47"/>
      <c r="Q21" s="48"/>
    </row>
    <row r="22" spans="1:17" x14ac:dyDescent="0.25">
      <c r="A22" s="38"/>
      <c r="B22" s="39"/>
      <c r="C22" s="39"/>
      <c r="D22" s="39"/>
      <c r="E22" s="39"/>
      <c r="F22" s="39"/>
      <c r="G22" s="39"/>
      <c r="H22" s="40"/>
      <c r="J22" s="46"/>
      <c r="K22" s="47"/>
      <c r="L22" s="47"/>
      <c r="M22" s="47"/>
      <c r="N22" s="47"/>
      <c r="O22" s="47"/>
      <c r="P22" s="47"/>
      <c r="Q22" s="48"/>
    </row>
    <row r="23" spans="1:17" x14ac:dyDescent="0.25">
      <c r="A23" s="38"/>
      <c r="B23" s="39"/>
      <c r="C23" s="39"/>
      <c r="D23" s="39"/>
      <c r="E23" s="39"/>
      <c r="F23" s="39"/>
      <c r="G23" s="39"/>
      <c r="H23" s="40"/>
      <c r="J23" s="46"/>
      <c r="K23" s="47"/>
      <c r="L23" s="47"/>
      <c r="M23" s="47"/>
      <c r="N23" s="47"/>
      <c r="O23" s="47"/>
      <c r="P23" s="47"/>
      <c r="Q23" s="48"/>
    </row>
    <row r="24" spans="1:17" x14ac:dyDescent="0.25">
      <c r="A24" s="38"/>
      <c r="B24" s="39"/>
      <c r="C24" s="39"/>
      <c r="D24" s="39"/>
      <c r="E24" s="39"/>
      <c r="F24" s="39"/>
      <c r="G24" s="39"/>
      <c r="H24" s="40"/>
      <c r="J24" s="46"/>
      <c r="K24" s="47"/>
      <c r="L24" s="47"/>
      <c r="M24" s="47"/>
      <c r="N24" s="47"/>
      <c r="O24" s="47"/>
      <c r="P24" s="47"/>
      <c r="Q24" s="48"/>
    </row>
    <row r="25" spans="1:17" x14ac:dyDescent="0.25">
      <c r="A25" s="38"/>
      <c r="B25" s="39"/>
      <c r="C25" s="39"/>
      <c r="D25" s="39"/>
      <c r="E25" s="39"/>
      <c r="F25" s="39"/>
      <c r="G25" s="39"/>
      <c r="H25" s="40"/>
      <c r="J25" s="46"/>
      <c r="K25" s="47"/>
      <c r="L25" s="47"/>
      <c r="M25" s="47"/>
      <c r="N25" s="47"/>
      <c r="O25" s="47"/>
      <c r="P25" s="47"/>
      <c r="Q25" s="48"/>
    </row>
    <row r="26" spans="1:17" x14ac:dyDescent="0.25">
      <c r="A26" s="38"/>
      <c r="B26" s="39"/>
      <c r="C26" s="39"/>
      <c r="D26" s="39"/>
      <c r="E26" s="39"/>
      <c r="F26" s="39"/>
      <c r="G26" s="39"/>
      <c r="H26" s="40"/>
      <c r="J26" s="46"/>
      <c r="K26" s="47"/>
      <c r="L26" s="47"/>
      <c r="M26" s="47"/>
      <c r="N26" s="47"/>
      <c r="O26" s="47"/>
      <c r="P26" s="47"/>
      <c r="Q26" s="48"/>
    </row>
    <row r="27" spans="1:17" x14ac:dyDescent="0.25">
      <c r="A27" s="38"/>
      <c r="B27" s="39"/>
      <c r="C27" s="39"/>
      <c r="D27" s="39"/>
      <c r="E27" s="39"/>
      <c r="F27" s="39"/>
      <c r="G27" s="39"/>
      <c r="H27" s="40"/>
      <c r="J27" s="46"/>
      <c r="K27" s="47"/>
      <c r="L27" s="47"/>
      <c r="M27" s="47"/>
      <c r="N27" s="47"/>
      <c r="O27" s="47"/>
      <c r="P27" s="47"/>
      <c r="Q27" s="48"/>
    </row>
    <row r="28" spans="1:17" x14ac:dyDescent="0.25">
      <c r="A28" s="38"/>
      <c r="B28" s="39"/>
      <c r="C28" s="39"/>
      <c r="D28" s="39"/>
      <c r="E28" s="39"/>
      <c r="F28" s="39"/>
      <c r="G28" s="39"/>
      <c r="H28" s="40"/>
      <c r="J28" s="46"/>
      <c r="K28" s="47"/>
      <c r="L28" s="47"/>
      <c r="M28" s="47"/>
      <c r="N28" s="47"/>
      <c r="O28" s="47"/>
      <c r="P28" s="47"/>
      <c r="Q28" s="48"/>
    </row>
    <row r="29" spans="1:17" x14ac:dyDescent="0.25">
      <c r="A29" s="38"/>
      <c r="B29" s="39"/>
      <c r="C29" s="39"/>
      <c r="D29" s="39"/>
      <c r="E29" s="39"/>
      <c r="F29" s="39"/>
      <c r="G29" s="39"/>
      <c r="H29" s="40"/>
      <c r="J29" s="46"/>
      <c r="K29" s="47"/>
      <c r="L29" s="47"/>
      <c r="M29" s="47"/>
      <c r="N29" s="47"/>
      <c r="O29" s="47"/>
      <c r="P29" s="47"/>
      <c r="Q29" s="48"/>
    </row>
    <row r="30" spans="1:17" x14ac:dyDescent="0.25">
      <c r="A30" s="38"/>
      <c r="B30" s="39"/>
      <c r="C30" s="39"/>
      <c r="D30" s="39"/>
      <c r="E30" s="39"/>
      <c r="F30" s="39"/>
      <c r="G30" s="39"/>
      <c r="H30" s="40"/>
      <c r="J30" s="46"/>
      <c r="K30" s="47"/>
      <c r="L30" s="47"/>
      <c r="M30" s="47"/>
      <c r="N30" s="47"/>
      <c r="O30" s="47"/>
      <c r="P30" s="47"/>
      <c r="Q30" s="48"/>
    </row>
    <row r="31" spans="1:17" x14ac:dyDescent="0.25">
      <c r="A31" s="38"/>
      <c r="B31" s="39"/>
      <c r="C31" s="39"/>
      <c r="D31" s="39"/>
      <c r="E31" s="39"/>
      <c r="F31" s="39"/>
      <c r="G31" s="39"/>
      <c r="H31" s="40"/>
      <c r="J31" s="46"/>
      <c r="K31" s="47"/>
      <c r="L31" s="47"/>
      <c r="M31" s="47"/>
      <c r="N31" s="47"/>
      <c r="O31" s="47"/>
      <c r="P31" s="47"/>
      <c r="Q31" s="48"/>
    </row>
    <row r="32" spans="1:17" x14ac:dyDescent="0.25">
      <c r="A32" s="38"/>
      <c r="B32" s="39"/>
      <c r="C32" s="39"/>
      <c r="D32" s="39"/>
      <c r="E32" s="39"/>
      <c r="F32" s="39"/>
      <c r="G32" s="39"/>
      <c r="H32" s="40"/>
      <c r="J32" s="46"/>
      <c r="K32" s="47"/>
      <c r="L32" s="47"/>
      <c r="M32" s="47"/>
      <c r="N32" s="47"/>
      <c r="O32" s="47"/>
      <c r="P32" s="47"/>
      <c r="Q32" s="48"/>
    </row>
    <row r="33" spans="1:17" x14ac:dyDescent="0.25">
      <c r="A33" s="38"/>
      <c r="B33" s="39"/>
      <c r="C33" s="39"/>
      <c r="D33" s="39"/>
      <c r="E33" s="39"/>
      <c r="F33" s="39"/>
      <c r="G33" s="39"/>
      <c r="H33" s="40"/>
      <c r="J33" s="46"/>
      <c r="K33" s="47"/>
      <c r="L33" s="47"/>
      <c r="M33" s="47"/>
      <c r="N33" s="47"/>
      <c r="O33" s="47"/>
      <c r="P33" s="47"/>
      <c r="Q33" s="48"/>
    </row>
    <row r="34" spans="1:17" ht="15.75" thickBot="1" x14ac:dyDescent="0.3">
      <c r="A34" s="41"/>
      <c r="B34" s="42"/>
      <c r="C34" s="42"/>
      <c r="D34" s="42"/>
      <c r="E34" s="42"/>
      <c r="F34" s="42"/>
      <c r="G34" s="42"/>
      <c r="H34" s="43"/>
      <c r="J34" s="46"/>
      <c r="K34" s="47"/>
      <c r="L34" s="47"/>
      <c r="M34" s="47"/>
      <c r="N34" s="47"/>
      <c r="O34" s="47"/>
      <c r="P34" s="47"/>
      <c r="Q34" s="48"/>
    </row>
    <row r="35" spans="1:17" x14ac:dyDescent="0.25">
      <c r="J35" s="46"/>
      <c r="K35" s="47"/>
      <c r="L35" s="47"/>
      <c r="M35" s="47"/>
      <c r="N35" s="47"/>
      <c r="O35" s="47"/>
      <c r="P35" s="47"/>
      <c r="Q35" s="48"/>
    </row>
    <row r="36" spans="1:17" ht="15.75" thickBot="1" x14ac:dyDescent="0.3">
      <c r="J36" s="49"/>
      <c r="K36" s="50"/>
      <c r="L36" s="50"/>
      <c r="M36" s="50"/>
      <c r="N36" s="50"/>
      <c r="O36" s="50"/>
      <c r="P36" s="50"/>
      <c r="Q36" s="51"/>
    </row>
    <row r="37" spans="1:17" ht="27" customHeight="1" thickBot="1" x14ac:dyDescent="0.3"/>
    <row r="38" spans="1:17" ht="15" customHeight="1" x14ac:dyDescent="0.25">
      <c r="A38" s="35" t="s">
        <v>1428</v>
      </c>
      <c r="B38" s="36"/>
      <c r="C38" s="36"/>
      <c r="D38" s="36"/>
      <c r="E38" s="36"/>
      <c r="F38" s="36"/>
      <c r="G38" s="36"/>
      <c r="H38" s="37"/>
      <c r="J38" s="35" t="s">
        <v>1429</v>
      </c>
      <c r="K38" s="36"/>
      <c r="L38" s="36"/>
      <c r="M38" s="36"/>
      <c r="N38" s="36"/>
      <c r="O38" s="36"/>
      <c r="P38" s="36"/>
      <c r="Q38" s="37"/>
    </row>
    <row r="39" spans="1:17" x14ac:dyDescent="0.25">
      <c r="A39" s="38"/>
      <c r="B39" s="39"/>
      <c r="C39" s="39"/>
      <c r="D39" s="39"/>
      <c r="E39" s="39"/>
      <c r="F39" s="39"/>
      <c r="G39" s="39"/>
      <c r="H39" s="40"/>
      <c r="J39" s="38"/>
      <c r="K39" s="39"/>
      <c r="L39" s="39"/>
      <c r="M39" s="39"/>
      <c r="N39" s="39"/>
      <c r="O39" s="39"/>
      <c r="P39" s="39"/>
      <c r="Q39" s="40"/>
    </row>
    <row r="40" spans="1:17" x14ac:dyDescent="0.25">
      <c r="A40" s="38"/>
      <c r="B40" s="39"/>
      <c r="C40" s="39"/>
      <c r="D40" s="39"/>
      <c r="E40" s="39"/>
      <c r="F40" s="39"/>
      <c r="G40" s="39"/>
      <c r="H40" s="40"/>
      <c r="J40" s="38"/>
      <c r="K40" s="39"/>
      <c r="L40" s="39"/>
      <c r="M40" s="39"/>
      <c r="N40" s="39"/>
      <c r="O40" s="39"/>
      <c r="P40" s="39"/>
      <c r="Q40" s="40"/>
    </row>
    <row r="41" spans="1:17" x14ac:dyDescent="0.25">
      <c r="A41" s="38"/>
      <c r="B41" s="39"/>
      <c r="C41" s="39"/>
      <c r="D41" s="39"/>
      <c r="E41" s="39"/>
      <c r="F41" s="39"/>
      <c r="G41" s="39"/>
      <c r="H41" s="40"/>
      <c r="J41" s="38"/>
      <c r="K41" s="39"/>
      <c r="L41" s="39"/>
      <c r="M41" s="39"/>
      <c r="N41" s="39"/>
      <c r="O41" s="39"/>
      <c r="P41" s="39"/>
      <c r="Q41" s="40"/>
    </row>
    <row r="42" spans="1:17" x14ac:dyDescent="0.25">
      <c r="A42" s="38"/>
      <c r="B42" s="39"/>
      <c r="C42" s="39"/>
      <c r="D42" s="39"/>
      <c r="E42" s="39"/>
      <c r="F42" s="39"/>
      <c r="G42" s="39"/>
      <c r="H42" s="40"/>
      <c r="J42" s="38"/>
      <c r="K42" s="39"/>
      <c r="L42" s="39"/>
      <c r="M42" s="39"/>
      <c r="N42" s="39"/>
      <c r="O42" s="39"/>
      <c r="P42" s="39"/>
      <c r="Q42" s="40"/>
    </row>
    <row r="43" spans="1:17" x14ac:dyDescent="0.25">
      <c r="A43" s="38"/>
      <c r="B43" s="39"/>
      <c r="C43" s="39"/>
      <c r="D43" s="39"/>
      <c r="E43" s="39"/>
      <c r="F43" s="39"/>
      <c r="G43" s="39"/>
      <c r="H43" s="40"/>
      <c r="J43" s="38"/>
      <c r="K43" s="39"/>
      <c r="L43" s="39"/>
      <c r="M43" s="39"/>
      <c r="N43" s="39"/>
      <c r="O43" s="39"/>
      <c r="P43" s="39"/>
      <c r="Q43" s="40"/>
    </row>
    <row r="44" spans="1:17" x14ac:dyDescent="0.25">
      <c r="A44" s="38"/>
      <c r="B44" s="39"/>
      <c r="C44" s="39"/>
      <c r="D44" s="39"/>
      <c r="E44" s="39"/>
      <c r="F44" s="39"/>
      <c r="G44" s="39"/>
      <c r="H44" s="40"/>
      <c r="J44" s="38"/>
      <c r="K44" s="39"/>
      <c r="L44" s="39"/>
      <c r="M44" s="39"/>
      <c r="N44" s="39"/>
      <c r="O44" s="39"/>
      <c r="P44" s="39"/>
      <c r="Q44" s="40"/>
    </row>
    <row r="45" spans="1:17" x14ac:dyDescent="0.25">
      <c r="A45" s="38"/>
      <c r="B45" s="39"/>
      <c r="C45" s="39"/>
      <c r="D45" s="39"/>
      <c r="E45" s="39"/>
      <c r="F45" s="39"/>
      <c r="G45" s="39"/>
      <c r="H45" s="40"/>
      <c r="J45" s="38"/>
      <c r="K45" s="39"/>
      <c r="L45" s="39"/>
      <c r="M45" s="39"/>
      <c r="N45" s="39"/>
      <c r="O45" s="39"/>
      <c r="P45" s="39"/>
      <c r="Q45" s="40"/>
    </row>
    <row r="46" spans="1:17" x14ac:dyDescent="0.25">
      <c r="A46" s="38"/>
      <c r="B46" s="39"/>
      <c r="C46" s="39"/>
      <c r="D46" s="39"/>
      <c r="E46" s="39"/>
      <c r="F46" s="39"/>
      <c r="G46" s="39"/>
      <c r="H46" s="40"/>
      <c r="J46" s="38"/>
      <c r="K46" s="39"/>
      <c r="L46" s="39"/>
      <c r="M46" s="39"/>
      <c r="N46" s="39"/>
      <c r="O46" s="39"/>
      <c r="P46" s="39"/>
      <c r="Q46" s="40"/>
    </row>
    <row r="47" spans="1:17" x14ac:dyDescent="0.25">
      <c r="A47" s="38"/>
      <c r="B47" s="39"/>
      <c r="C47" s="39"/>
      <c r="D47" s="39"/>
      <c r="E47" s="39"/>
      <c r="F47" s="39"/>
      <c r="G47" s="39"/>
      <c r="H47" s="40"/>
      <c r="J47" s="38"/>
      <c r="K47" s="39"/>
      <c r="L47" s="39"/>
      <c r="M47" s="39"/>
      <c r="N47" s="39"/>
      <c r="O47" s="39"/>
      <c r="P47" s="39"/>
      <c r="Q47" s="40"/>
    </row>
    <row r="48" spans="1:17" x14ac:dyDescent="0.25">
      <c r="A48" s="38"/>
      <c r="B48" s="39"/>
      <c r="C48" s="39"/>
      <c r="D48" s="39"/>
      <c r="E48" s="39"/>
      <c r="F48" s="39"/>
      <c r="G48" s="39"/>
      <c r="H48" s="40"/>
      <c r="J48" s="38"/>
      <c r="K48" s="39"/>
      <c r="L48" s="39"/>
      <c r="M48" s="39"/>
      <c r="N48" s="39"/>
      <c r="O48" s="39"/>
      <c r="P48" s="39"/>
      <c r="Q48" s="40"/>
    </row>
    <row r="49" spans="1:17" x14ac:dyDescent="0.25">
      <c r="A49" s="38"/>
      <c r="B49" s="39"/>
      <c r="C49" s="39"/>
      <c r="D49" s="39"/>
      <c r="E49" s="39"/>
      <c r="F49" s="39"/>
      <c r="G49" s="39"/>
      <c r="H49" s="40"/>
      <c r="J49" s="38"/>
      <c r="K49" s="39"/>
      <c r="L49" s="39"/>
      <c r="M49" s="39"/>
      <c r="N49" s="39"/>
      <c r="O49" s="39"/>
      <c r="P49" s="39"/>
      <c r="Q49" s="40"/>
    </row>
    <row r="50" spans="1:17" x14ac:dyDescent="0.25">
      <c r="A50" s="38"/>
      <c r="B50" s="39"/>
      <c r="C50" s="39"/>
      <c r="D50" s="39"/>
      <c r="E50" s="39"/>
      <c r="F50" s="39"/>
      <c r="G50" s="39"/>
      <c r="H50" s="40"/>
      <c r="J50" s="38"/>
      <c r="K50" s="39"/>
      <c r="L50" s="39"/>
      <c r="M50" s="39"/>
      <c r="N50" s="39"/>
      <c r="O50" s="39"/>
      <c r="P50" s="39"/>
      <c r="Q50" s="40"/>
    </row>
    <row r="51" spans="1:17" x14ac:dyDescent="0.25">
      <c r="A51" s="38"/>
      <c r="B51" s="39"/>
      <c r="C51" s="39"/>
      <c r="D51" s="39"/>
      <c r="E51" s="39"/>
      <c r="F51" s="39"/>
      <c r="G51" s="39"/>
      <c r="H51" s="40"/>
      <c r="J51" s="38"/>
      <c r="K51" s="39"/>
      <c r="L51" s="39"/>
      <c r="M51" s="39"/>
      <c r="N51" s="39"/>
      <c r="O51" s="39"/>
      <c r="P51" s="39"/>
      <c r="Q51" s="40"/>
    </row>
    <row r="52" spans="1:17" x14ac:dyDescent="0.25">
      <c r="A52" s="38"/>
      <c r="B52" s="39"/>
      <c r="C52" s="39"/>
      <c r="D52" s="39"/>
      <c r="E52" s="39"/>
      <c r="F52" s="39"/>
      <c r="G52" s="39"/>
      <c r="H52" s="40"/>
      <c r="J52" s="38"/>
      <c r="K52" s="39"/>
      <c r="L52" s="39"/>
      <c r="M52" s="39"/>
      <c r="N52" s="39"/>
      <c r="O52" s="39"/>
      <c r="P52" s="39"/>
      <c r="Q52" s="40"/>
    </row>
    <row r="53" spans="1:17" ht="15.75" thickBot="1" x14ac:dyDescent="0.3">
      <c r="A53" s="38"/>
      <c r="B53" s="39"/>
      <c r="C53" s="39"/>
      <c r="D53" s="39"/>
      <c r="E53" s="39"/>
      <c r="F53" s="39"/>
      <c r="G53" s="39"/>
      <c r="H53" s="40"/>
      <c r="J53" s="41"/>
      <c r="K53" s="42"/>
      <c r="L53" s="42"/>
      <c r="M53" s="42"/>
      <c r="N53" s="42"/>
      <c r="O53" s="42"/>
      <c r="P53" s="42"/>
      <c r="Q53" s="43"/>
    </row>
    <row r="54" spans="1:17" ht="15.75" thickBot="1" x14ac:dyDescent="0.3">
      <c r="A54" s="41"/>
      <c r="B54" s="42"/>
      <c r="C54" s="42"/>
      <c r="D54" s="42"/>
      <c r="E54" s="42"/>
      <c r="F54" s="42"/>
      <c r="G54" s="42"/>
      <c r="H54" s="43"/>
      <c r="J54" s="12"/>
      <c r="K54" s="12"/>
      <c r="L54" s="12"/>
      <c r="M54" s="12"/>
      <c r="N54" s="12"/>
      <c r="O54" s="12"/>
      <c r="P54" s="12"/>
      <c r="Q54" s="12"/>
    </row>
    <row r="55" spans="1:17" x14ac:dyDescent="0.25">
      <c r="A55" s="12"/>
      <c r="B55" s="12"/>
      <c r="C55" s="12"/>
      <c r="D55" s="12"/>
      <c r="E55" s="12"/>
      <c r="F55" s="12"/>
      <c r="G55" s="12"/>
      <c r="H55" s="12"/>
      <c r="J55" s="12"/>
      <c r="K55" s="12"/>
      <c r="L55" s="12"/>
      <c r="M55" s="12"/>
      <c r="N55" s="12"/>
      <c r="O55" s="12"/>
      <c r="P55" s="12"/>
      <c r="Q55" s="12"/>
    </row>
    <row r="56" spans="1:17" x14ac:dyDescent="0.25">
      <c r="A56" s="12"/>
      <c r="B56" s="12"/>
      <c r="C56" s="12"/>
      <c r="D56" s="12"/>
      <c r="E56" s="12"/>
      <c r="F56" s="12"/>
      <c r="G56" s="12"/>
      <c r="H56" s="12"/>
      <c r="J56" s="12"/>
      <c r="K56" s="12"/>
      <c r="L56" s="12"/>
      <c r="M56" s="12"/>
      <c r="N56" s="12"/>
      <c r="O56" s="12"/>
      <c r="P56" s="12"/>
      <c r="Q56" s="12"/>
    </row>
    <row r="58" spans="1:17" ht="15.75" thickBot="1" x14ac:dyDescent="0.3"/>
    <row r="59" spans="1:17" ht="15" customHeight="1" x14ac:dyDescent="0.25">
      <c r="A59" s="26" t="s">
        <v>1441</v>
      </c>
      <c r="B59" s="27"/>
      <c r="C59" s="27"/>
      <c r="D59" s="27"/>
      <c r="E59" s="27"/>
      <c r="F59" s="27"/>
      <c r="G59" s="27"/>
      <c r="H59" s="28"/>
      <c r="J59" s="35" t="s">
        <v>1430</v>
      </c>
      <c r="K59" s="36"/>
      <c r="L59" s="36"/>
      <c r="M59" s="36"/>
      <c r="N59" s="36"/>
      <c r="O59" s="36"/>
      <c r="P59" s="36"/>
      <c r="Q59" s="37"/>
    </row>
    <row r="60" spans="1:17" x14ac:dyDescent="0.25">
      <c r="A60" s="29"/>
      <c r="B60" s="30"/>
      <c r="C60" s="30"/>
      <c r="D60" s="30"/>
      <c r="E60" s="30"/>
      <c r="F60" s="30"/>
      <c r="G60" s="30"/>
      <c r="H60" s="31"/>
      <c r="J60" s="38"/>
      <c r="K60" s="39"/>
      <c r="L60" s="39"/>
      <c r="M60" s="39"/>
      <c r="N60" s="39"/>
      <c r="O60" s="39"/>
      <c r="P60" s="39"/>
      <c r="Q60" s="40"/>
    </row>
    <row r="61" spans="1:17" x14ac:dyDescent="0.25">
      <c r="A61" s="29"/>
      <c r="B61" s="30"/>
      <c r="C61" s="30"/>
      <c r="D61" s="30"/>
      <c r="E61" s="30"/>
      <c r="F61" s="30"/>
      <c r="G61" s="30"/>
      <c r="H61" s="31"/>
      <c r="J61" s="38"/>
      <c r="K61" s="39"/>
      <c r="L61" s="39"/>
      <c r="M61" s="39"/>
      <c r="N61" s="39"/>
      <c r="O61" s="39"/>
      <c r="P61" s="39"/>
      <c r="Q61" s="40"/>
    </row>
    <row r="62" spans="1:17" x14ac:dyDescent="0.25">
      <c r="A62" s="29"/>
      <c r="B62" s="30"/>
      <c r="C62" s="30"/>
      <c r="D62" s="30"/>
      <c r="E62" s="30"/>
      <c r="F62" s="30"/>
      <c r="G62" s="30"/>
      <c r="H62" s="31"/>
      <c r="J62" s="38"/>
      <c r="K62" s="39"/>
      <c r="L62" s="39"/>
      <c r="M62" s="39"/>
      <c r="N62" s="39"/>
      <c r="O62" s="39"/>
      <c r="P62" s="39"/>
      <c r="Q62" s="40"/>
    </row>
    <row r="63" spans="1:17" x14ac:dyDescent="0.25">
      <c r="A63" s="29"/>
      <c r="B63" s="30"/>
      <c r="C63" s="30"/>
      <c r="D63" s="30"/>
      <c r="E63" s="30"/>
      <c r="F63" s="30"/>
      <c r="G63" s="30"/>
      <c r="H63" s="31"/>
      <c r="J63" s="38"/>
      <c r="K63" s="39"/>
      <c r="L63" s="39"/>
      <c r="M63" s="39"/>
      <c r="N63" s="39"/>
      <c r="O63" s="39"/>
      <c r="P63" s="39"/>
      <c r="Q63" s="40"/>
    </row>
    <row r="64" spans="1:17" x14ac:dyDescent="0.25">
      <c r="A64" s="29"/>
      <c r="B64" s="30"/>
      <c r="C64" s="30"/>
      <c r="D64" s="30"/>
      <c r="E64" s="30"/>
      <c r="F64" s="30"/>
      <c r="G64" s="30"/>
      <c r="H64" s="31"/>
      <c r="J64" s="38"/>
      <c r="K64" s="39"/>
      <c r="L64" s="39"/>
      <c r="M64" s="39"/>
      <c r="N64" s="39"/>
      <c r="O64" s="39"/>
      <c r="P64" s="39"/>
      <c r="Q64" s="40"/>
    </row>
    <row r="65" spans="1:17" x14ac:dyDescent="0.25">
      <c r="A65" s="29"/>
      <c r="B65" s="30"/>
      <c r="C65" s="30"/>
      <c r="D65" s="30"/>
      <c r="E65" s="30"/>
      <c r="F65" s="30"/>
      <c r="G65" s="30"/>
      <c r="H65" s="31"/>
      <c r="J65" s="38"/>
      <c r="K65" s="39"/>
      <c r="L65" s="39"/>
      <c r="M65" s="39"/>
      <c r="N65" s="39"/>
      <c r="O65" s="39"/>
      <c r="P65" s="39"/>
      <c r="Q65" s="40"/>
    </row>
    <row r="66" spans="1:17" x14ac:dyDescent="0.25">
      <c r="A66" s="29"/>
      <c r="B66" s="30"/>
      <c r="C66" s="30"/>
      <c r="D66" s="30"/>
      <c r="E66" s="30"/>
      <c r="F66" s="30"/>
      <c r="G66" s="30"/>
      <c r="H66" s="31"/>
      <c r="J66" s="38"/>
      <c r="K66" s="39"/>
      <c r="L66" s="39"/>
      <c r="M66" s="39"/>
      <c r="N66" s="39"/>
      <c r="O66" s="39"/>
      <c r="P66" s="39"/>
      <c r="Q66" s="40"/>
    </row>
    <row r="67" spans="1:17" x14ac:dyDescent="0.25">
      <c r="A67" s="29"/>
      <c r="B67" s="30"/>
      <c r="C67" s="30"/>
      <c r="D67" s="30"/>
      <c r="E67" s="30"/>
      <c r="F67" s="30"/>
      <c r="G67" s="30"/>
      <c r="H67" s="31"/>
      <c r="J67" s="38"/>
      <c r="K67" s="39"/>
      <c r="L67" s="39"/>
      <c r="M67" s="39"/>
      <c r="N67" s="39"/>
      <c r="O67" s="39"/>
      <c r="P67" s="39"/>
      <c r="Q67" s="40"/>
    </row>
    <row r="68" spans="1:17" x14ac:dyDescent="0.25">
      <c r="A68" s="29"/>
      <c r="B68" s="30"/>
      <c r="C68" s="30"/>
      <c r="D68" s="30"/>
      <c r="E68" s="30"/>
      <c r="F68" s="30"/>
      <c r="G68" s="30"/>
      <c r="H68" s="31"/>
      <c r="J68" s="38"/>
      <c r="K68" s="39"/>
      <c r="L68" s="39"/>
      <c r="M68" s="39"/>
      <c r="N68" s="39"/>
      <c r="O68" s="39"/>
      <c r="P68" s="39"/>
      <c r="Q68" s="40"/>
    </row>
    <row r="69" spans="1:17" x14ac:dyDescent="0.25">
      <c r="A69" s="29"/>
      <c r="B69" s="30"/>
      <c r="C69" s="30"/>
      <c r="D69" s="30"/>
      <c r="E69" s="30"/>
      <c r="F69" s="30"/>
      <c r="G69" s="30"/>
      <c r="H69" s="31"/>
      <c r="J69" s="38"/>
      <c r="K69" s="39"/>
      <c r="L69" s="39"/>
      <c r="M69" s="39"/>
      <c r="N69" s="39"/>
      <c r="O69" s="39"/>
      <c r="P69" s="39"/>
      <c r="Q69" s="40"/>
    </row>
    <row r="70" spans="1:17" x14ac:dyDescent="0.25">
      <c r="A70" s="29"/>
      <c r="B70" s="30"/>
      <c r="C70" s="30"/>
      <c r="D70" s="30"/>
      <c r="E70" s="30"/>
      <c r="F70" s="30"/>
      <c r="G70" s="30"/>
      <c r="H70" s="31"/>
      <c r="J70" s="38"/>
      <c r="K70" s="39"/>
      <c r="L70" s="39"/>
      <c r="M70" s="39"/>
      <c r="N70" s="39"/>
      <c r="O70" s="39"/>
      <c r="P70" s="39"/>
      <c r="Q70" s="40"/>
    </row>
    <row r="71" spans="1:17" x14ac:dyDescent="0.25">
      <c r="A71" s="29"/>
      <c r="B71" s="30"/>
      <c r="C71" s="30"/>
      <c r="D71" s="30"/>
      <c r="E71" s="30"/>
      <c r="F71" s="30"/>
      <c r="G71" s="30"/>
      <c r="H71" s="31"/>
      <c r="J71" s="38"/>
      <c r="K71" s="39"/>
      <c r="L71" s="39"/>
      <c r="M71" s="39"/>
      <c r="N71" s="39"/>
      <c r="O71" s="39"/>
      <c r="P71" s="39"/>
      <c r="Q71" s="40"/>
    </row>
    <row r="72" spans="1:17" x14ac:dyDescent="0.25">
      <c r="A72" s="29"/>
      <c r="B72" s="30"/>
      <c r="C72" s="30"/>
      <c r="D72" s="30"/>
      <c r="E72" s="30"/>
      <c r="F72" s="30"/>
      <c r="G72" s="30"/>
      <c r="H72" s="31"/>
      <c r="J72" s="38"/>
      <c r="K72" s="39"/>
      <c r="L72" s="39"/>
      <c r="M72" s="39"/>
      <c r="N72" s="39"/>
      <c r="O72" s="39"/>
      <c r="P72" s="39"/>
      <c r="Q72" s="40"/>
    </row>
    <row r="73" spans="1:17" x14ac:dyDescent="0.25">
      <c r="A73" s="29"/>
      <c r="B73" s="30"/>
      <c r="C73" s="30"/>
      <c r="D73" s="30"/>
      <c r="E73" s="30"/>
      <c r="F73" s="30"/>
      <c r="G73" s="30"/>
      <c r="H73" s="31"/>
      <c r="J73" s="38"/>
      <c r="K73" s="39"/>
      <c r="L73" s="39"/>
      <c r="M73" s="39"/>
      <c r="N73" s="39"/>
      <c r="O73" s="39"/>
      <c r="P73" s="39"/>
      <c r="Q73" s="40"/>
    </row>
    <row r="74" spans="1:17" x14ac:dyDescent="0.25">
      <c r="A74" s="29"/>
      <c r="B74" s="30"/>
      <c r="C74" s="30"/>
      <c r="D74" s="30"/>
      <c r="E74" s="30"/>
      <c r="F74" s="30"/>
      <c r="G74" s="30"/>
      <c r="H74" s="31"/>
      <c r="J74" s="38"/>
      <c r="K74" s="39"/>
      <c r="L74" s="39"/>
      <c r="M74" s="39"/>
      <c r="N74" s="39"/>
      <c r="O74" s="39"/>
      <c r="P74" s="39"/>
      <c r="Q74" s="40"/>
    </row>
    <row r="75" spans="1:17" ht="15.75" thickBot="1" x14ac:dyDescent="0.3">
      <c r="A75" s="32"/>
      <c r="B75" s="33"/>
      <c r="C75" s="33"/>
      <c r="D75" s="33"/>
      <c r="E75" s="33"/>
      <c r="F75" s="33"/>
      <c r="G75" s="33"/>
      <c r="H75" s="34"/>
      <c r="J75" s="38"/>
      <c r="K75" s="39"/>
      <c r="L75" s="39"/>
      <c r="M75" s="39"/>
      <c r="N75" s="39"/>
      <c r="O75" s="39"/>
      <c r="P75" s="39"/>
      <c r="Q75" s="40"/>
    </row>
    <row r="76" spans="1:17" x14ac:dyDescent="0.25">
      <c r="A76" s="13"/>
      <c r="B76" s="13"/>
      <c r="C76" s="13"/>
      <c r="D76" s="13"/>
      <c r="E76" s="13"/>
      <c r="F76" s="13"/>
      <c r="G76" s="13"/>
      <c r="H76" s="13"/>
      <c r="J76" s="38"/>
      <c r="K76" s="39"/>
      <c r="L76" s="39"/>
      <c r="M76" s="39"/>
      <c r="N76" s="39"/>
      <c r="O76" s="39"/>
      <c r="P76" s="39"/>
      <c r="Q76" s="40"/>
    </row>
    <row r="77" spans="1:17" x14ac:dyDescent="0.25">
      <c r="A77" s="13"/>
      <c r="B77" s="13"/>
      <c r="C77" s="13"/>
      <c r="D77" s="13"/>
      <c r="E77" s="13"/>
      <c r="F77" s="13"/>
      <c r="G77" s="13"/>
      <c r="H77" s="13"/>
      <c r="J77" s="38"/>
      <c r="K77" s="39"/>
      <c r="L77" s="39"/>
      <c r="M77" s="39"/>
      <c r="N77" s="39"/>
      <c r="O77" s="39"/>
      <c r="P77" s="39"/>
      <c r="Q77" s="40"/>
    </row>
    <row r="78" spans="1:17" x14ac:dyDescent="0.25">
      <c r="J78" s="38"/>
      <c r="K78" s="39"/>
      <c r="L78" s="39"/>
      <c r="M78" s="39"/>
      <c r="N78" s="39"/>
      <c r="O78" s="39"/>
      <c r="P78" s="39"/>
      <c r="Q78" s="40"/>
    </row>
    <row r="79" spans="1:17" ht="15.75" thickBot="1" x14ac:dyDescent="0.3">
      <c r="J79" s="38"/>
      <c r="K79" s="39"/>
      <c r="L79" s="39"/>
      <c r="M79" s="39"/>
      <c r="N79" s="39"/>
      <c r="O79" s="39"/>
      <c r="P79" s="39"/>
      <c r="Q79" s="40"/>
    </row>
    <row r="80" spans="1:17" ht="15" customHeight="1" x14ac:dyDescent="0.25">
      <c r="A80" s="35" t="s">
        <v>1431</v>
      </c>
      <c r="B80" s="36"/>
      <c r="C80" s="36"/>
      <c r="D80" s="36"/>
      <c r="E80" s="36"/>
      <c r="F80" s="36"/>
      <c r="G80" s="36"/>
      <c r="H80" s="37"/>
      <c r="J80" s="38"/>
      <c r="K80" s="39"/>
      <c r="L80" s="39"/>
      <c r="M80" s="39"/>
      <c r="N80" s="39"/>
      <c r="O80" s="39"/>
      <c r="P80" s="39"/>
      <c r="Q80" s="40"/>
    </row>
    <row r="81" spans="1:17" x14ac:dyDescent="0.25">
      <c r="A81" s="38"/>
      <c r="B81" s="39"/>
      <c r="C81" s="39"/>
      <c r="D81" s="39"/>
      <c r="E81" s="39"/>
      <c r="F81" s="39"/>
      <c r="G81" s="39"/>
      <c r="H81" s="40"/>
      <c r="J81" s="38"/>
      <c r="K81" s="39"/>
      <c r="L81" s="39"/>
      <c r="M81" s="39"/>
      <c r="N81" s="39"/>
      <c r="O81" s="39"/>
      <c r="P81" s="39"/>
      <c r="Q81" s="40"/>
    </row>
    <row r="82" spans="1:17" ht="15.75" thickBot="1" x14ac:dyDescent="0.3">
      <c r="A82" s="38"/>
      <c r="B82" s="39"/>
      <c r="C82" s="39"/>
      <c r="D82" s="39"/>
      <c r="E82" s="39"/>
      <c r="F82" s="39"/>
      <c r="G82" s="39"/>
      <c r="H82" s="40"/>
      <c r="J82" s="41"/>
      <c r="K82" s="42"/>
      <c r="L82" s="42"/>
      <c r="M82" s="42"/>
      <c r="N82" s="42"/>
      <c r="O82" s="42"/>
      <c r="P82" s="42"/>
      <c r="Q82" s="43"/>
    </row>
    <row r="83" spans="1:17" x14ac:dyDescent="0.25">
      <c r="A83" s="38"/>
      <c r="B83" s="39"/>
      <c r="C83" s="39"/>
      <c r="D83" s="39"/>
      <c r="E83" s="39"/>
      <c r="F83" s="39"/>
      <c r="G83" s="39"/>
      <c r="H83" s="40"/>
    </row>
    <row r="84" spans="1:17" ht="15.75" thickBot="1" x14ac:dyDescent="0.3">
      <c r="A84" s="38"/>
      <c r="B84" s="39"/>
      <c r="C84" s="39"/>
      <c r="D84" s="39"/>
      <c r="E84" s="39"/>
      <c r="F84" s="39"/>
      <c r="G84" s="39"/>
      <c r="H84" s="40"/>
    </row>
    <row r="85" spans="1:17" ht="15" customHeight="1" x14ac:dyDescent="0.25">
      <c r="A85" s="38"/>
      <c r="B85" s="39"/>
      <c r="C85" s="39"/>
      <c r="D85" s="39"/>
      <c r="E85" s="39"/>
      <c r="F85" s="39"/>
      <c r="G85" s="39"/>
      <c r="H85" s="40"/>
      <c r="J85" s="35" t="s">
        <v>1432</v>
      </c>
      <c r="K85" s="36"/>
      <c r="L85" s="36"/>
      <c r="M85" s="36"/>
      <c r="N85" s="36"/>
      <c r="O85" s="36"/>
      <c r="P85" s="36"/>
      <c r="Q85" s="37"/>
    </row>
    <row r="86" spans="1:17" x14ac:dyDescent="0.25">
      <c r="A86" s="38"/>
      <c r="B86" s="39"/>
      <c r="C86" s="39"/>
      <c r="D86" s="39"/>
      <c r="E86" s="39"/>
      <c r="F86" s="39"/>
      <c r="G86" s="39"/>
      <c r="H86" s="40"/>
      <c r="J86" s="38"/>
      <c r="K86" s="39"/>
      <c r="L86" s="39"/>
      <c r="M86" s="39"/>
      <c r="N86" s="39"/>
      <c r="O86" s="39"/>
      <c r="P86" s="39"/>
      <c r="Q86" s="40"/>
    </row>
    <row r="87" spans="1:17" x14ac:dyDescent="0.25">
      <c r="A87" s="38"/>
      <c r="B87" s="39"/>
      <c r="C87" s="39"/>
      <c r="D87" s="39"/>
      <c r="E87" s="39"/>
      <c r="F87" s="39"/>
      <c r="G87" s="39"/>
      <c r="H87" s="40"/>
      <c r="J87" s="38"/>
      <c r="K87" s="39"/>
      <c r="L87" s="39"/>
      <c r="M87" s="39"/>
      <c r="N87" s="39"/>
      <c r="O87" s="39"/>
      <c r="P87" s="39"/>
      <c r="Q87" s="40"/>
    </row>
    <row r="88" spans="1:17" x14ac:dyDescent="0.25">
      <c r="A88" s="38"/>
      <c r="B88" s="39"/>
      <c r="C88" s="39"/>
      <c r="D88" s="39"/>
      <c r="E88" s="39"/>
      <c r="F88" s="39"/>
      <c r="G88" s="39"/>
      <c r="H88" s="40"/>
      <c r="J88" s="38"/>
      <c r="K88" s="39"/>
      <c r="L88" s="39"/>
      <c r="M88" s="39"/>
      <c r="N88" s="39"/>
      <c r="O88" s="39"/>
      <c r="P88" s="39"/>
      <c r="Q88" s="40"/>
    </row>
    <row r="89" spans="1:17" x14ac:dyDescent="0.25">
      <c r="A89" s="38"/>
      <c r="B89" s="39"/>
      <c r="C89" s="39"/>
      <c r="D89" s="39"/>
      <c r="E89" s="39"/>
      <c r="F89" s="39"/>
      <c r="G89" s="39"/>
      <c r="H89" s="40"/>
      <c r="J89" s="38"/>
      <c r="K89" s="39"/>
      <c r="L89" s="39"/>
      <c r="M89" s="39"/>
      <c r="N89" s="39"/>
      <c r="O89" s="39"/>
      <c r="P89" s="39"/>
      <c r="Q89" s="40"/>
    </row>
    <row r="90" spans="1:17" x14ac:dyDescent="0.25">
      <c r="A90" s="38"/>
      <c r="B90" s="39"/>
      <c r="C90" s="39"/>
      <c r="D90" s="39"/>
      <c r="E90" s="39"/>
      <c r="F90" s="39"/>
      <c r="G90" s="39"/>
      <c r="H90" s="40"/>
      <c r="J90" s="38"/>
      <c r="K90" s="39"/>
      <c r="L90" s="39"/>
      <c r="M90" s="39"/>
      <c r="N90" s="39"/>
      <c r="O90" s="39"/>
      <c r="P90" s="39"/>
      <c r="Q90" s="40"/>
    </row>
    <row r="91" spans="1:17" x14ac:dyDescent="0.25">
      <c r="A91" s="38"/>
      <c r="B91" s="39"/>
      <c r="C91" s="39"/>
      <c r="D91" s="39"/>
      <c r="E91" s="39"/>
      <c r="F91" s="39"/>
      <c r="G91" s="39"/>
      <c r="H91" s="40"/>
      <c r="J91" s="38"/>
      <c r="K91" s="39"/>
      <c r="L91" s="39"/>
      <c r="M91" s="39"/>
      <c r="N91" s="39"/>
      <c r="O91" s="39"/>
      <c r="P91" s="39"/>
      <c r="Q91" s="40"/>
    </row>
    <row r="92" spans="1:17" x14ac:dyDescent="0.25">
      <c r="A92" s="38"/>
      <c r="B92" s="39"/>
      <c r="C92" s="39"/>
      <c r="D92" s="39"/>
      <c r="E92" s="39"/>
      <c r="F92" s="39"/>
      <c r="G92" s="39"/>
      <c r="H92" s="40"/>
      <c r="J92" s="38"/>
      <c r="K92" s="39"/>
      <c r="L92" s="39"/>
      <c r="M92" s="39"/>
      <c r="N92" s="39"/>
      <c r="O92" s="39"/>
      <c r="P92" s="39"/>
      <c r="Q92" s="40"/>
    </row>
    <row r="93" spans="1:17" x14ac:dyDescent="0.25">
      <c r="A93" s="38"/>
      <c r="B93" s="39"/>
      <c r="C93" s="39"/>
      <c r="D93" s="39"/>
      <c r="E93" s="39"/>
      <c r="F93" s="39"/>
      <c r="G93" s="39"/>
      <c r="H93" s="40"/>
      <c r="J93" s="38"/>
      <c r="K93" s="39"/>
      <c r="L93" s="39"/>
      <c r="M93" s="39"/>
      <c r="N93" s="39"/>
      <c r="O93" s="39"/>
      <c r="P93" s="39"/>
      <c r="Q93" s="40"/>
    </row>
    <row r="94" spans="1:17" x14ac:dyDescent="0.25">
      <c r="A94" s="38"/>
      <c r="B94" s="39"/>
      <c r="C94" s="39"/>
      <c r="D94" s="39"/>
      <c r="E94" s="39"/>
      <c r="F94" s="39"/>
      <c r="G94" s="39"/>
      <c r="H94" s="40"/>
      <c r="J94" s="38"/>
      <c r="K94" s="39"/>
      <c r="L94" s="39"/>
      <c r="M94" s="39"/>
      <c r="N94" s="39"/>
      <c r="O94" s="39"/>
      <c r="P94" s="39"/>
      <c r="Q94" s="40"/>
    </row>
    <row r="95" spans="1:17" x14ac:dyDescent="0.25">
      <c r="A95" s="38"/>
      <c r="B95" s="39"/>
      <c r="C95" s="39"/>
      <c r="D95" s="39"/>
      <c r="E95" s="39"/>
      <c r="F95" s="39"/>
      <c r="G95" s="39"/>
      <c r="H95" s="40"/>
      <c r="J95" s="38"/>
      <c r="K95" s="39"/>
      <c r="L95" s="39"/>
      <c r="M95" s="39"/>
      <c r="N95" s="39"/>
      <c r="O95" s="39"/>
      <c r="P95" s="39"/>
      <c r="Q95" s="40"/>
    </row>
    <row r="96" spans="1:17" x14ac:dyDescent="0.25">
      <c r="A96" s="38"/>
      <c r="B96" s="39"/>
      <c r="C96" s="39"/>
      <c r="D96" s="39"/>
      <c r="E96" s="39"/>
      <c r="F96" s="39"/>
      <c r="G96" s="39"/>
      <c r="H96" s="40"/>
      <c r="J96" s="38"/>
      <c r="K96" s="39"/>
      <c r="L96" s="39"/>
      <c r="M96" s="39"/>
      <c r="N96" s="39"/>
      <c r="O96" s="39"/>
      <c r="P96" s="39"/>
      <c r="Q96" s="40"/>
    </row>
    <row r="97" spans="1:17" x14ac:dyDescent="0.25">
      <c r="A97" s="38"/>
      <c r="B97" s="39"/>
      <c r="C97" s="39"/>
      <c r="D97" s="39"/>
      <c r="E97" s="39"/>
      <c r="F97" s="39"/>
      <c r="G97" s="39"/>
      <c r="H97" s="40"/>
      <c r="J97" s="38"/>
      <c r="K97" s="39"/>
      <c r="L97" s="39"/>
      <c r="M97" s="39"/>
      <c r="N97" s="39"/>
      <c r="O97" s="39"/>
      <c r="P97" s="39"/>
      <c r="Q97" s="40"/>
    </row>
    <row r="98" spans="1:17" x14ac:dyDescent="0.25">
      <c r="A98" s="38"/>
      <c r="B98" s="39"/>
      <c r="C98" s="39"/>
      <c r="D98" s="39"/>
      <c r="E98" s="39"/>
      <c r="F98" s="39"/>
      <c r="G98" s="39"/>
      <c r="H98" s="40"/>
      <c r="J98" s="38"/>
      <c r="K98" s="39"/>
      <c r="L98" s="39"/>
      <c r="M98" s="39"/>
      <c r="N98" s="39"/>
      <c r="O98" s="39"/>
      <c r="P98" s="39"/>
      <c r="Q98" s="40"/>
    </row>
    <row r="99" spans="1:17" ht="15.75" thickBot="1" x14ac:dyDescent="0.3">
      <c r="A99" s="41"/>
      <c r="B99" s="42"/>
      <c r="C99" s="42"/>
      <c r="D99" s="42"/>
      <c r="E99" s="42"/>
      <c r="F99" s="42"/>
      <c r="G99" s="42"/>
      <c r="H99" s="43"/>
      <c r="J99" s="38"/>
      <c r="K99" s="39"/>
      <c r="L99" s="39"/>
      <c r="M99" s="39"/>
      <c r="N99" s="39"/>
      <c r="O99" s="39"/>
      <c r="P99" s="39"/>
      <c r="Q99" s="40"/>
    </row>
    <row r="100" spans="1:17" ht="15.75" thickBot="1" x14ac:dyDescent="0.3">
      <c r="A100" s="12"/>
      <c r="B100" s="12"/>
      <c r="C100" s="12"/>
      <c r="D100" s="12"/>
      <c r="E100" s="12"/>
      <c r="F100" s="12"/>
      <c r="G100" s="12"/>
      <c r="H100" s="12"/>
      <c r="J100" s="41"/>
      <c r="K100" s="42"/>
      <c r="L100" s="42"/>
      <c r="M100" s="42"/>
      <c r="N100" s="42"/>
      <c r="O100" s="42"/>
      <c r="P100" s="42"/>
      <c r="Q100" s="43"/>
    </row>
    <row r="101" spans="1:17" ht="15.75" thickBot="1" x14ac:dyDescent="0.3">
      <c r="A101" s="12"/>
      <c r="B101" s="12"/>
      <c r="C101" s="12"/>
      <c r="D101" s="12"/>
      <c r="E101" s="12"/>
      <c r="F101" s="12"/>
      <c r="G101" s="12"/>
      <c r="H101" s="12"/>
    </row>
    <row r="102" spans="1:17" ht="15" customHeight="1" x14ac:dyDescent="0.25">
      <c r="A102" s="35" t="s">
        <v>1433</v>
      </c>
      <c r="B102" s="36"/>
      <c r="C102" s="36"/>
      <c r="D102" s="36"/>
      <c r="E102" s="36"/>
      <c r="F102" s="36"/>
      <c r="G102" s="36"/>
      <c r="H102" s="37"/>
    </row>
    <row r="103" spans="1:17" x14ac:dyDescent="0.25">
      <c r="A103" s="38"/>
      <c r="B103" s="39"/>
      <c r="C103" s="39"/>
      <c r="D103" s="39"/>
      <c r="E103" s="39"/>
      <c r="F103" s="39"/>
      <c r="G103" s="39"/>
      <c r="H103" s="40"/>
    </row>
    <row r="104" spans="1:17" x14ac:dyDescent="0.25">
      <c r="A104" s="38"/>
      <c r="B104" s="39"/>
      <c r="C104" s="39"/>
      <c r="D104" s="39"/>
      <c r="E104" s="39"/>
      <c r="F104" s="39"/>
      <c r="G104" s="39"/>
      <c r="H104" s="40"/>
    </row>
    <row r="105" spans="1:17" x14ac:dyDescent="0.25">
      <c r="A105" s="38"/>
      <c r="B105" s="39"/>
      <c r="C105" s="39"/>
      <c r="D105" s="39"/>
      <c r="E105" s="39"/>
      <c r="F105" s="39"/>
      <c r="G105" s="39"/>
      <c r="H105" s="40"/>
    </row>
    <row r="106" spans="1:17" x14ac:dyDescent="0.25">
      <c r="A106" s="38"/>
      <c r="B106" s="39"/>
      <c r="C106" s="39"/>
      <c r="D106" s="39"/>
      <c r="E106" s="39"/>
      <c r="F106" s="39"/>
      <c r="G106" s="39"/>
      <c r="H106" s="40"/>
    </row>
    <row r="107" spans="1:17" x14ac:dyDescent="0.25">
      <c r="A107" s="38"/>
      <c r="B107" s="39"/>
      <c r="C107" s="39"/>
      <c r="D107" s="39"/>
      <c r="E107" s="39"/>
      <c r="F107" s="39"/>
      <c r="G107" s="39"/>
      <c r="H107" s="40"/>
    </row>
    <row r="108" spans="1:17" x14ac:dyDescent="0.25">
      <c r="A108" s="38"/>
      <c r="B108" s="39"/>
      <c r="C108" s="39"/>
      <c r="D108" s="39"/>
      <c r="E108" s="39"/>
      <c r="F108" s="39"/>
      <c r="G108" s="39"/>
      <c r="H108" s="40"/>
    </row>
    <row r="109" spans="1:17" x14ac:dyDescent="0.25">
      <c r="A109" s="38"/>
      <c r="B109" s="39"/>
      <c r="C109" s="39"/>
      <c r="D109" s="39"/>
      <c r="E109" s="39"/>
      <c r="F109" s="39"/>
      <c r="G109" s="39"/>
      <c r="H109" s="40"/>
    </row>
    <row r="110" spans="1:17" x14ac:dyDescent="0.25">
      <c r="A110" s="38"/>
      <c r="B110" s="39"/>
      <c r="C110" s="39"/>
      <c r="D110" s="39"/>
      <c r="E110" s="39"/>
      <c r="F110" s="39"/>
      <c r="G110" s="39"/>
      <c r="H110" s="40"/>
    </row>
    <row r="111" spans="1:17" x14ac:dyDescent="0.25">
      <c r="A111" s="38"/>
      <c r="B111" s="39"/>
      <c r="C111" s="39"/>
      <c r="D111" s="39"/>
      <c r="E111" s="39"/>
      <c r="F111" s="39"/>
      <c r="G111" s="39"/>
      <c r="H111" s="40"/>
    </row>
    <row r="112" spans="1:17" x14ac:dyDescent="0.25">
      <c r="A112" s="38"/>
      <c r="B112" s="39"/>
      <c r="C112" s="39"/>
      <c r="D112" s="39"/>
      <c r="E112" s="39"/>
      <c r="F112" s="39"/>
      <c r="G112" s="39"/>
      <c r="H112" s="40"/>
    </row>
    <row r="113" spans="1:8" x14ac:dyDescent="0.25">
      <c r="A113" s="38"/>
      <c r="B113" s="39"/>
      <c r="C113" s="39"/>
      <c r="D113" s="39"/>
      <c r="E113" s="39"/>
      <c r="F113" s="39"/>
      <c r="G113" s="39"/>
      <c r="H113" s="40"/>
    </row>
    <row r="114" spans="1:8" x14ac:dyDescent="0.25">
      <c r="A114" s="38"/>
      <c r="B114" s="39"/>
      <c r="C114" s="39"/>
      <c r="D114" s="39"/>
      <c r="E114" s="39"/>
      <c r="F114" s="39"/>
      <c r="G114" s="39"/>
      <c r="H114" s="40"/>
    </row>
    <row r="115" spans="1:8" x14ac:dyDescent="0.25">
      <c r="A115" s="38"/>
      <c r="B115" s="39"/>
      <c r="C115" s="39"/>
      <c r="D115" s="39"/>
      <c r="E115" s="39"/>
      <c r="F115" s="39"/>
      <c r="G115" s="39"/>
      <c r="H115" s="40"/>
    </row>
    <row r="116" spans="1:8" x14ac:dyDescent="0.25">
      <c r="A116" s="38"/>
      <c r="B116" s="39"/>
      <c r="C116" s="39"/>
      <c r="D116" s="39"/>
      <c r="E116" s="39"/>
      <c r="F116" s="39"/>
      <c r="G116" s="39"/>
      <c r="H116" s="40"/>
    </row>
    <row r="117" spans="1:8" ht="15.75" thickBot="1" x14ac:dyDescent="0.3">
      <c r="A117" s="41"/>
      <c r="B117" s="42"/>
      <c r="C117" s="42"/>
      <c r="D117" s="42"/>
      <c r="E117" s="42"/>
      <c r="F117" s="42"/>
      <c r="G117" s="42"/>
      <c r="H117" s="43"/>
    </row>
    <row r="118" spans="1:8" x14ac:dyDescent="0.25">
      <c r="A118" s="12"/>
      <c r="B118" s="12"/>
      <c r="C118" s="12"/>
      <c r="D118" s="12"/>
      <c r="E118" s="12"/>
      <c r="F118" s="12"/>
      <c r="G118" s="12"/>
      <c r="H118" s="12"/>
    </row>
  </sheetData>
  <mergeCells count="11">
    <mergeCell ref="A3:H18"/>
    <mergeCell ref="A1:H1"/>
    <mergeCell ref="A59:H75"/>
    <mergeCell ref="A102:H117"/>
    <mergeCell ref="J38:Q53"/>
    <mergeCell ref="A20:H34"/>
    <mergeCell ref="J59:Q82"/>
    <mergeCell ref="A80:H99"/>
    <mergeCell ref="J85:Q100"/>
    <mergeCell ref="A38:H54"/>
    <mergeCell ref="J20:Q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BCA4C-A78F-45D7-ABD5-A346700ACC35}">
  <dimension ref="A1:W55"/>
  <sheetViews>
    <sheetView showGridLines="0" topLeftCell="A6" workbookViewId="0">
      <selection activeCell="T38" sqref="T38"/>
    </sheetView>
  </sheetViews>
  <sheetFormatPr defaultRowHeight="15" x14ac:dyDescent="0.25"/>
  <sheetData>
    <row r="1" spans="1:23" ht="15.75" thickBot="1" x14ac:dyDescent="0.3"/>
    <row r="2" spans="1:23" x14ac:dyDescent="0.25">
      <c r="E2" s="52" t="s">
        <v>1434</v>
      </c>
      <c r="F2" s="53"/>
      <c r="G2" s="53"/>
      <c r="H2" s="53"/>
      <c r="I2" s="53"/>
      <c r="J2" s="53"/>
      <c r="K2" s="53"/>
      <c r="L2" s="53"/>
      <c r="M2" s="53"/>
      <c r="N2" s="53"/>
      <c r="O2" s="53"/>
      <c r="P2" s="54"/>
    </row>
    <row r="3" spans="1:23" ht="15.75" thickBot="1" x14ac:dyDescent="0.3">
      <c r="E3" s="55"/>
      <c r="F3" s="56"/>
      <c r="G3" s="56"/>
      <c r="H3" s="56"/>
      <c r="I3" s="56"/>
      <c r="J3" s="56"/>
      <c r="K3" s="56"/>
      <c r="L3" s="56"/>
      <c r="M3" s="56"/>
      <c r="N3" s="56"/>
      <c r="O3" s="56"/>
      <c r="P3" s="57"/>
    </row>
    <row r="4" spans="1:23" ht="15.75" thickBot="1" x14ac:dyDescent="0.3"/>
    <row r="5" spans="1:23" ht="15" customHeight="1" x14ac:dyDescent="0.25">
      <c r="A5" s="35" t="s">
        <v>1436</v>
      </c>
      <c r="B5" s="44"/>
      <c r="C5" s="44"/>
      <c r="D5" s="44"/>
      <c r="E5" s="44"/>
      <c r="F5" s="44"/>
      <c r="G5" s="45"/>
      <c r="I5" s="35" t="s">
        <v>1437</v>
      </c>
      <c r="J5" s="36"/>
      <c r="K5" s="36"/>
      <c r="L5" s="36"/>
      <c r="M5" s="36"/>
      <c r="N5" s="36"/>
      <c r="O5" s="37"/>
      <c r="Q5" s="35" t="s">
        <v>1438</v>
      </c>
      <c r="R5" s="36"/>
      <c r="S5" s="36"/>
      <c r="T5" s="36"/>
      <c r="U5" s="36"/>
      <c r="V5" s="36"/>
      <c r="W5" s="37"/>
    </row>
    <row r="6" spans="1:23" x14ac:dyDescent="0.25">
      <c r="A6" s="46"/>
      <c r="B6" s="47"/>
      <c r="C6" s="47"/>
      <c r="D6" s="47"/>
      <c r="E6" s="47"/>
      <c r="F6" s="47"/>
      <c r="G6" s="48"/>
      <c r="I6" s="38"/>
      <c r="J6" s="39"/>
      <c r="K6" s="39"/>
      <c r="L6" s="39"/>
      <c r="M6" s="39"/>
      <c r="N6" s="39"/>
      <c r="O6" s="40"/>
      <c r="Q6" s="38"/>
      <c r="R6" s="39"/>
      <c r="S6" s="39"/>
      <c r="T6" s="39"/>
      <c r="U6" s="39"/>
      <c r="V6" s="39"/>
      <c r="W6" s="40"/>
    </row>
    <row r="7" spans="1:23" x14ac:dyDescent="0.25">
      <c r="A7" s="46"/>
      <c r="B7" s="47"/>
      <c r="C7" s="47"/>
      <c r="D7" s="47"/>
      <c r="E7" s="47"/>
      <c r="F7" s="47"/>
      <c r="G7" s="48"/>
      <c r="I7" s="38"/>
      <c r="J7" s="39"/>
      <c r="K7" s="39"/>
      <c r="L7" s="39"/>
      <c r="M7" s="39"/>
      <c r="N7" s="39"/>
      <c r="O7" s="40"/>
      <c r="Q7" s="38"/>
      <c r="R7" s="39"/>
      <c r="S7" s="39"/>
      <c r="T7" s="39"/>
      <c r="U7" s="39"/>
      <c r="V7" s="39"/>
      <c r="W7" s="40"/>
    </row>
    <row r="8" spans="1:23" x14ac:dyDescent="0.25">
      <c r="A8" s="46"/>
      <c r="B8" s="47"/>
      <c r="C8" s="47"/>
      <c r="D8" s="47"/>
      <c r="E8" s="47"/>
      <c r="F8" s="47"/>
      <c r="G8" s="48"/>
      <c r="I8" s="38"/>
      <c r="J8" s="39"/>
      <c r="K8" s="39"/>
      <c r="L8" s="39"/>
      <c r="M8" s="39"/>
      <c r="N8" s="39"/>
      <c r="O8" s="40"/>
      <c r="Q8" s="38"/>
      <c r="R8" s="39"/>
      <c r="S8" s="39"/>
      <c r="T8" s="39"/>
      <c r="U8" s="39"/>
      <c r="V8" s="39"/>
      <c r="W8" s="40"/>
    </row>
    <row r="9" spans="1:23" x14ac:dyDescent="0.25">
      <c r="A9" s="46"/>
      <c r="B9" s="47"/>
      <c r="C9" s="47"/>
      <c r="D9" s="47"/>
      <c r="E9" s="47"/>
      <c r="F9" s="47"/>
      <c r="G9" s="48"/>
      <c r="I9" s="38"/>
      <c r="J9" s="39"/>
      <c r="K9" s="39"/>
      <c r="L9" s="39"/>
      <c r="M9" s="39"/>
      <c r="N9" s="39"/>
      <c r="O9" s="40"/>
      <c r="Q9" s="38"/>
      <c r="R9" s="39"/>
      <c r="S9" s="39"/>
      <c r="T9" s="39"/>
      <c r="U9" s="39"/>
      <c r="V9" s="39"/>
      <c r="W9" s="40"/>
    </row>
    <row r="10" spans="1:23" x14ac:dyDescent="0.25">
      <c r="A10" s="46"/>
      <c r="B10" s="47"/>
      <c r="C10" s="47"/>
      <c r="D10" s="47"/>
      <c r="E10" s="47"/>
      <c r="F10" s="47"/>
      <c r="G10" s="48"/>
      <c r="I10" s="38"/>
      <c r="J10" s="39"/>
      <c r="K10" s="39"/>
      <c r="L10" s="39"/>
      <c r="M10" s="39"/>
      <c r="N10" s="39"/>
      <c r="O10" s="40"/>
      <c r="Q10" s="38"/>
      <c r="R10" s="39"/>
      <c r="S10" s="39"/>
      <c r="T10" s="39"/>
      <c r="U10" s="39"/>
      <c r="V10" s="39"/>
      <c r="W10" s="40"/>
    </row>
    <row r="11" spans="1:23" x14ac:dyDescent="0.25">
      <c r="A11" s="46"/>
      <c r="B11" s="47"/>
      <c r="C11" s="47"/>
      <c r="D11" s="47"/>
      <c r="E11" s="47"/>
      <c r="F11" s="47"/>
      <c r="G11" s="48"/>
      <c r="I11" s="38"/>
      <c r="J11" s="39"/>
      <c r="K11" s="39"/>
      <c r="L11" s="39"/>
      <c r="M11" s="39"/>
      <c r="N11" s="39"/>
      <c r="O11" s="40"/>
      <c r="Q11" s="38"/>
      <c r="R11" s="39"/>
      <c r="S11" s="39"/>
      <c r="T11" s="39"/>
      <c r="U11" s="39"/>
      <c r="V11" s="39"/>
      <c r="W11" s="40"/>
    </row>
    <row r="12" spans="1:23" x14ac:dyDescent="0.25">
      <c r="A12" s="46"/>
      <c r="B12" s="47"/>
      <c r="C12" s="47"/>
      <c r="D12" s="47"/>
      <c r="E12" s="47"/>
      <c r="F12" s="47"/>
      <c r="G12" s="48"/>
      <c r="I12" s="38"/>
      <c r="J12" s="39"/>
      <c r="K12" s="39"/>
      <c r="L12" s="39"/>
      <c r="M12" s="39"/>
      <c r="N12" s="39"/>
      <c r="O12" s="40"/>
      <c r="Q12" s="38"/>
      <c r="R12" s="39"/>
      <c r="S12" s="39"/>
      <c r="T12" s="39"/>
      <c r="U12" s="39"/>
      <c r="V12" s="39"/>
      <c r="W12" s="40"/>
    </row>
    <row r="13" spans="1:23" x14ac:dyDescent="0.25">
      <c r="A13" s="46"/>
      <c r="B13" s="47"/>
      <c r="C13" s="47"/>
      <c r="D13" s="47"/>
      <c r="E13" s="47"/>
      <c r="F13" s="47"/>
      <c r="G13" s="48"/>
      <c r="I13" s="38"/>
      <c r="J13" s="39"/>
      <c r="K13" s="39"/>
      <c r="L13" s="39"/>
      <c r="M13" s="39"/>
      <c r="N13" s="39"/>
      <c r="O13" s="40"/>
      <c r="Q13" s="38"/>
      <c r="R13" s="39"/>
      <c r="S13" s="39"/>
      <c r="T13" s="39"/>
      <c r="U13" s="39"/>
      <c r="V13" s="39"/>
      <c r="W13" s="40"/>
    </row>
    <row r="14" spans="1:23" x14ac:dyDescent="0.25">
      <c r="A14" s="46"/>
      <c r="B14" s="47"/>
      <c r="C14" s="47"/>
      <c r="D14" s="47"/>
      <c r="E14" s="47"/>
      <c r="F14" s="47"/>
      <c r="G14" s="48"/>
      <c r="I14" s="38"/>
      <c r="J14" s="39"/>
      <c r="K14" s="39"/>
      <c r="L14" s="39"/>
      <c r="M14" s="39"/>
      <c r="N14" s="39"/>
      <c r="O14" s="40"/>
      <c r="Q14" s="38"/>
      <c r="R14" s="39"/>
      <c r="S14" s="39"/>
      <c r="T14" s="39"/>
      <c r="U14" s="39"/>
      <c r="V14" s="39"/>
      <c r="W14" s="40"/>
    </row>
    <row r="15" spans="1:23" x14ac:dyDescent="0.25">
      <c r="A15" s="46"/>
      <c r="B15" s="47"/>
      <c r="C15" s="47"/>
      <c r="D15" s="47"/>
      <c r="E15" s="47"/>
      <c r="F15" s="47"/>
      <c r="G15" s="48"/>
      <c r="I15" s="38"/>
      <c r="J15" s="39"/>
      <c r="K15" s="39"/>
      <c r="L15" s="39"/>
      <c r="M15" s="39"/>
      <c r="N15" s="39"/>
      <c r="O15" s="40"/>
      <c r="Q15" s="38"/>
      <c r="R15" s="39"/>
      <c r="S15" s="39"/>
      <c r="T15" s="39"/>
      <c r="U15" s="39"/>
      <c r="V15" s="39"/>
      <c r="W15" s="40"/>
    </row>
    <row r="16" spans="1:23" x14ac:dyDescent="0.25">
      <c r="A16" s="46"/>
      <c r="B16" s="47"/>
      <c r="C16" s="47"/>
      <c r="D16" s="47"/>
      <c r="E16" s="47"/>
      <c r="F16" s="47"/>
      <c r="G16" s="48"/>
      <c r="I16" s="38"/>
      <c r="J16" s="39"/>
      <c r="K16" s="39"/>
      <c r="L16" s="39"/>
      <c r="M16" s="39"/>
      <c r="N16" s="39"/>
      <c r="O16" s="40"/>
      <c r="Q16" s="38"/>
      <c r="R16" s="39"/>
      <c r="S16" s="39"/>
      <c r="T16" s="39"/>
      <c r="U16" s="39"/>
      <c r="V16" s="39"/>
      <c r="W16" s="40"/>
    </row>
    <row r="17" spans="1:23" x14ac:dyDescent="0.25">
      <c r="A17" s="46"/>
      <c r="B17" s="47"/>
      <c r="C17" s="47"/>
      <c r="D17" s="47"/>
      <c r="E17" s="47"/>
      <c r="F17" s="47"/>
      <c r="G17" s="48"/>
      <c r="I17" s="38"/>
      <c r="J17" s="39"/>
      <c r="K17" s="39"/>
      <c r="L17" s="39"/>
      <c r="M17" s="39"/>
      <c r="N17" s="39"/>
      <c r="O17" s="40"/>
      <c r="Q17" s="38"/>
      <c r="R17" s="39"/>
      <c r="S17" s="39"/>
      <c r="T17" s="39"/>
      <c r="U17" s="39"/>
      <c r="V17" s="39"/>
      <c r="W17" s="40"/>
    </row>
    <row r="18" spans="1:23" x14ac:dyDescent="0.25">
      <c r="A18" s="46"/>
      <c r="B18" s="47"/>
      <c r="C18" s="47"/>
      <c r="D18" s="47"/>
      <c r="E18" s="47"/>
      <c r="F18" s="47"/>
      <c r="G18" s="48"/>
      <c r="I18" s="38"/>
      <c r="J18" s="39"/>
      <c r="K18" s="39"/>
      <c r="L18" s="39"/>
      <c r="M18" s="39"/>
      <c r="N18" s="39"/>
      <c r="O18" s="40"/>
      <c r="Q18" s="38"/>
      <c r="R18" s="39"/>
      <c r="S18" s="39"/>
      <c r="T18" s="39"/>
      <c r="U18" s="39"/>
      <c r="V18" s="39"/>
      <c r="W18" s="40"/>
    </row>
    <row r="19" spans="1:23" x14ac:dyDescent="0.25">
      <c r="A19" s="46"/>
      <c r="B19" s="47"/>
      <c r="C19" s="47"/>
      <c r="D19" s="47"/>
      <c r="E19" s="47"/>
      <c r="F19" s="47"/>
      <c r="G19" s="48"/>
      <c r="I19" s="38"/>
      <c r="J19" s="39"/>
      <c r="K19" s="39"/>
      <c r="L19" s="39"/>
      <c r="M19" s="39"/>
      <c r="N19" s="39"/>
      <c r="O19" s="40"/>
      <c r="Q19" s="38"/>
      <c r="R19" s="39"/>
      <c r="S19" s="39"/>
      <c r="T19" s="39"/>
      <c r="U19" s="39"/>
      <c r="V19" s="39"/>
      <c r="W19" s="40"/>
    </row>
    <row r="20" spans="1:23" x14ac:dyDescent="0.25">
      <c r="A20" s="46"/>
      <c r="B20" s="47"/>
      <c r="C20" s="47"/>
      <c r="D20" s="47"/>
      <c r="E20" s="47"/>
      <c r="F20" s="47"/>
      <c r="G20" s="48"/>
      <c r="I20" s="38"/>
      <c r="J20" s="39"/>
      <c r="K20" s="39"/>
      <c r="L20" s="39"/>
      <c r="M20" s="39"/>
      <c r="N20" s="39"/>
      <c r="O20" s="40"/>
      <c r="Q20" s="38"/>
      <c r="R20" s="39"/>
      <c r="S20" s="39"/>
      <c r="T20" s="39"/>
      <c r="U20" s="39"/>
      <c r="V20" s="39"/>
      <c r="W20" s="40"/>
    </row>
    <row r="21" spans="1:23" x14ac:dyDescent="0.25">
      <c r="A21" s="46"/>
      <c r="B21" s="47"/>
      <c r="C21" s="47"/>
      <c r="D21" s="47"/>
      <c r="E21" s="47"/>
      <c r="F21" s="47"/>
      <c r="G21" s="48"/>
      <c r="I21" s="38"/>
      <c r="J21" s="39"/>
      <c r="K21" s="39"/>
      <c r="L21" s="39"/>
      <c r="M21" s="39"/>
      <c r="N21" s="39"/>
      <c r="O21" s="40"/>
      <c r="Q21" s="38"/>
      <c r="R21" s="39"/>
      <c r="S21" s="39"/>
      <c r="T21" s="39"/>
      <c r="U21" s="39"/>
      <c r="V21" s="39"/>
      <c r="W21" s="40"/>
    </row>
    <row r="22" spans="1:23" x14ac:dyDescent="0.25">
      <c r="A22" s="46"/>
      <c r="B22" s="47"/>
      <c r="C22" s="47"/>
      <c r="D22" s="47"/>
      <c r="E22" s="47"/>
      <c r="F22" s="47"/>
      <c r="G22" s="48"/>
      <c r="I22" s="38"/>
      <c r="J22" s="39"/>
      <c r="K22" s="39"/>
      <c r="L22" s="39"/>
      <c r="M22" s="39"/>
      <c r="N22" s="39"/>
      <c r="O22" s="40"/>
      <c r="Q22" s="38"/>
      <c r="R22" s="39"/>
      <c r="S22" s="39"/>
      <c r="T22" s="39"/>
      <c r="U22" s="39"/>
      <c r="V22" s="39"/>
      <c r="W22" s="40"/>
    </row>
    <row r="23" spans="1:23" ht="15.75" thickBot="1" x14ac:dyDescent="0.3">
      <c r="A23" s="49"/>
      <c r="B23" s="50"/>
      <c r="C23" s="50"/>
      <c r="D23" s="50"/>
      <c r="E23" s="50"/>
      <c r="F23" s="50"/>
      <c r="G23" s="51"/>
      <c r="I23" s="38"/>
      <c r="J23" s="39"/>
      <c r="K23" s="39"/>
      <c r="L23" s="39"/>
      <c r="M23" s="39"/>
      <c r="N23" s="39"/>
      <c r="O23" s="40"/>
      <c r="Q23" s="38"/>
      <c r="R23" s="39"/>
      <c r="S23" s="39"/>
      <c r="T23" s="39"/>
      <c r="U23" s="39"/>
      <c r="V23" s="39"/>
      <c r="W23" s="40"/>
    </row>
    <row r="24" spans="1:23" x14ac:dyDescent="0.25">
      <c r="I24" s="38"/>
      <c r="J24" s="39"/>
      <c r="K24" s="39"/>
      <c r="L24" s="39"/>
      <c r="M24" s="39"/>
      <c r="N24" s="39"/>
      <c r="O24" s="40"/>
      <c r="Q24" s="38"/>
      <c r="R24" s="39"/>
      <c r="S24" s="39"/>
      <c r="T24" s="39"/>
      <c r="U24" s="39"/>
      <c r="V24" s="39"/>
      <c r="W24" s="40"/>
    </row>
    <row r="25" spans="1:23" ht="15.75" thickBot="1" x14ac:dyDescent="0.3">
      <c r="I25" s="41"/>
      <c r="J25" s="42"/>
      <c r="K25" s="42"/>
      <c r="L25" s="42"/>
      <c r="M25" s="42"/>
      <c r="N25" s="42"/>
      <c r="O25" s="43"/>
      <c r="Q25" s="38"/>
      <c r="R25" s="39"/>
      <c r="S25" s="39"/>
      <c r="T25" s="39"/>
      <c r="U25" s="39"/>
      <c r="V25" s="39"/>
      <c r="W25" s="40"/>
    </row>
    <row r="26" spans="1:23" ht="15.75" thickBot="1" x14ac:dyDescent="0.3">
      <c r="Q26" s="38"/>
      <c r="R26" s="39"/>
      <c r="S26" s="39"/>
      <c r="T26" s="39"/>
      <c r="U26" s="39"/>
      <c r="V26" s="39"/>
      <c r="W26" s="40"/>
    </row>
    <row r="27" spans="1:23" ht="15" customHeight="1" x14ac:dyDescent="0.25">
      <c r="A27" s="35" t="s">
        <v>1442</v>
      </c>
      <c r="B27" s="36"/>
      <c r="C27" s="36"/>
      <c r="D27" s="36"/>
      <c r="E27" s="36"/>
      <c r="F27" s="36"/>
      <c r="G27" s="37"/>
      <c r="I27" s="35" t="s">
        <v>1439</v>
      </c>
      <c r="J27" s="36"/>
      <c r="K27" s="36"/>
      <c r="L27" s="36"/>
      <c r="M27" s="36"/>
      <c r="N27" s="36"/>
      <c r="O27" s="37"/>
      <c r="Q27" s="38"/>
      <c r="R27" s="39"/>
      <c r="S27" s="39"/>
      <c r="T27" s="39"/>
      <c r="U27" s="39"/>
      <c r="V27" s="39"/>
      <c r="W27" s="40"/>
    </row>
    <row r="28" spans="1:23" ht="15.75" thickBot="1" x14ac:dyDescent="0.3">
      <c r="A28" s="38"/>
      <c r="B28" s="39"/>
      <c r="C28" s="39"/>
      <c r="D28" s="39"/>
      <c r="E28" s="39"/>
      <c r="F28" s="39"/>
      <c r="G28" s="40"/>
      <c r="I28" s="38"/>
      <c r="J28" s="39"/>
      <c r="K28" s="39"/>
      <c r="L28" s="39"/>
      <c r="M28" s="39"/>
      <c r="N28" s="39"/>
      <c r="O28" s="40"/>
      <c r="Q28" s="41"/>
      <c r="R28" s="42"/>
      <c r="S28" s="42"/>
      <c r="T28" s="42"/>
      <c r="U28" s="42"/>
      <c r="V28" s="42"/>
      <c r="W28" s="43"/>
    </row>
    <row r="29" spans="1:23" x14ac:dyDescent="0.25">
      <c r="A29" s="38"/>
      <c r="B29" s="39"/>
      <c r="C29" s="39"/>
      <c r="D29" s="39"/>
      <c r="E29" s="39"/>
      <c r="F29" s="39"/>
      <c r="G29" s="40"/>
      <c r="I29" s="38"/>
      <c r="J29" s="39"/>
      <c r="K29" s="39"/>
      <c r="L29" s="39"/>
      <c r="M29" s="39"/>
      <c r="N29" s="39"/>
      <c r="O29" s="40"/>
      <c r="Q29" s="12"/>
      <c r="R29" s="12"/>
      <c r="S29" s="12"/>
      <c r="T29" s="12"/>
      <c r="U29" s="12"/>
      <c r="V29" s="12"/>
      <c r="W29" s="12"/>
    </row>
    <row r="30" spans="1:23" x14ac:dyDescent="0.25">
      <c r="A30" s="38"/>
      <c r="B30" s="39"/>
      <c r="C30" s="39"/>
      <c r="D30" s="39"/>
      <c r="E30" s="39"/>
      <c r="F30" s="39"/>
      <c r="G30" s="40"/>
      <c r="I30" s="38"/>
      <c r="J30" s="39"/>
      <c r="K30" s="39"/>
      <c r="L30" s="39"/>
      <c r="M30" s="39"/>
      <c r="N30" s="39"/>
      <c r="O30" s="40"/>
    </row>
    <row r="31" spans="1:23" x14ac:dyDescent="0.25">
      <c r="A31" s="38"/>
      <c r="B31" s="39"/>
      <c r="C31" s="39"/>
      <c r="D31" s="39"/>
      <c r="E31" s="39"/>
      <c r="F31" s="39"/>
      <c r="G31" s="40"/>
      <c r="I31" s="38"/>
      <c r="J31" s="39"/>
      <c r="K31" s="39"/>
      <c r="L31" s="39"/>
      <c r="M31" s="39"/>
      <c r="N31" s="39"/>
      <c r="O31" s="40"/>
    </row>
    <row r="32" spans="1:23" x14ac:dyDescent="0.25">
      <c r="A32" s="38"/>
      <c r="B32" s="39"/>
      <c r="C32" s="39"/>
      <c r="D32" s="39"/>
      <c r="E32" s="39"/>
      <c r="F32" s="39"/>
      <c r="G32" s="40"/>
      <c r="I32" s="38"/>
      <c r="J32" s="39"/>
      <c r="K32" s="39"/>
      <c r="L32" s="39"/>
      <c r="M32" s="39"/>
      <c r="N32" s="39"/>
      <c r="O32" s="40"/>
    </row>
    <row r="33" spans="1:15" x14ac:dyDescent="0.25">
      <c r="A33" s="38"/>
      <c r="B33" s="39"/>
      <c r="C33" s="39"/>
      <c r="D33" s="39"/>
      <c r="E33" s="39"/>
      <c r="F33" s="39"/>
      <c r="G33" s="40"/>
      <c r="I33" s="38"/>
      <c r="J33" s="39"/>
      <c r="K33" s="39"/>
      <c r="L33" s="39"/>
      <c r="M33" s="39"/>
      <c r="N33" s="39"/>
      <c r="O33" s="40"/>
    </row>
    <row r="34" spans="1:15" x14ac:dyDescent="0.25">
      <c r="A34" s="38"/>
      <c r="B34" s="39"/>
      <c r="C34" s="39"/>
      <c r="D34" s="39"/>
      <c r="E34" s="39"/>
      <c r="F34" s="39"/>
      <c r="G34" s="40"/>
      <c r="I34" s="38"/>
      <c r="J34" s="39"/>
      <c r="K34" s="39"/>
      <c r="L34" s="39"/>
      <c r="M34" s="39"/>
      <c r="N34" s="39"/>
      <c r="O34" s="40"/>
    </row>
    <row r="35" spans="1:15" x14ac:dyDescent="0.25">
      <c r="A35" s="38"/>
      <c r="B35" s="39"/>
      <c r="C35" s="39"/>
      <c r="D35" s="39"/>
      <c r="E35" s="39"/>
      <c r="F35" s="39"/>
      <c r="G35" s="40"/>
      <c r="I35" s="38"/>
      <c r="J35" s="39"/>
      <c r="K35" s="39"/>
      <c r="L35" s="39"/>
      <c r="M35" s="39"/>
      <c r="N35" s="39"/>
      <c r="O35" s="40"/>
    </row>
    <row r="36" spans="1:15" x14ac:dyDescent="0.25">
      <c r="A36" s="38"/>
      <c r="B36" s="39"/>
      <c r="C36" s="39"/>
      <c r="D36" s="39"/>
      <c r="E36" s="39"/>
      <c r="F36" s="39"/>
      <c r="G36" s="40"/>
      <c r="I36" s="38"/>
      <c r="J36" s="39"/>
      <c r="K36" s="39"/>
      <c r="L36" s="39"/>
      <c r="M36" s="39"/>
      <c r="N36" s="39"/>
      <c r="O36" s="40"/>
    </row>
    <row r="37" spans="1:15" x14ac:dyDescent="0.25">
      <c r="A37" s="38"/>
      <c r="B37" s="39"/>
      <c r="C37" s="39"/>
      <c r="D37" s="39"/>
      <c r="E37" s="39"/>
      <c r="F37" s="39"/>
      <c r="G37" s="40"/>
      <c r="I37" s="38"/>
      <c r="J37" s="39"/>
      <c r="K37" s="39"/>
      <c r="L37" s="39"/>
      <c r="M37" s="39"/>
      <c r="N37" s="39"/>
      <c r="O37" s="40"/>
    </row>
    <row r="38" spans="1:15" x14ac:dyDescent="0.25">
      <c r="A38" s="38"/>
      <c r="B38" s="39"/>
      <c r="C38" s="39"/>
      <c r="D38" s="39"/>
      <c r="E38" s="39"/>
      <c r="F38" s="39"/>
      <c r="G38" s="40"/>
      <c r="I38" s="38"/>
      <c r="J38" s="39"/>
      <c r="K38" s="39"/>
      <c r="L38" s="39"/>
      <c r="M38" s="39"/>
      <c r="N38" s="39"/>
      <c r="O38" s="40"/>
    </row>
    <row r="39" spans="1:15" x14ac:dyDescent="0.25">
      <c r="A39" s="38"/>
      <c r="B39" s="39"/>
      <c r="C39" s="39"/>
      <c r="D39" s="39"/>
      <c r="E39" s="39"/>
      <c r="F39" s="39"/>
      <c r="G39" s="40"/>
      <c r="I39" s="38"/>
      <c r="J39" s="39"/>
      <c r="K39" s="39"/>
      <c r="L39" s="39"/>
      <c r="M39" s="39"/>
      <c r="N39" s="39"/>
      <c r="O39" s="40"/>
    </row>
    <row r="40" spans="1:15" x14ac:dyDescent="0.25">
      <c r="A40" s="38"/>
      <c r="B40" s="39"/>
      <c r="C40" s="39"/>
      <c r="D40" s="39"/>
      <c r="E40" s="39"/>
      <c r="F40" s="39"/>
      <c r="G40" s="40"/>
      <c r="I40" s="38"/>
      <c r="J40" s="39"/>
      <c r="K40" s="39"/>
      <c r="L40" s="39"/>
      <c r="M40" s="39"/>
      <c r="N40" s="39"/>
      <c r="O40" s="40"/>
    </row>
    <row r="41" spans="1:15" x14ac:dyDescent="0.25">
      <c r="A41" s="38"/>
      <c r="B41" s="39"/>
      <c r="C41" s="39"/>
      <c r="D41" s="39"/>
      <c r="E41" s="39"/>
      <c r="F41" s="39"/>
      <c r="G41" s="40"/>
      <c r="I41" s="38"/>
      <c r="J41" s="39"/>
      <c r="K41" s="39"/>
      <c r="L41" s="39"/>
      <c r="M41" s="39"/>
      <c r="N41" s="39"/>
      <c r="O41" s="40"/>
    </row>
    <row r="42" spans="1:15" x14ac:dyDescent="0.25">
      <c r="A42" s="38"/>
      <c r="B42" s="39"/>
      <c r="C42" s="39"/>
      <c r="D42" s="39"/>
      <c r="E42" s="39"/>
      <c r="F42" s="39"/>
      <c r="G42" s="40"/>
      <c r="I42" s="38"/>
      <c r="J42" s="39"/>
      <c r="K42" s="39"/>
      <c r="L42" s="39"/>
      <c r="M42" s="39"/>
      <c r="N42" s="39"/>
      <c r="O42" s="40"/>
    </row>
    <row r="43" spans="1:15" x14ac:dyDescent="0.25">
      <c r="A43" s="38"/>
      <c r="B43" s="39"/>
      <c r="C43" s="39"/>
      <c r="D43" s="39"/>
      <c r="E43" s="39"/>
      <c r="F43" s="39"/>
      <c r="G43" s="40"/>
      <c r="I43" s="38"/>
      <c r="J43" s="39"/>
      <c r="K43" s="39"/>
      <c r="L43" s="39"/>
      <c r="M43" s="39"/>
      <c r="N43" s="39"/>
      <c r="O43" s="40"/>
    </row>
    <row r="44" spans="1:15" x14ac:dyDescent="0.25">
      <c r="A44" s="38"/>
      <c r="B44" s="39"/>
      <c r="C44" s="39"/>
      <c r="D44" s="39"/>
      <c r="E44" s="39"/>
      <c r="F44" s="39"/>
      <c r="G44" s="40"/>
      <c r="I44" s="38"/>
      <c r="J44" s="39"/>
      <c r="K44" s="39"/>
      <c r="L44" s="39"/>
      <c r="M44" s="39"/>
      <c r="N44" s="39"/>
      <c r="O44" s="40"/>
    </row>
    <row r="45" spans="1:15" x14ac:dyDescent="0.25">
      <c r="A45" s="38"/>
      <c r="B45" s="39"/>
      <c r="C45" s="39"/>
      <c r="D45" s="39"/>
      <c r="E45" s="39"/>
      <c r="F45" s="39"/>
      <c r="G45" s="40"/>
      <c r="I45" s="38"/>
      <c r="J45" s="39"/>
      <c r="K45" s="39"/>
      <c r="L45" s="39"/>
      <c r="M45" s="39"/>
      <c r="N45" s="39"/>
      <c r="O45" s="40"/>
    </row>
    <row r="46" spans="1:15" ht="15.75" thickBot="1" x14ac:dyDescent="0.3">
      <c r="A46" s="38"/>
      <c r="B46" s="39"/>
      <c r="C46" s="39"/>
      <c r="D46" s="39"/>
      <c r="E46" s="39"/>
      <c r="F46" s="39"/>
      <c r="G46" s="40"/>
      <c r="I46" s="41"/>
      <c r="J46" s="42"/>
      <c r="K46" s="42"/>
      <c r="L46" s="42"/>
      <c r="M46" s="42"/>
      <c r="N46" s="42"/>
      <c r="O46" s="43"/>
    </row>
    <row r="47" spans="1:15" x14ac:dyDescent="0.25">
      <c r="A47" s="38"/>
      <c r="B47" s="39"/>
      <c r="C47" s="39"/>
      <c r="D47" s="39"/>
      <c r="E47" s="39"/>
      <c r="F47" s="39"/>
      <c r="G47" s="40"/>
    </row>
    <row r="48" spans="1:15" x14ac:dyDescent="0.25">
      <c r="A48" s="38"/>
      <c r="B48" s="39"/>
      <c r="C48" s="39"/>
      <c r="D48" s="39"/>
      <c r="E48" s="39"/>
      <c r="F48" s="39"/>
      <c r="G48" s="40"/>
    </row>
    <row r="49" spans="1:7" x14ac:dyDescent="0.25">
      <c r="A49" s="38"/>
      <c r="B49" s="39"/>
      <c r="C49" s="39"/>
      <c r="D49" s="39"/>
      <c r="E49" s="39"/>
      <c r="F49" s="39"/>
      <c r="G49" s="40"/>
    </row>
    <row r="50" spans="1:7" x14ac:dyDescent="0.25">
      <c r="A50" s="38"/>
      <c r="B50" s="39"/>
      <c r="C50" s="39"/>
      <c r="D50" s="39"/>
      <c r="E50" s="39"/>
      <c r="F50" s="39"/>
      <c r="G50" s="40"/>
    </row>
    <row r="51" spans="1:7" ht="15.75" thickBot="1" x14ac:dyDescent="0.3">
      <c r="A51" s="41"/>
      <c r="B51" s="42"/>
      <c r="C51" s="42"/>
      <c r="D51" s="42"/>
      <c r="E51" s="42"/>
      <c r="F51" s="42"/>
      <c r="G51" s="43"/>
    </row>
    <row r="52" spans="1:7" x14ac:dyDescent="0.25">
      <c r="A52" s="12"/>
      <c r="B52" s="12"/>
      <c r="C52" s="12"/>
      <c r="D52" s="12"/>
      <c r="E52" s="12"/>
      <c r="F52" s="12"/>
      <c r="G52" s="12"/>
    </row>
    <row r="53" spans="1:7" x14ac:dyDescent="0.25">
      <c r="A53" s="12"/>
      <c r="B53" s="12"/>
      <c r="C53" s="12"/>
      <c r="D53" s="12"/>
      <c r="E53" s="12"/>
      <c r="F53" s="12"/>
      <c r="G53" s="12"/>
    </row>
    <row r="54" spans="1:7" x14ac:dyDescent="0.25">
      <c r="A54" s="12"/>
      <c r="B54" s="12"/>
      <c r="C54" s="12"/>
      <c r="D54" s="12"/>
      <c r="E54" s="12"/>
      <c r="F54" s="12"/>
      <c r="G54" s="12"/>
    </row>
    <row r="55" spans="1:7" x14ac:dyDescent="0.25">
      <c r="A55" s="12"/>
      <c r="B55" s="12"/>
      <c r="C55" s="12"/>
      <c r="D55" s="12"/>
      <c r="E55" s="12"/>
      <c r="F55" s="12"/>
      <c r="G55" s="12"/>
    </row>
  </sheetData>
  <mergeCells count="6">
    <mergeCell ref="E2:P3"/>
    <mergeCell ref="A5:G23"/>
    <mergeCell ref="I5:O25"/>
    <mergeCell ref="Q5:W28"/>
    <mergeCell ref="A27:G51"/>
    <mergeCell ref="I27:O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6563-2F91-41F2-B0D2-4860DD4F1A93}">
  <dimension ref="A1:M10"/>
  <sheetViews>
    <sheetView showGridLines="0" workbookViewId="0">
      <selection sqref="A1:M1"/>
    </sheetView>
  </sheetViews>
  <sheetFormatPr defaultRowHeight="15" x14ac:dyDescent="0.25"/>
  <cols>
    <col min="1" max="13" width="10.7109375" customWidth="1"/>
  </cols>
  <sheetData>
    <row r="1" spans="1:13" ht="31.5" x14ac:dyDescent="0.5">
      <c r="A1" s="68" t="s">
        <v>1419</v>
      </c>
      <c r="B1" s="69"/>
      <c r="C1" s="69"/>
      <c r="D1" s="69"/>
      <c r="E1" s="69"/>
      <c r="F1" s="69"/>
      <c r="G1" s="69"/>
      <c r="H1" s="69"/>
      <c r="I1" s="69"/>
      <c r="J1" s="69"/>
      <c r="K1" s="69"/>
      <c r="L1" s="69"/>
      <c r="M1" s="69"/>
    </row>
    <row r="2" spans="1:13" ht="18.75" x14ac:dyDescent="0.3">
      <c r="A2" s="70" t="s">
        <v>1420</v>
      </c>
      <c r="B2" s="71"/>
      <c r="C2" s="71"/>
      <c r="D2" s="71"/>
      <c r="E2" s="71"/>
      <c r="F2" s="71"/>
      <c r="G2" s="71"/>
      <c r="H2" s="71"/>
      <c r="I2" s="71"/>
      <c r="J2" s="71"/>
      <c r="K2" s="71"/>
      <c r="L2" s="71"/>
      <c r="M2" s="71"/>
    </row>
    <row r="3" spans="1:13" ht="16.5" thickBot="1" x14ac:dyDescent="0.3">
      <c r="B3" s="73" t="s">
        <v>1421</v>
      </c>
      <c r="C3" s="73"/>
      <c r="D3" s="73"/>
      <c r="F3" s="73" t="s">
        <v>1422</v>
      </c>
      <c r="G3" s="50"/>
      <c r="H3" s="50"/>
      <c r="J3" s="73" t="s">
        <v>1423</v>
      </c>
      <c r="K3" s="73"/>
      <c r="L3" s="73"/>
    </row>
    <row r="4" spans="1:13" ht="16.5" customHeight="1" x14ac:dyDescent="0.25">
      <c r="B4" s="72">
        <f>Analysis!B27</f>
        <v>1539532.0053240762</v>
      </c>
      <c r="C4" s="59"/>
      <c r="D4" s="60"/>
      <c r="F4" s="58">
        <f>Analysis!B26</f>
        <v>515</v>
      </c>
      <c r="G4" s="59"/>
      <c r="H4" s="60"/>
      <c r="J4" s="74">
        <f>Analysis!B28</f>
        <v>2989.3825346098565</v>
      </c>
      <c r="K4" s="75"/>
      <c r="L4" s="76"/>
    </row>
    <row r="5" spans="1:13" x14ac:dyDescent="0.25">
      <c r="B5" s="61"/>
      <c r="C5" s="62"/>
      <c r="D5" s="63"/>
      <c r="F5" s="61"/>
      <c r="G5" s="62"/>
      <c r="H5" s="63"/>
      <c r="J5" s="77"/>
      <c r="K5" s="78"/>
      <c r="L5" s="79"/>
    </row>
    <row r="6" spans="1:13" ht="15.75" thickBot="1" x14ac:dyDescent="0.3">
      <c r="B6" s="64"/>
      <c r="C6" s="65"/>
      <c r="D6" s="66"/>
      <c r="F6" s="64"/>
      <c r="G6" s="65"/>
      <c r="H6" s="66"/>
      <c r="J6" s="80"/>
      <c r="K6" s="81"/>
      <c r="L6" s="82"/>
    </row>
    <row r="7" spans="1:13" ht="16.5" thickBot="1" x14ac:dyDescent="0.3">
      <c r="B7" s="67" t="s">
        <v>1424</v>
      </c>
      <c r="C7" s="67"/>
      <c r="D7" s="67"/>
    </row>
    <row r="8" spans="1:13" x14ac:dyDescent="0.25">
      <c r="B8" s="58">
        <f>Analysis!B29</f>
        <v>225</v>
      </c>
      <c r="C8" s="59"/>
      <c r="D8" s="60"/>
    </row>
    <row r="9" spans="1:13" x14ac:dyDescent="0.25">
      <c r="B9" s="61"/>
      <c r="C9" s="62"/>
      <c r="D9" s="63"/>
    </row>
    <row r="10" spans="1:13" ht="15.75" thickBot="1" x14ac:dyDescent="0.3">
      <c r="B10" s="64"/>
      <c r="C10" s="65"/>
      <c r="D10" s="66"/>
    </row>
  </sheetData>
  <mergeCells count="10">
    <mergeCell ref="B8:D10"/>
    <mergeCell ref="B7:D7"/>
    <mergeCell ref="A1:M1"/>
    <mergeCell ref="A2:M2"/>
    <mergeCell ref="B4:D6"/>
    <mergeCell ref="B3:D3"/>
    <mergeCell ref="F4:H6"/>
    <mergeCell ref="F3:H3"/>
    <mergeCell ref="J4:L6"/>
    <mergeCell ref="J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35C4-0FB9-482E-9D98-0B6A1E420E12}">
  <dimension ref="A2:M35"/>
  <sheetViews>
    <sheetView tabSelected="1" workbookViewId="0">
      <selection activeCell="F31" sqref="F31"/>
    </sheetView>
  </sheetViews>
  <sheetFormatPr defaultRowHeight="15" x14ac:dyDescent="0.25"/>
  <cols>
    <col min="1" max="1" width="24" customWidth="1"/>
    <col min="2" max="2" width="15.5703125" bestFit="1" customWidth="1"/>
    <col min="3" max="3" width="16.5703125" bestFit="1" customWidth="1"/>
    <col min="4" max="4" width="18.42578125" customWidth="1"/>
    <col min="5" max="5" width="15.5703125" bestFit="1" customWidth="1"/>
    <col min="7" max="7" width="19.5703125" customWidth="1"/>
    <col min="8" max="8" width="15.5703125" bestFit="1" customWidth="1"/>
    <col min="9" max="9" width="13.140625" bestFit="1" customWidth="1"/>
    <col min="10" max="11" width="15.5703125" bestFit="1" customWidth="1"/>
    <col min="12" max="12" width="13.140625" bestFit="1" customWidth="1"/>
    <col min="13" max="14" width="15.5703125" bestFit="1" customWidth="1"/>
  </cols>
  <sheetData>
    <row r="2" spans="1:13" x14ac:dyDescent="0.25">
      <c r="A2" s="10" t="s">
        <v>1417</v>
      </c>
      <c r="I2" s="10" t="s">
        <v>1409</v>
      </c>
    </row>
    <row r="3" spans="1:13" x14ac:dyDescent="0.25">
      <c r="A3" s="6" t="s">
        <v>1406</v>
      </c>
      <c r="B3" t="s">
        <v>1408</v>
      </c>
      <c r="I3" s="6" t="s">
        <v>1406</v>
      </c>
      <c r="J3" t="s">
        <v>1408</v>
      </c>
    </row>
    <row r="4" spans="1:13" x14ac:dyDescent="0.25">
      <c r="A4" s="7" t="s">
        <v>147</v>
      </c>
      <c r="B4" s="9">
        <v>431230.84083333326</v>
      </c>
      <c r="I4" s="7" t="s">
        <v>46</v>
      </c>
      <c r="J4" s="9">
        <v>909292.58687500027</v>
      </c>
    </row>
    <row r="5" spans="1:13" x14ac:dyDescent="0.25">
      <c r="A5" s="7" t="s">
        <v>29</v>
      </c>
      <c r="B5" s="9">
        <v>279686.76604166662</v>
      </c>
      <c r="I5" s="7" t="s">
        <v>15</v>
      </c>
      <c r="J5" s="9">
        <v>398341.92844907404</v>
      </c>
    </row>
    <row r="6" spans="1:13" x14ac:dyDescent="0.25">
      <c r="A6" s="7" t="s">
        <v>22</v>
      </c>
      <c r="B6" s="9">
        <v>206213.99999999997</v>
      </c>
      <c r="I6" s="7" t="s">
        <v>23</v>
      </c>
      <c r="J6" s="9">
        <v>206213.99999999997</v>
      </c>
    </row>
    <row r="7" spans="1:13" x14ac:dyDescent="0.25">
      <c r="A7" s="7" t="s">
        <v>78</v>
      </c>
      <c r="B7" s="9">
        <v>199479.86999999997</v>
      </c>
      <c r="I7" s="7" t="s">
        <v>185</v>
      </c>
      <c r="J7" s="9">
        <v>25683.49</v>
      </c>
    </row>
    <row r="8" spans="1:13" x14ac:dyDescent="0.25">
      <c r="A8" s="7" t="s">
        <v>87</v>
      </c>
      <c r="B8" s="9">
        <v>177135.27604166663</v>
      </c>
      <c r="I8" s="7" t="s">
        <v>1435</v>
      </c>
    </row>
    <row r="9" spans="1:13" x14ac:dyDescent="0.25">
      <c r="A9" s="7" t="s">
        <v>41</v>
      </c>
      <c r="B9" s="9">
        <v>115465.53000000001</v>
      </c>
      <c r="I9" s="7" t="s">
        <v>1407</v>
      </c>
      <c r="J9" s="9">
        <v>1539532.0053240743</v>
      </c>
    </row>
    <row r="10" spans="1:13" x14ac:dyDescent="0.25">
      <c r="A10" s="7" t="s">
        <v>101</v>
      </c>
      <c r="B10" s="9">
        <v>104636.23240740743</v>
      </c>
    </row>
    <row r="11" spans="1:13" x14ac:dyDescent="0.25">
      <c r="A11" s="7" t="s">
        <v>1396</v>
      </c>
      <c r="B11" s="9">
        <v>25683.49</v>
      </c>
    </row>
    <row r="12" spans="1:13" x14ac:dyDescent="0.25">
      <c r="A12" s="7" t="s">
        <v>1435</v>
      </c>
    </row>
    <row r="13" spans="1:13" x14ac:dyDescent="0.25">
      <c r="A13" s="7" t="s">
        <v>1407</v>
      </c>
      <c r="B13" s="9">
        <v>1539532.0053240736</v>
      </c>
      <c r="I13" s="10" t="s">
        <v>1410</v>
      </c>
    </row>
    <row r="14" spans="1:13" x14ac:dyDescent="0.25">
      <c r="I14" s="6" t="s">
        <v>1406</v>
      </c>
      <c r="J14" t="s">
        <v>1408</v>
      </c>
      <c r="L14" s="10" t="s">
        <v>1411</v>
      </c>
    </row>
    <row r="15" spans="1:13" x14ac:dyDescent="0.25">
      <c r="I15" s="7" t="s">
        <v>17</v>
      </c>
      <c r="J15" s="9">
        <v>494066.81000000011</v>
      </c>
      <c r="L15" s="6" t="s">
        <v>1406</v>
      </c>
      <c r="M15" t="s">
        <v>1408</v>
      </c>
    </row>
    <row r="16" spans="1:13" x14ac:dyDescent="0.25">
      <c r="A16" s="10" t="s">
        <v>1412</v>
      </c>
      <c r="I16" s="7" t="s">
        <v>69</v>
      </c>
      <c r="J16" s="9">
        <v>340694.10999999993</v>
      </c>
      <c r="L16" s="7" t="s">
        <v>30</v>
      </c>
      <c r="M16" s="9">
        <v>523613.27083333326</v>
      </c>
    </row>
    <row r="17" spans="1:13" x14ac:dyDescent="0.25">
      <c r="A17" s="6" t="s">
        <v>1406</v>
      </c>
      <c r="B17" t="s">
        <v>1408</v>
      </c>
      <c r="I17" s="7" t="s">
        <v>24</v>
      </c>
      <c r="J17" s="9">
        <v>294413.32687500014</v>
      </c>
      <c r="L17" s="7" t="s">
        <v>35</v>
      </c>
      <c r="M17" s="9">
        <v>519262.71999999997</v>
      </c>
    </row>
    <row r="18" spans="1:13" x14ac:dyDescent="0.25">
      <c r="A18" s="7" t="s">
        <v>1413</v>
      </c>
      <c r="B18" s="9">
        <v>25504.326041666671</v>
      </c>
      <c r="I18" s="7" t="s">
        <v>55</v>
      </c>
      <c r="J18" s="9">
        <v>294096.66604166664</v>
      </c>
      <c r="L18" s="7" t="s">
        <v>16</v>
      </c>
      <c r="M18" s="9">
        <v>305283.4044907408</v>
      </c>
    </row>
    <row r="19" spans="1:13" x14ac:dyDescent="0.25">
      <c r="A19" s="7" t="s">
        <v>1414</v>
      </c>
      <c r="B19" s="9">
        <v>459821.58928240719</v>
      </c>
      <c r="I19" s="7" t="s">
        <v>51</v>
      </c>
      <c r="J19" s="9">
        <v>105769.6924074074</v>
      </c>
      <c r="L19" s="7" t="s">
        <v>102</v>
      </c>
      <c r="M19" s="9">
        <v>189145.04999999993</v>
      </c>
    </row>
    <row r="20" spans="1:13" x14ac:dyDescent="0.25">
      <c r="A20" s="7" t="s">
        <v>1415</v>
      </c>
      <c r="B20" s="9">
        <v>1054206.0899999999</v>
      </c>
      <c r="I20" s="7" t="s">
        <v>1435</v>
      </c>
      <c r="J20" s="9">
        <v>10491.4</v>
      </c>
      <c r="L20" s="7" t="s">
        <v>1407</v>
      </c>
      <c r="M20" s="9">
        <v>1537304.445324074</v>
      </c>
    </row>
    <row r="21" spans="1:13" x14ac:dyDescent="0.25">
      <c r="A21" s="7" t="s">
        <v>1407</v>
      </c>
      <c r="B21" s="9">
        <v>1539532.0053240736</v>
      </c>
      <c r="I21" s="7" t="s">
        <v>1407</v>
      </c>
      <c r="J21" s="9">
        <v>1539532.0053240741</v>
      </c>
    </row>
    <row r="23" spans="1:13" x14ac:dyDescent="0.25">
      <c r="I23" s="7" t="s">
        <v>1418</v>
      </c>
    </row>
    <row r="24" spans="1:13" x14ac:dyDescent="0.25">
      <c r="I24" s="6" t="s">
        <v>1406</v>
      </c>
      <c r="J24" t="s">
        <v>1408</v>
      </c>
    </row>
    <row r="25" spans="1:13" x14ac:dyDescent="0.25">
      <c r="A25" s="11" t="s">
        <v>1416</v>
      </c>
      <c r="I25" s="7" t="s">
        <v>105</v>
      </c>
      <c r="J25" s="9">
        <v>304255.72000000003</v>
      </c>
    </row>
    <row r="26" spans="1:13" x14ac:dyDescent="0.25">
      <c r="A26" t="s">
        <v>1402</v>
      </c>
      <c r="B26">
        <f>COUNTA('Old Data'!A:A)-1</f>
        <v>515</v>
      </c>
      <c r="I26" s="7" t="s">
        <v>1081</v>
      </c>
      <c r="J26" s="9">
        <v>153767.63999999998</v>
      </c>
    </row>
    <row r="27" spans="1:13" x14ac:dyDescent="0.25">
      <c r="A27" t="s">
        <v>1403</v>
      </c>
      <c r="B27" s="5">
        <f>SUM('Clean Data'!I:I)</f>
        <v>1539532.0053240762</v>
      </c>
      <c r="I27" s="7" t="s">
        <v>233</v>
      </c>
      <c r="J27" s="9">
        <v>86912.52</v>
      </c>
    </row>
    <row r="28" spans="1:13" x14ac:dyDescent="0.25">
      <c r="A28" t="s">
        <v>1404</v>
      </c>
      <c r="B28" s="5">
        <f>B27/B26</f>
        <v>2989.3825346098565</v>
      </c>
      <c r="I28" s="7" t="s">
        <v>944</v>
      </c>
      <c r="J28" s="9">
        <v>82367.55</v>
      </c>
    </row>
    <row r="29" spans="1:13" x14ac:dyDescent="0.25">
      <c r="A29" t="s">
        <v>1405</v>
      </c>
      <c r="B29" s="8">
        <v>225</v>
      </c>
      <c r="I29" s="7" t="s">
        <v>988</v>
      </c>
      <c r="J29" s="9">
        <v>81487.91</v>
      </c>
    </row>
    <row r="30" spans="1:13" x14ac:dyDescent="0.25">
      <c r="I30" s="7" t="s">
        <v>844</v>
      </c>
      <c r="J30" s="9">
        <v>58801.32</v>
      </c>
    </row>
    <row r="31" spans="1:13" x14ac:dyDescent="0.25">
      <c r="I31" s="7" t="s">
        <v>738</v>
      </c>
      <c r="J31" s="9">
        <v>53776.17</v>
      </c>
    </row>
    <row r="32" spans="1:13" x14ac:dyDescent="0.25">
      <c r="I32" s="7" t="s">
        <v>857</v>
      </c>
      <c r="J32" s="9">
        <v>52179.19</v>
      </c>
    </row>
    <row r="33" spans="9:10" x14ac:dyDescent="0.25">
      <c r="I33" s="7" t="s">
        <v>884</v>
      </c>
      <c r="J33" s="9">
        <v>51783.839999999997</v>
      </c>
    </row>
    <row r="34" spans="9:10" x14ac:dyDescent="0.25">
      <c r="I34" s="7" t="s">
        <v>386</v>
      </c>
      <c r="J34" s="9">
        <v>50482.5</v>
      </c>
    </row>
    <row r="35" spans="9:10" x14ac:dyDescent="0.25">
      <c r="I35" s="7" t="s">
        <v>1407</v>
      </c>
      <c r="J35" s="9">
        <v>975814.36</v>
      </c>
    </row>
  </sheetData>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8EC05-5B90-44A0-9929-B738B0F04953}">
  <dimension ref="A1:O501"/>
  <sheetViews>
    <sheetView workbookViewId="0">
      <pane ySplit="1" topLeftCell="A2" activePane="bottomLeft" state="frozen"/>
      <selection pane="bottomLeft" activeCell="N8" sqref="N8"/>
    </sheetView>
  </sheetViews>
  <sheetFormatPr defaultRowHeight="15" x14ac:dyDescent="0.25"/>
  <cols>
    <col min="1" max="1" width="13.28515625" customWidth="1"/>
    <col min="2" max="2" width="17" customWidth="1"/>
    <col min="3" max="3" width="16.42578125" style="3" customWidth="1"/>
    <col min="4" max="4" width="17.5703125" customWidth="1"/>
    <col min="5" max="5" width="14" customWidth="1"/>
    <col min="6" max="6" width="13.28515625" customWidth="1"/>
    <col min="7" max="7" width="13.42578125" customWidth="1"/>
    <col min="8" max="8" width="14.5703125" customWidth="1"/>
    <col min="9" max="9" width="13.85546875" customWidth="1"/>
    <col min="10" max="10" width="12.42578125" customWidth="1"/>
    <col min="11" max="11" width="16" customWidth="1"/>
    <col min="12" max="12" width="32.28515625" customWidth="1"/>
    <col min="14" max="14" width="26.140625" customWidth="1"/>
    <col min="15" max="15" width="32.85546875" customWidth="1"/>
  </cols>
  <sheetData>
    <row r="1" spans="1:15" x14ac:dyDescent="0.25">
      <c r="A1" s="1" t="s">
        <v>0</v>
      </c>
      <c r="B1" s="1" t="s">
        <v>1</v>
      </c>
      <c r="C1" s="2" t="s">
        <v>2</v>
      </c>
      <c r="D1" s="1" t="s">
        <v>1397</v>
      </c>
      <c r="E1" s="1" t="s">
        <v>4</v>
      </c>
      <c r="F1" s="1" t="s">
        <v>5</v>
      </c>
      <c r="G1" s="1" t="s">
        <v>1398</v>
      </c>
      <c r="H1" s="1" t="s">
        <v>6</v>
      </c>
      <c r="I1" s="1" t="s">
        <v>7</v>
      </c>
      <c r="J1" s="1" t="s">
        <v>8</v>
      </c>
      <c r="K1" s="1" t="s">
        <v>9</v>
      </c>
      <c r="L1" s="1" t="s">
        <v>10</v>
      </c>
      <c r="N1" s="4" t="s">
        <v>1400</v>
      </c>
      <c r="O1" s="4" t="s">
        <v>1401</v>
      </c>
    </row>
    <row r="2" spans="1:15" x14ac:dyDescent="0.25">
      <c r="A2" t="s">
        <v>11</v>
      </c>
      <c r="B2" t="s">
        <v>12</v>
      </c>
      <c r="C2" s="3">
        <v>45376</v>
      </c>
      <c r="D2" t="s">
        <v>87</v>
      </c>
      <c r="E2" t="s">
        <v>15</v>
      </c>
      <c r="F2">
        <v>2</v>
      </c>
      <c r="G2" t="str">
        <f>IF(F2&gt; 100, "Bulk Order", "Regular Order")</f>
        <v>Regular Order</v>
      </c>
      <c r="H2">
        <v>47.08</v>
      </c>
      <c r="I2">
        <v>94.16</v>
      </c>
      <c r="J2" t="s">
        <v>16</v>
      </c>
      <c r="K2" t="s">
        <v>17</v>
      </c>
      <c r="L2" t="s">
        <v>18</v>
      </c>
      <c r="N2">
        <f>SUMIF(B:B, "CUST9999", I:I)</f>
        <v>37144.999999999993</v>
      </c>
      <c r="O2">
        <f>COUNTIF(B:B,"CUST9999")/COUNTA(B:B)</f>
        <v>5.9880239520958084E-2</v>
      </c>
    </row>
    <row r="3" spans="1:15" x14ac:dyDescent="0.25">
      <c r="A3" t="s">
        <v>19</v>
      </c>
      <c r="B3" t="s">
        <v>20</v>
      </c>
      <c r="C3" s="3">
        <v>45455</v>
      </c>
      <c r="D3" t="s">
        <v>22</v>
      </c>
      <c r="E3" t="s">
        <v>23</v>
      </c>
      <c r="F3">
        <v>2</v>
      </c>
      <c r="G3" t="str">
        <f t="shared" ref="G3:G66" si="0">IF(F3&gt; 100, "Bulk Order", "Regular Order")</f>
        <v>Regular Order</v>
      </c>
      <c r="H3">
        <v>164.86</v>
      </c>
      <c r="I3">
        <v>329.72</v>
      </c>
      <c r="J3" t="s">
        <v>16</v>
      </c>
      <c r="K3" t="s">
        <v>24</v>
      </c>
      <c r="L3" t="s">
        <v>25</v>
      </c>
    </row>
    <row r="4" spans="1:15" x14ac:dyDescent="0.25">
      <c r="A4" t="s">
        <v>26</v>
      </c>
      <c r="B4" t="s">
        <v>27</v>
      </c>
      <c r="C4" s="3">
        <v>45063</v>
      </c>
      <c r="D4" t="s">
        <v>29</v>
      </c>
      <c r="E4" t="s">
        <v>46</v>
      </c>
      <c r="F4">
        <v>9</v>
      </c>
      <c r="G4" t="str">
        <f t="shared" si="0"/>
        <v>Regular Order</v>
      </c>
      <c r="H4">
        <v>822.22</v>
      </c>
      <c r="I4">
        <f>F4*H4</f>
        <v>7399.9800000000005</v>
      </c>
      <c r="J4" t="s">
        <v>30</v>
      </c>
      <c r="K4" t="s">
        <v>17</v>
      </c>
      <c r="L4" t="s">
        <v>31</v>
      </c>
    </row>
    <row r="5" spans="1:15" x14ac:dyDescent="0.25">
      <c r="A5" t="s">
        <v>32</v>
      </c>
      <c r="B5" t="s">
        <v>33</v>
      </c>
      <c r="C5" s="3">
        <v>45352</v>
      </c>
      <c r="D5" t="s">
        <v>22</v>
      </c>
      <c r="E5" t="s">
        <v>23</v>
      </c>
      <c r="F5">
        <v>6</v>
      </c>
      <c r="G5" t="str">
        <f t="shared" si="0"/>
        <v>Regular Order</v>
      </c>
      <c r="H5">
        <v>141.63</v>
      </c>
      <c r="I5">
        <v>4554.55</v>
      </c>
      <c r="J5" t="s">
        <v>35</v>
      </c>
      <c r="K5" t="s">
        <v>51</v>
      </c>
      <c r="L5" t="s">
        <v>37</v>
      </c>
    </row>
    <row r="6" spans="1:15" x14ac:dyDescent="0.25">
      <c r="A6" t="s">
        <v>38</v>
      </c>
      <c r="B6" t="s">
        <v>39</v>
      </c>
      <c r="C6" s="3">
        <v>45391</v>
      </c>
      <c r="D6" t="s">
        <v>41</v>
      </c>
      <c r="E6" t="s">
        <v>15</v>
      </c>
      <c r="F6">
        <v>2</v>
      </c>
      <c r="G6" t="str">
        <f t="shared" si="0"/>
        <v>Regular Order</v>
      </c>
      <c r="H6">
        <v>79.34</v>
      </c>
      <c r="I6">
        <v>423.71999999999997</v>
      </c>
      <c r="J6" t="s">
        <v>35</v>
      </c>
      <c r="K6" t="s">
        <v>24</v>
      </c>
      <c r="L6" t="s">
        <v>42</v>
      </c>
    </row>
    <row r="7" spans="1:15" x14ac:dyDescent="0.25">
      <c r="A7" t="s">
        <v>43</v>
      </c>
      <c r="B7" t="s">
        <v>44</v>
      </c>
      <c r="C7" s="3">
        <v>45208</v>
      </c>
      <c r="D7" t="s">
        <v>29</v>
      </c>
      <c r="E7" t="s">
        <v>46</v>
      </c>
      <c r="F7">
        <v>5</v>
      </c>
      <c r="G7" t="str">
        <f t="shared" si="0"/>
        <v>Regular Order</v>
      </c>
      <c r="H7">
        <v>910.91</v>
      </c>
      <c r="I7">
        <f>F7*H7</f>
        <v>4554.55</v>
      </c>
      <c r="J7" t="s">
        <v>30</v>
      </c>
      <c r="K7" t="s">
        <v>24</v>
      </c>
      <c r="L7" t="s">
        <v>47</v>
      </c>
    </row>
    <row r="8" spans="1:15" x14ac:dyDescent="0.25">
      <c r="A8" t="s">
        <v>48</v>
      </c>
      <c r="B8" t="s">
        <v>49</v>
      </c>
      <c r="C8" s="3">
        <v>45114</v>
      </c>
      <c r="D8" t="s">
        <v>29</v>
      </c>
      <c r="E8" t="s">
        <v>46</v>
      </c>
      <c r="F8">
        <v>7</v>
      </c>
      <c r="G8" t="str">
        <f t="shared" si="0"/>
        <v>Regular Order</v>
      </c>
      <c r="H8">
        <v>843.12</v>
      </c>
      <c r="I8">
        <v>84.24</v>
      </c>
      <c r="J8" t="s">
        <v>35</v>
      </c>
      <c r="K8" t="s">
        <v>51</v>
      </c>
      <c r="L8" t="s">
        <v>52</v>
      </c>
    </row>
    <row r="9" spans="1:15" x14ac:dyDescent="0.25">
      <c r="A9" t="s">
        <v>53</v>
      </c>
      <c r="B9" t="s">
        <v>1399</v>
      </c>
      <c r="C9" s="3">
        <v>45134</v>
      </c>
      <c r="D9" t="s">
        <v>41</v>
      </c>
      <c r="E9" t="s">
        <v>15</v>
      </c>
      <c r="F9">
        <v>9</v>
      </c>
      <c r="G9" t="str">
        <f t="shared" si="0"/>
        <v>Regular Order</v>
      </c>
      <c r="H9">
        <f>IF(H2&lt;=0, AVERAGEIF($D:$D,D2,$H:$H),H2)</f>
        <v>47.08</v>
      </c>
      <c r="I9">
        <f t="shared" ref="I9:I34" si="1">F9*H9</f>
        <v>423.71999999999997</v>
      </c>
      <c r="J9" t="s">
        <v>16</v>
      </c>
      <c r="K9" t="s">
        <v>55</v>
      </c>
    </row>
    <row r="10" spans="1:15" x14ac:dyDescent="0.25">
      <c r="A10" t="s">
        <v>56</v>
      </c>
      <c r="B10" t="s">
        <v>57</v>
      </c>
      <c r="C10" s="3">
        <v>45642</v>
      </c>
      <c r="D10" t="s">
        <v>22</v>
      </c>
      <c r="E10" t="s">
        <v>23</v>
      </c>
      <c r="F10">
        <v>3</v>
      </c>
      <c r="G10" t="str">
        <f t="shared" si="0"/>
        <v>Regular Order</v>
      </c>
      <c r="H10">
        <v>910.91</v>
      </c>
      <c r="I10">
        <f t="shared" si="1"/>
        <v>2732.73</v>
      </c>
      <c r="J10" t="s">
        <v>16</v>
      </c>
      <c r="K10" t="s">
        <v>55</v>
      </c>
      <c r="L10" t="s">
        <v>60</v>
      </c>
    </row>
    <row r="11" spans="1:15" x14ac:dyDescent="0.25">
      <c r="A11" t="s">
        <v>61</v>
      </c>
      <c r="B11" t="s">
        <v>62</v>
      </c>
      <c r="C11" s="3">
        <v>45546</v>
      </c>
      <c r="D11" t="s">
        <v>29</v>
      </c>
      <c r="E11" t="s">
        <v>46</v>
      </c>
      <c r="F11">
        <v>1</v>
      </c>
      <c r="G11" t="str">
        <f t="shared" si="0"/>
        <v>Regular Order</v>
      </c>
      <c r="H11">
        <v>84.24</v>
      </c>
      <c r="I11">
        <f t="shared" si="1"/>
        <v>84.24</v>
      </c>
      <c r="J11" t="s">
        <v>30</v>
      </c>
      <c r="K11" t="s">
        <v>55</v>
      </c>
      <c r="L11" t="s">
        <v>65</v>
      </c>
    </row>
    <row r="12" spans="1:15" x14ac:dyDescent="0.25">
      <c r="A12" t="s">
        <v>66</v>
      </c>
      <c r="B12" t="s">
        <v>67</v>
      </c>
      <c r="C12" s="3">
        <v>45107</v>
      </c>
      <c r="D12" t="s">
        <v>29</v>
      </c>
      <c r="E12" t="s">
        <v>46</v>
      </c>
      <c r="F12">
        <v>9</v>
      </c>
      <c r="G12" t="str">
        <f t="shared" si="0"/>
        <v>Regular Order</v>
      </c>
      <c r="H12">
        <v>53.41</v>
      </c>
      <c r="I12">
        <f t="shared" si="1"/>
        <v>480.68999999999994</v>
      </c>
      <c r="J12" t="s">
        <v>30</v>
      </c>
      <c r="K12" t="s">
        <v>69</v>
      </c>
      <c r="L12" t="s">
        <v>70</v>
      </c>
    </row>
    <row r="13" spans="1:15" x14ac:dyDescent="0.25">
      <c r="A13" t="s">
        <v>71</v>
      </c>
      <c r="B13" t="s">
        <v>72</v>
      </c>
      <c r="C13" s="3">
        <v>45295</v>
      </c>
      <c r="D13" t="s">
        <v>29</v>
      </c>
      <c r="E13" t="s">
        <v>46</v>
      </c>
      <c r="F13">
        <v>1</v>
      </c>
      <c r="G13" t="str">
        <f t="shared" si="0"/>
        <v>Regular Order</v>
      </c>
      <c r="H13">
        <v>135.16999999999999</v>
      </c>
      <c r="I13">
        <f t="shared" si="1"/>
        <v>135.16999999999999</v>
      </c>
      <c r="J13" t="s">
        <v>16</v>
      </c>
      <c r="K13" t="s">
        <v>55</v>
      </c>
      <c r="L13" t="s">
        <v>74</v>
      </c>
    </row>
    <row r="14" spans="1:15" x14ac:dyDescent="0.25">
      <c r="A14" t="s">
        <v>75</v>
      </c>
      <c r="B14" t="s">
        <v>76</v>
      </c>
      <c r="C14" s="3">
        <v>45218</v>
      </c>
      <c r="D14" t="s">
        <v>78</v>
      </c>
      <c r="E14" t="s">
        <v>46</v>
      </c>
      <c r="F14">
        <v>5</v>
      </c>
      <c r="G14" t="str">
        <f t="shared" si="0"/>
        <v>Regular Order</v>
      </c>
      <c r="H14">
        <f>IF(H7&lt;=0, AVERAGEIF($D:$D,D7,$H:$H),H7)</f>
        <v>910.91</v>
      </c>
      <c r="I14">
        <f t="shared" si="1"/>
        <v>4554.55</v>
      </c>
      <c r="J14" t="s">
        <v>35</v>
      </c>
      <c r="K14" t="s">
        <v>51</v>
      </c>
      <c r="L14" t="s">
        <v>79</v>
      </c>
    </row>
    <row r="15" spans="1:15" x14ac:dyDescent="0.25">
      <c r="A15" t="s">
        <v>80</v>
      </c>
      <c r="B15" t="s">
        <v>81</v>
      </c>
      <c r="C15" s="3">
        <v>45215</v>
      </c>
      <c r="D15" t="s">
        <v>29</v>
      </c>
      <c r="E15" t="s">
        <v>46</v>
      </c>
      <c r="F15">
        <v>2</v>
      </c>
      <c r="G15" t="str">
        <f t="shared" si="0"/>
        <v>Regular Order</v>
      </c>
      <c r="H15">
        <v>25.9</v>
      </c>
      <c r="I15">
        <f t="shared" si="1"/>
        <v>51.8</v>
      </c>
      <c r="J15" t="s">
        <v>16</v>
      </c>
      <c r="K15" t="s">
        <v>55</v>
      </c>
      <c r="L15" t="s">
        <v>84</v>
      </c>
    </row>
    <row r="16" spans="1:15" x14ac:dyDescent="0.25">
      <c r="A16" t="s">
        <v>85</v>
      </c>
      <c r="B16" t="s">
        <v>1399</v>
      </c>
      <c r="C16" s="3">
        <v>45430</v>
      </c>
      <c r="D16" t="s">
        <v>87</v>
      </c>
      <c r="E16" t="s">
        <v>15</v>
      </c>
      <c r="F16">
        <v>6</v>
      </c>
      <c r="G16" t="str">
        <f t="shared" si="0"/>
        <v>Regular Order</v>
      </c>
      <c r="H16">
        <v>813.8</v>
      </c>
      <c r="I16">
        <f t="shared" si="1"/>
        <v>4882.7999999999993</v>
      </c>
      <c r="J16" t="s">
        <v>30</v>
      </c>
      <c r="K16" t="s">
        <v>17</v>
      </c>
    </row>
    <row r="17" spans="1:12" x14ac:dyDescent="0.25">
      <c r="A17" t="s">
        <v>88</v>
      </c>
      <c r="B17" t="s">
        <v>89</v>
      </c>
      <c r="C17" s="3">
        <v>45085</v>
      </c>
      <c r="D17" t="s">
        <v>41</v>
      </c>
      <c r="E17" t="s">
        <v>15</v>
      </c>
      <c r="F17">
        <v>6</v>
      </c>
      <c r="G17" t="str">
        <f t="shared" si="0"/>
        <v>Regular Order</v>
      </c>
      <c r="H17">
        <v>49.33</v>
      </c>
      <c r="I17">
        <f t="shared" si="1"/>
        <v>295.98</v>
      </c>
      <c r="J17" t="s">
        <v>16</v>
      </c>
      <c r="L17" t="s">
        <v>93</v>
      </c>
    </row>
    <row r="18" spans="1:12" x14ac:dyDescent="0.25">
      <c r="A18" t="s">
        <v>94</v>
      </c>
      <c r="B18" t="s">
        <v>95</v>
      </c>
      <c r="C18" s="3">
        <v>45582</v>
      </c>
      <c r="D18" t="s">
        <v>87</v>
      </c>
      <c r="E18" t="s">
        <v>15</v>
      </c>
      <c r="F18">
        <v>7</v>
      </c>
      <c r="G18" t="str">
        <f t="shared" si="0"/>
        <v>Regular Order</v>
      </c>
      <c r="H18">
        <v>26.1</v>
      </c>
      <c r="I18">
        <f t="shared" si="1"/>
        <v>182.70000000000002</v>
      </c>
      <c r="J18" t="s">
        <v>16</v>
      </c>
      <c r="K18" t="s">
        <v>24</v>
      </c>
      <c r="L18" t="s">
        <v>97</v>
      </c>
    </row>
    <row r="19" spans="1:12" x14ac:dyDescent="0.25">
      <c r="A19" t="s">
        <v>98</v>
      </c>
      <c r="B19" t="s">
        <v>99</v>
      </c>
      <c r="D19" t="s">
        <v>101</v>
      </c>
      <c r="E19" t="s">
        <v>15</v>
      </c>
      <c r="F19">
        <v>8</v>
      </c>
      <c r="G19" t="str">
        <f t="shared" si="0"/>
        <v>Regular Order</v>
      </c>
      <c r="H19">
        <v>46.74</v>
      </c>
      <c r="I19">
        <f t="shared" si="1"/>
        <v>373.92</v>
      </c>
      <c r="J19" t="s">
        <v>102</v>
      </c>
      <c r="K19" t="s">
        <v>24</v>
      </c>
      <c r="L19" t="s">
        <v>103</v>
      </c>
    </row>
    <row r="20" spans="1:12" x14ac:dyDescent="0.25">
      <c r="A20" t="s">
        <v>104</v>
      </c>
      <c r="B20" t="s">
        <v>105</v>
      </c>
      <c r="C20" s="3">
        <v>45078</v>
      </c>
      <c r="D20" t="s">
        <v>41</v>
      </c>
      <c r="E20" t="s">
        <v>15</v>
      </c>
      <c r="F20">
        <v>8</v>
      </c>
      <c r="G20" t="str">
        <f t="shared" si="0"/>
        <v>Regular Order</v>
      </c>
      <c r="H20">
        <v>97.14</v>
      </c>
      <c r="I20">
        <f t="shared" si="1"/>
        <v>777.12</v>
      </c>
      <c r="J20" t="s">
        <v>102</v>
      </c>
      <c r="K20" t="s">
        <v>55</v>
      </c>
      <c r="L20" t="s">
        <v>107</v>
      </c>
    </row>
    <row r="21" spans="1:12" x14ac:dyDescent="0.25">
      <c r="A21" t="s">
        <v>108</v>
      </c>
      <c r="B21" t="s">
        <v>109</v>
      </c>
      <c r="C21" s="3">
        <v>45200</v>
      </c>
      <c r="D21" t="s">
        <v>101</v>
      </c>
      <c r="E21" t="s">
        <v>15</v>
      </c>
      <c r="F21">
        <v>8</v>
      </c>
      <c r="G21" t="str">
        <f t="shared" si="0"/>
        <v>Regular Order</v>
      </c>
      <c r="H21">
        <v>91.53</v>
      </c>
      <c r="I21">
        <f t="shared" si="1"/>
        <v>732.24</v>
      </c>
      <c r="J21" t="s">
        <v>102</v>
      </c>
      <c r="K21" t="s">
        <v>69</v>
      </c>
      <c r="L21" t="s">
        <v>111</v>
      </c>
    </row>
    <row r="22" spans="1:12" x14ac:dyDescent="0.25">
      <c r="A22" t="s">
        <v>112</v>
      </c>
      <c r="B22" t="s">
        <v>113</v>
      </c>
      <c r="C22" s="3">
        <v>45582</v>
      </c>
      <c r="D22" t="s">
        <v>22</v>
      </c>
      <c r="E22" t="s">
        <v>23</v>
      </c>
      <c r="F22">
        <v>6</v>
      </c>
      <c r="G22" t="str">
        <f t="shared" si="0"/>
        <v>Regular Order</v>
      </c>
      <c r="H22">
        <v>49.86</v>
      </c>
      <c r="I22">
        <f t="shared" si="1"/>
        <v>299.15999999999997</v>
      </c>
      <c r="J22" t="s">
        <v>35</v>
      </c>
      <c r="K22" t="s">
        <v>55</v>
      </c>
      <c r="L22" t="s">
        <v>114</v>
      </c>
    </row>
    <row r="23" spans="1:12" x14ac:dyDescent="0.25">
      <c r="A23" t="s">
        <v>115</v>
      </c>
      <c r="B23" t="s">
        <v>116</v>
      </c>
      <c r="C23" s="3">
        <v>45328</v>
      </c>
      <c r="D23" t="s">
        <v>78</v>
      </c>
      <c r="E23" t="s">
        <v>46</v>
      </c>
      <c r="F23">
        <v>5</v>
      </c>
      <c r="G23" t="str">
        <f t="shared" si="0"/>
        <v>Regular Order</v>
      </c>
      <c r="H23">
        <v>986.85</v>
      </c>
      <c r="I23">
        <f t="shared" si="1"/>
        <v>4934.25</v>
      </c>
      <c r="J23" t="s">
        <v>30</v>
      </c>
      <c r="K23" t="s">
        <v>69</v>
      </c>
      <c r="L23" t="s">
        <v>118</v>
      </c>
    </row>
    <row r="24" spans="1:12" x14ac:dyDescent="0.25">
      <c r="A24" t="s">
        <v>119</v>
      </c>
      <c r="B24" t="s">
        <v>120</v>
      </c>
      <c r="C24" s="3">
        <v>45528</v>
      </c>
      <c r="D24" t="s">
        <v>87</v>
      </c>
      <c r="E24" t="s">
        <v>15</v>
      </c>
      <c r="F24">
        <v>3</v>
      </c>
      <c r="G24" t="str">
        <f t="shared" si="0"/>
        <v>Regular Order</v>
      </c>
      <c r="H24">
        <v>24.88</v>
      </c>
      <c r="I24">
        <f t="shared" si="1"/>
        <v>74.64</v>
      </c>
      <c r="J24" t="s">
        <v>102</v>
      </c>
      <c r="K24" t="s">
        <v>24</v>
      </c>
      <c r="L24" t="s">
        <v>122</v>
      </c>
    </row>
    <row r="25" spans="1:12" x14ac:dyDescent="0.25">
      <c r="A25" t="s">
        <v>123</v>
      </c>
      <c r="B25" t="s">
        <v>124</v>
      </c>
      <c r="C25" s="3">
        <v>45378</v>
      </c>
      <c r="D25" t="s">
        <v>87</v>
      </c>
      <c r="E25" t="s">
        <v>15</v>
      </c>
      <c r="F25">
        <v>7</v>
      </c>
      <c r="G25" t="str">
        <f t="shared" si="0"/>
        <v>Regular Order</v>
      </c>
      <c r="H25">
        <v>93.08</v>
      </c>
      <c r="I25">
        <f t="shared" si="1"/>
        <v>651.55999999999995</v>
      </c>
      <c r="J25" t="s">
        <v>30</v>
      </c>
      <c r="K25" t="s">
        <v>51</v>
      </c>
      <c r="L25" t="s">
        <v>127</v>
      </c>
    </row>
    <row r="26" spans="1:12" x14ac:dyDescent="0.25">
      <c r="A26" t="s">
        <v>128</v>
      </c>
      <c r="B26" t="s">
        <v>129</v>
      </c>
      <c r="C26" s="3">
        <v>45521</v>
      </c>
      <c r="D26" t="s">
        <v>101</v>
      </c>
      <c r="E26" t="s">
        <v>15</v>
      </c>
      <c r="F26">
        <v>1</v>
      </c>
      <c r="G26" t="str">
        <f t="shared" si="0"/>
        <v>Regular Order</v>
      </c>
      <c r="H26">
        <v>151.24</v>
      </c>
      <c r="I26">
        <f t="shared" si="1"/>
        <v>151.24</v>
      </c>
      <c r="J26" t="s">
        <v>30</v>
      </c>
      <c r="K26" t="s">
        <v>69</v>
      </c>
      <c r="L26" t="s">
        <v>131</v>
      </c>
    </row>
    <row r="27" spans="1:12" x14ac:dyDescent="0.25">
      <c r="A27" t="s">
        <v>132</v>
      </c>
      <c r="B27" t="s">
        <v>133</v>
      </c>
      <c r="D27" t="s">
        <v>41</v>
      </c>
      <c r="E27" t="s">
        <v>15</v>
      </c>
      <c r="F27">
        <v>8</v>
      </c>
      <c r="G27" t="str">
        <f t="shared" si="0"/>
        <v>Regular Order</v>
      </c>
      <c r="H27">
        <v>52.42</v>
      </c>
      <c r="I27">
        <f t="shared" si="1"/>
        <v>419.36</v>
      </c>
      <c r="J27" t="s">
        <v>16</v>
      </c>
      <c r="K27" t="s">
        <v>51</v>
      </c>
      <c r="L27" t="s">
        <v>134</v>
      </c>
    </row>
    <row r="28" spans="1:12" x14ac:dyDescent="0.25">
      <c r="A28" t="s">
        <v>135</v>
      </c>
      <c r="B28" t="s">
        <v>136</v>
      </c>
      <c r="C28" s="3">
        <v>45214</v>
      </c>
      <c r="D28" t="s">
        <v>147</v>
      </c>
      <c r="E28" t="s">
        <v>46</v>
      </c>
      <c r="F28">
        <v>2</v>
      </c>
      <c r="G28" t="str">
        <f t="shared" si="0"/>
        <v>Regular Order</v>
      </c>
      <c r="H28">
        <v>46.145416666666655</v>
      </c>
      <c r="I28">
        <f t="shared" si="1"/>
        <v>92.29083333333331</v>
      </c>
      <c r="J28" t="s">
        <v>30</v>
      </c>
      <c r="K28" t="s">
        <v>24</v>
      </c>
      <c r="L28" t="s">
        <v>139</v>
      </c>
    </row>
    <row r="29" spans="1:12" x14ac:dyDescent="0.25">
      <c r="A29" t="s">
        <v>140</v>
      </c>
      <c r="B29" t="s">
        <v>141</v>
      </c>
      <c r="C29" s="3">
        <v>45384</v>
      </c>
      <c r="D29" t="s">
        <v>78</v>
      </c>
      <c r="E29" t="s">
        <v>46</v>
      </c>
      <c r="F29">
        <v>8</v>
      </c>
      <c r="G29" t="str">
        <f t="shared" si="0"/>
        <v>Regular Order</v>
      </c>
      <c r="H29">
        <v>53.76</v>
      </c>
      <c r="I29">
        <f t="shared" si="1"/>
        <v>430.08</v>
      </c>
      <c r="J29" t="s">
        <v>102</v>
      </c>
      <c r="K29" t="s">
        <v>69</v>
      </c>
      <c r="L29" t="s">
        <v>143</v>
      </c>
    </row>
    <row r="30" spans="1:12" x14ac:dyDescent="0.25">
      <c r="A30" t="s">
        <v>144</v>
      </c>
      <c r="B30" t="s">
        <v>145</v>
      </c>
      <c r="C30" s="3">
        <v>45212</v>
      </c>
      <c r="D30" t="s">
        <v>147</v>
      </c>
      <c r="E30" t="s">
        <v>46</v>
      </c>
      <c r="F30">
        <v>8</v>
      </c>
      <c r="G30" t="str">
        <f t="shared" si="0"/>
        <v>Regular Order</v>
      </c>
      <c r="H30">
        <v>27.68</v>
      </c>
      <c r="I30">
        <f t="shared" si="1"/>
        <v>221.44</v>
      </c>
      <c r="J30" t="s">
        <v>35</v>
      </c>
      <c r="K30" t="s">
        <v>69</v>
      </c>
      <c r="L30" t="s">
        <v>149</v>
      </c>
    </row>
    <row r="31" spans="1:12" x14ac:dyDescent="0.25">
      <c r="A31" t="s">
        <v>150</v>
      </c>
      <c r="B31" t="s">
        <v>136</v>
      </c>
      <c r="C31" s="3">
        <v>45235</v>
      </c>
      <c r="D31" t="s">
        <v>41</v>
      </c>
      <c r="E31" t="s">
        <v>15</v>
      </c>
      <c r="F31">
        <v>5</v>
      </c>
      <c r="G31" t="str">
        <f t="shared" si="0"/>
        <v>Regular Order</v>
      </c>
      <c r="H31">
        <v>72.150000000000006</v>
      </c>
      <c r="I31">
        <f t="shared" si="1"/>
        <v>360.75</v>
      </c>
      <c r="J31" t="s">
        <v>30</v>
      </c>
      <c r="K31" t="s">
        <v>24</v>
      </c>
      <c r="L31" t="s">
        <v>139</v>
      </c>
    </row>
    <row r="32" spans="1:12" x14ac:dyDescent="0.25">
      <c r="A32" t="s">
        <v>152</v>
      </c>
      <c r="B32" t="s">
        <v>153</v>
      </c>
      <c r="C32" s="3">
        <v>45021</v>
      </c>
      <c r="D32" t="s">
        <v>101</v>
      </c>
      <c r="E32" t="s">
        <v>15</v>
      </c>
      <c r="F32">
        <v>1</v>
      </c>
      <c r="G32" t="str">
        <f t="shared" si="0"/>
        <v>Regular Order</v>
      </c>
      <c r="H32">
        <v>23.972407407407403</v>
      </c>
      <c r="I32">
        <f t="shared" si="1"/>
        <v>23.972407407407403</v>
      </c>
      <c r="J32" t="s">
        <v>16</v>
      </c>
      <c r="K32" t="s">
        <v>51</v>
      </c>
      <c r="L32" t="s">
        <v>156</v>
      </c>
    </row>
    <row r="33" spans="1:12" x14ac:dyDescent="0.25">
      <c r="A33" t="s">
        <v>157</v>
      </c>
      <c r="B33" t="s">
        <v>158</v>
      </c>
      <c r="C33" s="3">
        <v>45483</v>
      </c>
      <c r="D33" t="s">
        <v>29</v>
      </c>
      <c r="E33" t="s">
        <v>46</v>
      </c>
      <c r="F33">
        <v>8</v>
      </c>
      <c r="G33" t="str">
        <f t="shared" si="0"/>
        <v>Regular Order</v>
      </c>
      <c r="H33">
        <v>140.5</v>
      </c>
      <c r="I33">
        <f t="shared" si="1"/>
        <v>1124</v>
      </c>
      <c r="J33" t="s">
        <v>16</v>
      </c>
      <c r="K33" t="s">
        <v>51</v>
      </c>
      <c r="L33" t="s">
        <v>160</v>
      </c>
    </row>
    <row r="34" spans="1:12" x14ac:dyDescent="0.25">
      <c r="A34" t="s">
        <v>161</v>
      </c>
      <c r="B34" t="s">
        <v>162</v>
      </c>
      <c r="C34" s="3">
        <v>45364</v>
      </c>
      <c r="D34" t="s">
        <v>101</v>
      </c>
      <c r="E34" t="s">
        <v>15</v>
      </c>
      <c r="F34">
        <v>7</v>
      </c>
      <c r="G34" t="str">
        <f t="shared" si="0"/>
        <v>Regular Order</v>
      </c>
      <c r="H34">
        <v>77.45</v>
      </c>
      <c r="I34">
        <f t="shared" si="1"/>
        <v>542.15</v>
      </c>
      <c r="J34" t="s">
        <v>30</v>
      </c>
      <c r="K34" t="s">
        <v>24</v>
      </c>
      <c r="L34" t="s">
        <v>165</v>
      </c>
    </row>
    <row r="35" spans="1:12" x14ac:dyDescent="0.25">
      <c r="A35" t="s">
        <v>166</v>
      </c>
      <c r="B35" t="s">
        <v>167</v>
      </c>
      <c r="C35" s="3">
        <v>45629</v>
      </c>
      <c r="D35" t="s">
        <v>78</v>
      </c>
      <c r="E35" t="s">
        <v>46</v>
      </c>
      <c r="F35">
        <v>5</v>
      </c>
      <c r="G35" t="str">
        <f t="shared" si="0"/>
        <v>Regular Order</v>
      </c>
      <c r="I35">
        <v>267.04999999999995</v>
      </c>
      <c r="J35" t="s">
        <v>102</v>
      </c>
      <c r="K35" t="s">
        <v>51</v>
      </c>
      <c r="L35" t="s">
        <v>169</v>
      </c>
    </row>
    <row r="36" spans="1:12" x14ac:dyDescent="0.25">
      <c r="A36" t="s">
        <v>170</v>
      </c>
      <c r="B36" t="s">
        <v>171</v>
      </c>
      <c r="D36" t="s">
        <v>29</v>
      </c>
      <c r="E36" t="s">
        <v>46</v>
      </c>
      <c r="F36">
        <v>3</v>
      </c>
      <c r="G36" t="str">
        <f t="shared" si="0"/>
        <v>Regular Order</v>
      </c>
      <c r="H36">
        <f>IF(H29&lt;=0, AVERAGEIF($D:$D,D29,$H:$H),H29)</f>
        <v>53.76</v>
      </c>
      <c r="I36">
        <f>F36*H36</f>
        <v>161.28</v>
      </c>
      <c r="J36" t="s">
        <v>16</v>
      </c>
      <c r="K36" t="s">
        <v>24</v>
      </c>
      <c r="L36" t="s">
        <v>172</v>
      </c>
    </row>
    <row r="37" spans="1:12" x14ac:dyDescent="0.25">
      <c r="A37" t="s">
        <v>173</v>
      </c>
      <c r="B37" t="s">
        <v>174</v>
      </c>
      <c r="C37" s="3">
        <v>45056</v>
      </c>
      <c r="D37" t="s">
        <v>147</v>
      </c>
      <c r="E37" t="s">
        <v>46</v>
      </c>
      <c r="F37">
        <v>2</v>
      </c>
      <c r="G37" t="str">
        <f t="shared" si="0"/>
        <v>Regular Order</v>
      </c>
      <c r="H37">
        <v>287.94</v>
      </c>
      <c r="I37">
        <v>187.8</v>
      </c>
      <c r="J37" t="s">
        <v>16</v>
      </c>
      <c r="K37" t="s">
        <v>55</v>
      </c>
      <c r="L37" t="s">
        <v>176</v>
      </c>
    </row>
    <row r="38" spans="1:12" x14ac:dyDescent="0.25">
      <c r="A38" t="s">
        <v>177</v>
      </c>
      <c r="B38" t="s">
        <v>178</v>
      </c>
      <c r="C38" s="3">
        <v>45437</v>
      </c>
      <c r="D38" t="s">
        <v>101</v>
      </c>
      <c r="E38" t="s">
        <v>15</v>
      </c>
      <c r="F38">
        <v>1</v>
      </c>
      <c r="G38" t="str">
        <f t="shared" si="0"/>
        <v>Regular Order</v>
      </c>
      <c r="H38">
        <v>25.5</v>
      </c>
      <c r="I38">
        <v>675.84999999999991</v>
      </c>
      <c r="J38" t="s">
        <v>16</v>
      </c>
      <c r="K38" t="s">
        <v>17</v>
      </c>
      <c r="L38" t="s">
        <v>180</v>
      </c>
    </row>
    <row r="39" spans="1:12" x14ac:dyDescent="0.25">
      <c r="A39" t="s">
        <v>181</v>
      </c>
      <c r="B39" t="s">
        <v>182</v>
      </c>
      <c r="C39" s="3">
        <v>45652</v>
      </c>
      <c r="D39" t="s">
        <v>1396</v>
      </c>
      <c r="E39" t="s">
        <v>185</v>
      </c>
      <c r="F39">
        <v>1</v>
      </c>
      <c r="G39" t="str">
        <f t="shared" si="0"/>
        <v>Regular Order</v>
      </c>
      <c r="H39">
        <v>49.6</v>
      </c>
      <c r="I39">
        <v>767.65</v>
      </c>
      <c r="J39" t="s">
        <v>16</v>
      </c>
      <c r="K39" t="s">
        <v>17</v>
      </c>
      <c r="L39" t="s">
        <v>186</v>
      </c>
    </row>
    <row r="40" spans="1:12" x14ac:dyDescent="0.25">
      <c r="A40" t="s">
        <v>187</v>
      </c>
      <c r="B40" t="s">
        <v>188</v>
      </c>
      <c r="C40" s="3">
        <v>45243</v>
      </c>
      <c r="D40" t="s">
        <v>78</v>
      </c>
      <c r="E40" t="s">
        <v>46</v>
      </c>
      <c r="F40">
        <v>5</v>
      </c>
      <c r="G40" t="str">
        <f t="shared" si="0"/>
        <v>Regular Order</v>
      </c>
      <c r="H40">
        <v>85.01</v>
      </c>
      <c r="I40">
        <v>2417.04</v>
      </c>
      <c r="J40" t="s">
        <v>102</v>
      </c>
      <c r="K40" t="s">
        <v>24</v>
      </c>
      <c r="L40" t="s">
        <v>191</v>
      </c>
    </row>
    <row r="41" spans="1:12" x14ac:dyDescent="0.25">
      <c r="A41" t="s">
        <v>192</v>
      </c>
      <c r="B41" t="s">
        <v>193</v>
      </c>
      <c r="C41" s="3">
        <v>44938</v>
      </c>
      <c r="D41" t="s">
        <v>29</v>
      </c>
      <c r="E41" t="s">
        <v>46</v>
      </c>
      <c r="F41">
        <v>5</v>
      </c>
      <c r="G41" t="str">
        <f t="shared" si="0"/>
        <v>Regular Order</v>
      </c>
      <c r="H41">
        <v>930.87</v>
      </c>
      <c r="I41">
        <f>F41*H41</f>
        <v>4654.3500000000004</v>
      </c>
      <c r="J41" t="s">
        <v>30</v>
      </c>
      <c r="K41" t="s">
        <v>55</v>
      </c>
      <c r="L41" t="s">
        <v>196</v>
      </c>
    </row>
    <row r="42" spans="1:12" x14ac:dyDescent="0.25">
      <c r="A42" t="s">
        <v>197</v>
      </c>
      <c r="B42" t="s">
        <v>44</v>
      </c>
      <c r="C42" s="3">
        <v>45324</v>
      </c>
      <c r="D42" t="s">
        <v>22</v>
      </c>
      <c r="E42" t="s">
        <v>23</v>
      </c>
      <c r="F42">
        <v>2</v>
      </c>
      <c r="G42" t="str">
        <f t="shared" si="0"/>
        <v>Regular Order</v>
      </c>
      <c r="H42">
        <v>156.93</v>
      </c>
      <c r="I42">
        <v>1631.5</v>
      </c>
      <c r="J42" t="s">
        <v>35</v>
      </c>
      <c r="K42" t="s">
        <v>69</v>
      </c>
      <c r="L42" t="s">
        <v>47</v>
      </c>
    </row>
    <row r="43" spans="1:12" x14ac:dyDescent="0.25">
      <c r="A43" t="s">
        <v>199</v>
      </c>
      <c r="B43" t="s">
        <v>200</v>
      </c>
      <c r="C43" s="3">
        <v>45354</v>
      </c>
      <c r="D43" t="s">
        <v>29</v>
      </c>
      <c r="E43" t="s">
        <v>46</v>
      </c>
      <c r="F43">
        <v>8</v>
      </c>
      <c r="G43" t="str">
        <f t="shared" si="0"/>
        <v>Regular Order</v>
      </c>
      <c r="H43">
        <v>956.66</v>
      </c>
      <c r="I43">
        <f>F43*H43</f>
        <v>7653.28</v>
      </c>
      <c r="J43" t="s">
        <v>30</v>
      </c>
      <c r="K43" t="s">
        <v>24</v>
      </c>
      <c r="L43" t="s">
        <v>202</v>
      </c>
    </row>
    <row r="44" spans="1:12" x14ac:dyDescent="0.25">
      <c r="A44" t="s">
        <v>203</v>
      </c>
      <c r="B44" t="s">
        <v>204</v>
      </c>
      <c r="C44" s="3">
        <v>45348</v>
      </c>
      <c r="D44" t="s">
        <v>147</v>
      </c>
      <c r="E44" t="s">
        <v>46</v>
      </c>
      <c r="F44">
        <v>4</v>
      </c>
      <c r="G44" t="str">
        <f t="shared" si="0"/>
        <v>Regular Order</v>
      </c>
      <c r="H44">
        <v>324.26</v>
      </c>
      <c r="I44">
        <v>195.52</v>
      </c>
      <c r="J44" t="s">
        <v>102</v>
      </c>
      <c r="K44" t="s">
        <v>69</v>
      </c>
      <c r="L44" t="s">
        <v>206</v>
      </c>
    </row>
    <row r="45" spans="1:12" x14ac:dyDescent="0.25">
      <c r="A45" t="s">
        <v>207</v>
      </c>
      <c r="B45" t="s">
        <v>208</v>
      </c>
      <c r="C45" s="3">
        <v>45246</v>
      </c>
      <c r="D45" t="s">
        <v>78</v>
      </c>
      <c r="E45" t="s">
        <v>46</v>
      </c>
      <c r="F45">
        <v>1</v>
      </c>
      <c r="G45" t="str">
        <f t="shared" si="0"/>
        <v>Regular Order</v>
      </c>
      <c r="H45">
        <v>95.83</v>
      </c>
      <c r="I45">
        <v>129.5</v>
      </c>
      <c r="J45" t="s">
        <v>30</v>
      </c>
      <c r="K45" t="s">
        <v>69</v>
      </c>
      <c r="L45" t="s">
        <v>210</v>
      </c>
    </row>
    <row r="46" spans="1:12" x14ac:dyDescent="0.25">
      <c r="A46" t="s">
        <v>211</v>
      </c>
      <c r="B46" t="s">
        <v>212</v>
      </c>
      <c r="C46" s="3">
        <v>45573</v>
      </c>
      <c r="D46" t="s">
        <v>1396</v>
      </c>
      <c r="E46" t="s">
        <v>185</v>
      </c>
      <c r="F46">
        <v>4</v>
      </c>
      <c r="G46" t="str">
        <f t="shared" si="0"/>
        <v>Regular Order</v>
      </c>
      <c r="H46">
        <v>53.41</v>
      </c>
      <c r="I46">
        <v>347.28</v>
      </c>
      <c r="J46" t="s">
        <v>102</v>
      </c>
      <c r="K46" t="s">
        <v>17</v>
      </c>
      <c r="L46" t="s">
        <v>215</v>
      </c>
    </row>
    <row r="47" spans="1:12" x14ac:dyDescent="0.25">
      <c r="A47" t="s">
        <v>216</v>
      </c>
      <c r="B47" t="s">
        <v>217</v>
      </c>
      <c r="C47" s="3">
        <v>44956</v>
      </c>
      <c r="D47" t="s">
        <v>78</v>
      </c>
      <c r="E47" t="s">
        <v>46</v>
      </c>
      <c r="F47">
        <v>2</v>
      </c>
      <c r="G47" t="str">
        <f t="shared" si="0"/>
        <v>Regular Order</v>
      </c>
      <c r="H47">
        <v>97.69</v>
      </c>
      <c r="I47">
        <v>1985.48</v>
      </c>
      <c r="J47" t="s">
        <v>16</v>
      </c>
      <c r="K47" t="s">
        <v>17</v>
      </c>
      <c r="L47" t="s">
        <v>219</v>
      </c>
    </row>
    <row r="48" spans="1:12" x14ac:dyDescent="0.25">
      <c r="A48" t="s">
        <v>220</v>
      </c>
      <c r="B48" t="s">
        <v>221</v>
      </c>
      <c r="C48" s="3">
        <v>45504</v>
      </c>
      <c r="D48" t="s">
        <v>22</v>
      </c>
      <c r="E48" t="s">
        <v>23</v>
      </c>
      <c r="F48">
        <v>9</v>
      </c>
      <c r="G48" t="str">
        <f t="shared" si="0"/>
        <v>Regular Order</v>
      </c>
      <c r="H48">
        <v>150.9</v>
      </c>
      <c r="I48">
        <v>3895.4</v>
      </c>
      <c r="J48" t="s">
        <v>16</v>
      </c>
      <c r="K48" t="s">
        <v>55</v>
      </c>
      <c r="L48" t="s">
        <v>223</v>
      </c>
    </row>
    <row r="49" spans="1:12" x14ac:dyDescent="0.25">
      <c r="A49" t="s">
        <v>224</v>
      </c>
      <c r="B49" t="s">
        <v>225</v>
      </c>
      <c r="C49" s="3">
        <v>45436</v>
      </c>
      <c r="D49" t="s">
        <v>78</v>
      </c>
      <c r="E49" t="s">
        <v>46</v>
      </c>
      <c r="F49">
        <v>7</v>
      </c>
      <c r="G49" t="str">
        <f t="shared" si="0"/>
        <v>Regular Order</v>
      </c>
      <c r="H49">
        <v>98.37</v>
      </c>
      <c r="I49">
        <v>250.25</v>
      </c>
      <c r="J49" t="s">
        <v>30</v>
      </c>
      <c r="K49" t="s">
        <v>69</v>
      </c>
      <c r="L49" t="s">
        <v>227</v>
      </c>
    </row>
    <row r="50" spans="1:12" x14ac:dyDescent="0.25">
      <c r="A50" t="s">
        <v>228</v>
      </c>
      <c r="B50" t="s">
        <v>229</v>
      </c>
      <c r="D50" t="s">
        <v>41</v>
      </c>
      <c r="E50" t="s">
        <v>15</v>
      </c>
      <c r="F50">
        <v>3</v>
      </c>
      <c r="G50" t="str">
        <f t="shared" si="0"/>
        <v>Regular Order</v>
      </c>
      <c r="H50">
        <v>85.42</v>
      </c>
      <c r="I50">
        <v>380.17</v>
      </c>
      <c r="J50" t="s">
        <v>16</v>
      </c>
      <c r="K50" t="s">
        <v>55</v>
      </c>
      <c r="L50" t="s">
        <v>231</v>
      </c>
    </row>
    <row r="51" spans="1:12" x14ac:dyDescent="0.25">
      <c r="A51" t="s">
        <v>232</v>
      </c>
      <c r="B51" t="s">
        <v>233</v>
      </c>
      <c r="C51" s="3">
        <v>45398</v>
      </c>
      <c r="D51" t="s">
        <v>87</v>
      </c>
      <c r="E51" t="s">
        <v>15</v>
      </c>
      <c r="F51">
        <v>8</v>
      </c>
      <c r="G51" t="str">
        <f t="shared" si="0"/>
        <v>Regular Order</v>
      </c>
      <c r="H51">
        <v>45.15</v>
      </c>
      <c r="I51">
        <v>1014.8599999999999</v>
      </c>
      <c r="J51" t="s">
        <v>30</v>
      </c>
      <c r="K51" t="s">
        <v>51</v>
      </c>
      <c r="L51" t="s">
        <v>235</v>
      </c>
    </row>
    <row r="52" spans="1:12" x14ac:dyDescent="0.25">
      <c r="A52" t="s">
        <v>236</v>
      </c>
      <c r="B52" t="s">
        <v>237</v>
      </c>
      <c r="C52" s="3">
        <v>45074</v>
      </c>
      <c r="D52" t="s">
        <v>22</v>
      </c>
      <c r="E52" t="s">
        <v>23</v>
      </c>
      <c r="F52">
        <v>4</v>
      </c>
      <c r="G52" t="str">
        <f t="shared" si="0"/>
        <v>Regular Order</v>
      </c>
      <c r="H52">
        <v>135.16999999999999</v>
      </c>
      <c r="I52">
        <v>28.09</v>
      </c>
      <c r="J52" t="s">
        <v>239</v>
      </c>
      <c r="K52" t="s">
        <v>55</v>
      </c>
      <c r="L52" t="s">
        <v>240</v>
      </c>
    </row>
    <row r="53" spans="1:12" x14ac:dyDescent="0.25">
      <c r="A53" t="s">
        <v>241</v>
      </c>
      <c r="B53" t="s">
        <v>242</v>
      </c>
      <c r="C53" s="3">
        <v>45080</v>
      </c>
      <c r="D53" t="s">
        <v>29</v>
      </c>
      <c r="E53" t="s">
        <v>46</v>
      </c>
      <c r="F53">
        <v>5</v>
      </c>
      <c r="G53" t="str">
        <f t="shared" si="0"/>
        <v>Regular Order</v>
      </c>
      <c r="H53">
        <f>IF(H46&lt;=0, AVERAGEIF($D:$D,D46,$H:$H),H46)</f>
        <v>53.41</v>
      </c>
      <c r="I53">
        <f>F53*H53</f>
        <v>267.04999999999995</v>
      </c>
      <c r="J53" t="s">
        <v>30</v>
      </c>
      <c r="K53" t="s">
        <v>55</v>
      </c>
      <c r="L53" t="s">
        <v>244</v>
      </c>
    </row>
    <row r="54" spans="1:12" x14ac:dyDescent="0.25">
      <c r="A54" t="s">
        <v>245</v>
      </c>
      <c r="B54" t="s">
        <v>20</v>
      </c>
      <c r="C54" s="3">
        <v>45024</v>
      </c>
      <c r="D54" t="s">
        <v>101</v>
      </c>
      <c r="E54" t="s">
        <v>15</v>
      </c>
      <c r="F54">
        <v>5</v>
      </c>
      <c r="G54" t="str">
        <f t="shared" si="0"/>
        <v>Regular Order</v>
      </c>
      <c r="H54">
        <v>25.96</v>
      </c>
      <c r="I54">
        <v>4464.1500000000005</v>
      </c>
      <c r="J54" t="s">
        <v>16</v>
      </c>
      <c r="K54" t="s">
        <v>17</v>
      </c>
      <c r="L54" t="s">
        <v>25</v>
      </c>
    </row>
    <row r="55" spans="1:12" x14ac:dyDescent="0.25">
      <c r="A55" t="s">
        <v>247</v>
      </c>
      <c r="B55" t="s">
        <v>248</v>
      </c>
      <c r="C55" s="3">
        <v>45192</v>
      </c>
      <c r="D55" t="s">
        <v>29</v>
      </c>
      <c r="E55" t="s">
        <v>46</v>
      </c>
      <c r="F55">
        <v>3</v>
      </c>
      <c r="G55" t="str">
        <f t="shared" si="0"/>
        <v>Regular Order</v>
      </c>
      <c r="H55">
        <v>822.26</v>
      </c>
      <c r="I55">
        <f t="shared" ref="I55:I56" si="2">F55*H55</f>
        <v>2466.7799999999997</v>
      </c>
      <c r="J55" t="s">
        <v>30</v>
      </c>
      <c r="K55" t="s">
        <v>55</v>
      </c>
      <c r="L55" t="s">
        <v>250</v>
      </c>
    </row>
    <row r="56" spans="1:12" x14ac:dyDescent="0.25">
      <c r="A56" t="s">
        <v>251</v>
      </c>
      <c r="B56" t="s">
        <v>1399</v>
      </c>
      <c r="C56" s="3">
        <v>45488</v>
      </c>
      <c r="D56" t="s">
        <v>87</v>
      </c>
      <c r="E56" t="s">
        <v>15</v>
      </c>
      <c r="F56">
        <v>4</v>
      </c>
      <c r="G56" t="str">
        <f t="shared" si="0"/>
        <v>Regular Order</v>
      </c>
      <c r="H56">
        <v>46.95</v>
      </c>
      <c r="I56">
        <f t="shared" si="2"/>
        <v>187.8</v>
      </c>
      <c r="J56" t="s">
        <v>30</v>
      </c>
      <c r="K56" t="s">
        <v>24</v>
      </c>
    </row>
    <row r="57" spans="1:12" x14ac:dyDescent="0.25">
      <c r="A57" t="s">
        <v>253</v>
      </c>
      <c r="B57" t="s">
        <v>129</v>
      </c>
      <c r="C57" s="3">
        <v>45194</v>
      </c>
      <c r="D57" t="s">
        <v>22</v>
      </c>
      <c r="E57" t="s">
        <v>23</v>
      </c>
      <c r="F57">
        <v>2</v>
      </c>
      <c r="G57" t="str">
        <f t="shared" si="0"/>
        <v>Regular Order</v>
      </c>
      <c r="H57">
        <v>143.22999999999999</v>
      </c>
      <c r="I57">
        <v>259.34999999999997</v>
      </c>
      <c r="J57" t="s">
        <v>30</v>
      </c>
      <c r="K57" t="s">
        <v>69</v>
      </c>
      <c r="L57" t="s">
        <v>131</v>
      </c>
    </row>
    <row r="58" spans="1:12" x14ac:dyDescent="0.25">
      <c r="A58" t="s">
        <v>255</v>
      </c>
      <c r="B58" t="s">
        <v>256</v>
      </c>
      <c r="C58" s="3">
        <v>45505</v>
      </c>
      <c r="D58" t="s">
        <v>1396</v>
      </c>
      <c r="E58" t="s">
        <v>185</v>
      </c>
      <c r="F58">
        <v>5</v>
      </c>
      <c r="G58" t="str">
        <f t="shared" si="0"/>
        <v>Regular Order</v>
      </c>
      <c r="H58">
        <v>47.15</v>
      </c>
      <c r="I58">
        <v>1980.23</v>
      </c>
      <c r="J58" t="s">
        <v>30</v>
      </c>
      <c r="L58" t="s">
        <v>258</v>
      </c>
    </row>
    <row r="59" spans="1:12" x14ac:dyDescent="0.25">
      <c r="A59" t="s">
        <v>259</v>
      </c>
      <c r="B59" t="s">
        <v>260</v>
      </c>
      <c r="C59" s="3">
        <v>45277</v>
      </c>
      <c r="D59" t="s">
        <v>1396</v>
      </c>
      <c r="E59" t="s">
        <v>185</v>
      </c>
      <c r="F59">
        <v>5</v>
      </c>
      <c r="G59" t="str">
        <f t="shared" si="0"/>
        <v>Regular Order</v>
      </c>
      <c r="H59">
        <f>IF(H52&lt;=0, AVERAGEIF($D:$D,D52,$H:$H),H52)</f>
        <v>135.16999999999999</v>
      </c>
      <c r="I59">
        <f>F59*H59</f>
        <v>675.84999999999991</v>
      </c>
      <c r="J59" t="s">
        <v>35</v>
      </c>
      <c r="K59" t="s">
        <v>17</v>
      </c>
      <c r="L59" t="s">
        <v>263</v>
      </c>
    </row>
    <row r="60" spans="1:12" x14ac:dyDescent="0.25">
      <c r="A60" t="s">
        <v>264</v>
      </c>
      <c r="B60" t="s">
        <v>265</v>
      </c>
      <c r="C60" s="3">
        <v>44934</v>
      </c>
      <c r="D60" t="s">
        <v>1396</v>
      </c>
      <c r="E60" t="s">
        <v>185</v>
      </c>
      <c r="F60">
        <v>1</v>
      </c>
      <c r="G60" t="str">
        <f t="shared" si="0"/>
        <v>Regular Order</v>
      </c>
      <c r="H60">
        <v>48.16</v>
      </c>
      <c r="I60">
        <v>1811.6999999999998</v>
      </c>
      <c r="J60" t="s">
        <v>35</v>
      </c>
      <c r="K60" t="s">
        <v>69</v>
      </c>
      <c r="L60" t="s">
        <v>267</v>
      </c>
    </row>
    <row r="61" spans="1:12" x14ac:dyDescent="0.25">
      <c r="A61" t="s">
        <v>268</v>
      </c>
      <c r="B61" t="s">
        <v>269</v>
      </c>
      <c r="C61" s="3">
        <v>45141</v>
      </c>
      <c r="D61" t="s">
        <v>147</v>
      </c>
      <c r="E61" t="s">
        <v>46</v>
      </c>
      <c r="F61">
        <v>8</v>
      </c>
      <c r="G61" t="str">
        <f t="shared" si="0"/>
        <v>Regular Order</v>
      </c>
      <c r="H61">
        <v>320.92</v>
      </c>
      <c r="I61">
        <v>230.39999999999998</v>
      </c>
      <c r="J61" t="s">
        <v>30</v>
      </c>
      <c r="K61" t="s">
        <v>51</v>
      </c>
      <c r="L61" t="s">
        <v>272</v>
      </c>
    </row>
    <row r="62" spans="1:12" x14ac:dyDescent="0.25">
      <c r="A62" t="s">
        <v>273</v>
      </c>
      <c r="B62" t="s">
        <v>67</v>
      </c>
      <c r="C62" s="3">
        <v>45016</v>
      </c>
      <c r="D62" t="s">
        <v>22</v>
      </c>
      <c r="E62" t="s">
        <v>23</v>
      </c>
      <c r="F62">
        <v>5</v>
      </c>
      <c r="G62" t="str">
        <f t="shared" si="0"/>
        <v>Regular Order</v>
      </c>
      <c r="H62">
        <v>153.53</v>
      </c>
      <c r="I62">
        <f>F62*H62</f>
        <v>767.65</v>
      </c>
      <c r="J62" t="s">
        <v>16</v>
      </c>
      <c r="K62" t="s">
        <v>51</v>
      </c>
      <c r="L62" t="s">
        <v>70</v>
      </c>
    </row>
    <row r="63" spans="1:12" x14ac:dyDescent="0.25">
      <c r="A63" t="s">
        <v>275</v>
      </c>
      <c r="B63" t="s">
        <v>89</v>
      </c>
      <c r="C63" s="3">
        <v>45221</v>
      </c>
      <c r="D63" t="s">
        <v>101</v>
      </c>
      <c r="E63" t="s">
        <v>15</v>
      </c>
      <c r="F63">
        <v>9</v>
      </c>
      <c r="G63" t="str">
        <f t="shared" si="0"/>
        <v>Regular Order</v>
      </c>
      <c r="H63">
        <v>24.86</v>
      </c>
      <c r="I63">
        <v>367.5</v>
      </c>
      <c r="J63" t="s">
        <v>102</v>
      </c>
      <c r="K63" t="s">
        <v>69</v>
      </c>
      <c r="L63" t="s">
        <v>93</v>
      </c>
    </row>
    <row r="64" spans="1:12" x14ac:dyDescent="0.25">
      <c r="A64" t="s">
        <v>277</v>
      </c>
      <c r="B64" t="s">
        <v>278</v>
      </c>
      <c r="C64" s="3">
        <v>45075</v>
      </c>
      <c r="D64" t="s">
        <v>41</v>
      </c>
      <c r="E64" t="s">
        <v>15</v>
      </c>
      <c r="F64">
        <v>2</v>
      </c>
      <c r="G64" t="str">
        <f t="shared" si="0"/>
        <v>Regular Order</v>
      </c>
      <c r="H64">
        <v>73.11</v>
      </c>
      <c r="I64">
        <v>5870.76</v>
      </c>
      <c r="J64" t="s">
        <v>16</v>
      </c>
      <c r="K64" t="s">
        <v>24</v>
      </c>
      <c r="L64" t="s">
        <v>280</v>
      </c>
    </row>
    <row r="65" spans="1:12" x14ac:dyDescent="0.25">
      <c r="A65" t="s">
        <v>281</v>
      </c>
      <c r="B65" t="s">
        <v>49</v>
      </c>
      <c r="C65" s="3">
        <v>45258</v>
      </c>
      <c r="D65" t="s">
        <v>78</v>
      </c>
      <c r="E65" t="s">
        <v>46</v>
      </c>
      <c r="F65">
        <v>6</v>
      </c>
      <c r="G65" t="str">
        <f t="shared" si="0"/>
        <v>Regular Order</v>
      </c>
      <c r="H65">
        <v>86.04</v>
      </c>
      <c r="I65">
        <v>345.08</v>
      </c>
      <c r="J65" t="s">
        <v>30</v>
      </c>
      <c r="L65" t="s">
        <v>52</v>
      </c>
    </row>
    <row r="66" spans="1:12" x14ac:dyDescent="0.25">
      <c r="A66" t="s">
        <v>283</v>
      </c>
      <c r="B66" t="s">
        <v>99</v>
      </c>
      <c r="C66" s="3">
        <v>45221</v>
      </c>
      <c r="D66" t="s">
        <v>87</v>
      </c>
      <c r="E66" t="s">
        <v>15</v>
      </c>
      <c r="F66">
        <v>5</v>
      </c>
      <c r="G66" t="str">
        <f t="shared" si="0"/>
        <v>Regular Order</v>
      </c>
      <c r="H66">
        <v>54.39</v>
      </c>
      <c r="I66">
        <v>1566.3999999999999</v>
      </c>
      <c r="J66" t="s">
        <v>30</v>
      </c>
      <c r="K66" t="s">
        <v>24</v>
      </c>
      <c r="L66" t="s">
        <v>103</v>
      </c>
    </row>
    <row r="67" spans="1:12" x14ac:dyDescent="0.25">
      <c r="A67" t="s">
        <v>284</v>
      </c>
      <c r="B67" t="s">
        <v>285</v>
      </c>
      <c r="C67" s="3">
        <v>45106</v>
      </c>
      <c r="D67" t="s">
        <v>147</v>
      </c>
      <c r="E67" t="s">
        <v>46</v>
      </c>
      <c r="F67">
        <v>8</v>
      </c>
      <c r="G67" t="str">
        <f t="shared" ref="G67:G130" si="3">IF(F67&gt; 100, "Bulk Order", "Regular Order")</f>
        <v>Regular Order</v>
      </c>
      <c r="H67">
        <v>302.13</v>
      </c>
      <c r="I67">
        <f>F67*H67</f>
        <v>2417.04</v>
      </c>
      <c r="J67" t="s">
        <v>30</v>
      </c>
      <c r="K67" t="s">
        <v>69</v>
      </c>
      <c r="L67" t="s">
        <v>288</v>
      </c>
    </row>
    <row r="68" spans="1:12" x14ac:dyDescent="0.25">
      <c r="A68" t="s">
        <v>289</v>
      </c>
      <c r="B68" t="s">
        <v>290</v>
      </c>
      <c r="C68" s="3">
        <v>45211</v>
      </c>
      <c r="D68" t="s">
        <v>78</v>
      </c>
      <c r="E68" t="s">
        <v>46</v>
      </c>
      <c r="F68">
        <v>999</v>
      </c>
      <c r="G68" t="str">
        <f t="shared" si="3"/>
        <v>Bulk Order</v>
      </c>
      <c r="H68">
        <v>83.36</v>
      </c>
      <c r="I68">
        <v>477.51</v>
      </c>
      <c r="J68" t="s">
        <v>16</v>
      </c>
      <c r="K68" t="s">
        <v>55</v>
      </c>
      <c r="L68" t="s">
        <v>292</v>
      </c>
    </row>
    <row r="69" spans="1:12" x14ac:dyDescent="0.25">
      <c r="A69" t="s">
        <v>293</v>
      </c>
      <c r="B69" t="s">
        <v>1399</v>
      </c>
      <c r="D69" t="s">
        <v>147</v>
      </c>
      <c r="E69" t="s">
        <v>46</v>
      </c>
      <c r="F69">
        <v>8</v>
      </c>
      <c r="G69" t="str">
        <f t="shared" si="3"/>
        <v>Regular Order</v>
      </c>
      <c r="H69">
        <v>326.3</v>
      </c>
      <c r="I69">
        <f>F69*H69</f>
        <v>2610.4</v>
      </c>
      <c r="J69" t="s">
        <v>35</v>
      </c>
      <c r="K69" t="s">
        <v>24</v>
      </c>
    </row>
    <row r="70" spans="1:12" x14ac:dyDescent="0.25">
      <c r="A70" t="s">
        <v>294</v>
      </c>
      <c r="B70" t="s">
        <v>1399</v>
      </c>
      <c r="C70" s="3">
        <v>45098</v>
      </c>
      <c r="D70" t="s">
        <v>147</v>
      </c>
      <c r="E70" t="s">
        <v>46</v>
      </c>
      <c r="F70">
        <v>1</v>
      </c>
      <c r="G70" t="str">
        <f t="shared" si="3"/>
        <v>Regular Order</v>
      </c>
      <c r="H70">
        <v>286.10000000000002</v>
      </c>
      <c r="I70">
        <v>292.2</v>
      </c>
      <c r="J70" t="s">
        <v>16</v>
      </c>
      <c r="K70" t="s">
        <v>69</v>
      </c>
    </row>
    <row r="71" spans="1:12" x14ac:dyDescent="0.25">
      <c r="A71" t="s">
        <v>296</v>
      </c>
      <c r="B71" t="s">
        <v>297</v>
      </c>
      <c r="C71" s="3">
        <v>45027</v>
      </c>
      <c r="D71" t="s">
        <v>22</v>
      </c>
      <c r="E71" t="s">
        <v>23</v>
      </c>
      <c r="F71">
        <v>6</v>
      </c>
      <c r="G71" t="str">
        <f t="shared" si="3"/>
        <v>Regular Order</v>
      </c>
      <c r="H71">
        <v>160.79</v>
      </c>
      <c r="I71">
        <v>49.14</v>
      </c>
      <c r="J71" t="s">
        <v>30</v>
      </c>
      <c r="L71" t="s">
        <v>299</v>
      </c>
    </row>
    <row r="72" spans="1:12" x14ac:dyDescent="0.25">
      <c r="A72" t="s">
        <v>300</v>
      </c>
      <c r="B72" t="s">
        <v>1399</v>
      </c>
      <c r="C72" s="3">
        <v>45069</v>
      </c>
      <c r="D72" t="s">
        <v>1396</v>
      </c>
      <c r="E72" t="s">
        <v>185</v>
      </c>
      <c r="F72">
        <v>8</v>
      </c>
      <c r="G72" t="str">
        <f t="shared" si="3"/>
        <v>Regular Order</v>
      </c>
      <c r="H72">
        <v>49.64</v>
      </c>
      <c r="I72">
        <v>907.56</v>
      </c>
      <c r="J72" t="s">
        <v>16</v>
      </c>
      <c r="K72" t="s">
        <v>17</v>
      </c>
    </row>
    <row r="73" spans="1:12" x14ac:dyDescent="0.25">
      <c r="A73" t="s">
        <v>302</v>
      </c>
      <c r="B73" t="s">
        <v>303</v>
      </c>
      <c r="C73" s="3">
        <v>44971</v>
      </c>
      <c r="D73" t="s">
        <v>22</v>
      </c>
      <c r="E73" t="s">
        <v>23</v>
      </c>
      <c r="F73">
        <v>8</v>
      </c>
      <c r="G73" t="str">
        <f t="shared" si="3"/>
        <v>Regular Order</v>
      </c>
      <c r="H73">
        <v>159.09</v>
      </c>
      <c r="I73">
        <v>418.25</v>
      </c>
      <c r="J73" t="s">
        <v>16</v>
      </c>
      <c r="L73" t="s">
        <v>305</v>
      </c>
    </row>
    <row r="74" spans="1:12" x14ac:dyDescent="0.25">
      <c r="A74" t="s">
        <v>306</v>
      </c>
      <c r="B74" t="s">
        <v>307</v>
      </c>
      <c r="C74" s="3">
        <v>45144</v>
      </c>
      <c r="D74" t="s">
        <v>29</v>
      </c>
      <c r="E74" t="s">
        <v>46</v>
      </c>
      <c r="F74">
        <v>5</v>
      </c>
      <c r="G74" t="str">
        <f t="shared" si="3"/>
        <v>Regular Order</v>
      </c>
      <c r="H74">
        <v>961.27</v>
      </c>
      <c r="I74">
        <v>348.68</v>
      </c>
      <c r="J74" t="s">
        <v>102</v>
      </c>
      <c r="K74" t="s">
        <v>24</v>
      </c>
      <c r="L74" t="s">
        <v>309</v>
      </c>
    </row>
    <row r="75" spans="1:12" x14ac:dyDescent="0.25">
      <c r="A75" t="s">
        <v>310</v>
      </c>
      <c r="B75" t="s">
        <v>311</v>
      </c>
      <c r="C75" s="3">
        <v>45043</v>
      </c>
      <c r="D75" t="s">
        <v>101</v>
      </c>
      <c r="E75" t="s">
        <v>15</v>
      </c>
      <c r="F75">
        <v>6</v>
      </c>
      <c r="G75" t="str">
        <f t="shared" si="3"/>
        <v>Regular Order</v>
      </c>
      <c r="H75">
        <v>25.9</v>
      </c>
      <c r="I75">
        <v>313.32</v>
      </c>
      <c r="J75" t="s">
        <v>102</v>
      </c>
      <c r="K75" t="s">
        <v>17</v>
      </c>
      <c r="L75" t="s">
        <v>313</v>
      </c>
    </row>
    <row r="76" spans="1:12" x14ac:dyDescent="0.25">
      <c r="A76" t="s">
        <v>314</v>
      </c>
      <c r="B76" t="s">
        <v>315</v>
      </c>
      <c r="C76" s="3">
        <v>45624</v>
      </c>
      <c r="D76" t="s">
        <v>147</v>
      </c>
      <c r="E76" t="s">
        <v>46</v>
      </c>
      <c r="F76">
        <v>5</v>
      </c>
      <c r="G76" t="str">
        <f t="shared" si="3"/>
        <v>Regular Order</v>
      </c>
      <c r="H76">
        <f>IF(H69&lt;=0, AVERAGEIF($D:$D,D69,$H:$H),H69)</f>
        <v>326.3</v>
      </c>
      <c r="I76">
        <f>F76*H76</f>
        <v>1631.5</v>
      </c>
      <c r="J76" t="s">
        <v>30</v>
      </c>
      <c r="K76" t="s">
        <v>55</v>
      </c>
      <c r="L76" t="s">
        <v>317</v>
      </c>
    </row>
    <row r="77" spans="1:12" x14ac:dyDescent="0.25">
      <c r="A77" t="s">
        <v>318</v>
      </c>
      <c r="B77" t="s">
        <v>319</v>
      </c>
      <c r="C77" s="3">
        <v>45499</v>
      </c>
      <c r="D77" t="s">
        <v>101</v>
      </c>
      <c r="E77" t="s">
        <v>15</v>
      </c>
      <c r="F77">
        <v>9</v>
      </c>
      <c r="G77" t="str">
        <f t="shared" si="3"/>
        <v>Regular Order</v>
      </c>
      <c r="H77">
        <v>27.32</v>
      </c>
      <c r="I77">
        <v>2002.7000000000003</v>
      </c>
      <c r="J77" t="s">
        <v>35</v>
      </c>
      <c r="K77" t="s">
        <v>55</v>
      </c>
      <c r="L77" t="s">
        <v>321</v>
      </c>
    </row>
    <row r="78" spans="1:12" x14ac:dyDescent="0.25">
      <c r="A78" t="s">
        <v>322</v>
      </c>
      <c r="B78" t="s">
        <v>323</v>
      </c>
      <c r="C78" s="3">
        <v>45438</v>
      </c>
      <c r="D78" t="s">
        <v>147</v>
      </c>
      <c r="E78" t="s">
        <v>46</v>
      </c>
      <c r="F78">
        <v>5</v>
      </c>
      <c r="G78" t="str">
        <f t="shared" si="3"/>
        <v>Regular Order</v>
      </c>
      <c r="H78">
        <v>271.38</v>
      </c>
      <c r="I78">
        <f t="shared" ref="I78:I79" si="4">F78*H78</f>
        <v>1356.9</v>
      </c>
      <c r="J78" t="s">
        <v>16</v>
      </c>
      <c r="K78" t="s">
        <v>24</v>
      </c>
      <c r="L78" t="s">
        <v>325</v>
      </c>
    </row>
    <row r="79" spans="1:12" x14ac:dyDescent="0.25">
      <c r="A79" t="s">
        <v>326</v>
      </c>
      <c r="B79" t="s">
        <v>1399</v>
      </c>
      <c r="C79" s="3">
        <v>45022</v>
      </c>
      <c r="D79" t="s">
        <v>87</v>
      </c>
      <c r="E79" t="s">
        <v>15</v>
      </c>
      <c r="F79">
        <v>4</v>
      </c>
      <c r="G79" t="str">
        <f t="shared" si="3"/>
        <v>Regular Order</v>
      </c>
      <c r="H79">
        <v>48.88</v>
      </c>
      <c r="I79">
        <f t="shared" si="4"/>
        <v>195.52</v>
      </c>
      <c r="J79" t="s">
        <v>30</v>
      </c>
      <c r="K79" t="s">
        <v>55</v>
      </c>
    </row>
    <row r="80" spans="1:12" x14ac:dyDescent="0.25">
      <c r="A80" t="s">
        <v>328</v>
      </c>
      <c r="B80" t="s">
        <v>329</v>
      </c>
      <c r="C80" s="3">
        <v>45175</v>
      </c>
      <c r="D80" t="s">
        <v>101</v>
      </c>
      <c r="E80" t="s">
        <v>15</v>
      </c>
      <c r="F80">
        <v>2</v>
      </c>
      <c r="G80" t="str">
        <f t="shared" si="3"/>
        <v>Regular Order</v>
      </c>
      <c r="H80">
        <v>25.86</v>
      </c>
      <c r="I80">
        <v>2142.0699999999997</v>
      </c>
      <c r="J80" t="s">
        <v>102</v>
      </c>
      <c r="K80" t="s">
        <v>17</v>
      </c>
      <c r="L80" t="s">
        <v>332</v>
      </c>
    </row>
    <row r="81" spans="1:12" x14ac:dyDescent="0.25">
      <c r="A81" t="s">
        <v>333</v>
      </c>
      <c r="B81" t="s">
        <v>334</v>
      </c>
      <c r="C81" s="3">
        <v>45642</v>
      </c>
      <c r="D81" t="s">
        <v>29</v>
      </c>
      <c r="E81" t="s">
        <v>46</v>
      </c>
      <c r="F81">
        <v>2</v>
      </c>
      <c r="G81" t="str">
        <f t="shared" si="3"/>
        <v>Regular Order</v>
      </c>
      <c r="H81">
        <v>968.74</v>
      </c>
      <c r="I81">
        <v>3529.6</v>
      </c>
      <c r="J81" t="s">
        <v>102</v>
      </c>
      <c r="K81" t="s">
        <v>17</v>
      </c>
    </row>
    <row r="82" spans="1:12" x14ac:dyDescent="0.25">
      <c r="A82" t="s">
        <v>336</v>
      </c>
      <c r="B82" t="s">
        <v>260</v>
      </c>
      <c r="C82" s="3">
        <v>45614</v>
      </c>
      <c r="D82" t="s">
        <v>78</v>
      </c>
      <c r="E82" t="s">
        <v>46</v>
      </c>
      <c r="F82">
        <v>5</v>
      </c>
      <c r="G82" t="str">
        <f t="shared" si="3"/>
        <v>Regular Order</v>
      </c>
      <c r="H82">
        <f>IF(H75&lt;=0, AVERAGEIF($D:$D,D75,$H:$H),H75)</f>
        <v>25.9</v>
      </c>
      <c r="I82">
        <f>F82*H82</f>
        <v>129.5</v>
      </c>
      <c r="J82" t="s">
        <v>16</v>
      </c>
      <c r="K82" t="s">
        <v>69</v>
      </c>
      <c r="L82" t="s">
        <v>263</v>
      </c>
    </row>
    <row r="83" spans="1:12" x14ac:dyDescent="0.25">
      <c r="A83" t="s">
        <v>338</v>
      </c>
      <c r="B83" t="s">
        <v>133</v>
      </c>
      <c r="C83" s="3">
        <v>45125</v>
      </c>
      <c r="D83" t="s">
        <v>78</v>
      </c>
      <c r="E83" t="s">
        <v>15</v>
      </c>
      <c r="F83">
        <v>999</v>
      </c>
      <c r="G83" t="str">
        <f t="shared" si="3"/>
        <v>Bulk Order</v>
      </c>
      <c r="H83">
        <v>89.62</v>
      </c>
      <c r="I83">
        <v>27.28</v>
      </c>
      <c r="J83" t="s">
        <v>30</v>
      </c>
      <c r="K83" t="s">
        <v>51</v>
      </c>
      <c r="L83" t="s">
        <v>340</v>
      </c>
    </row>
    <row r="84" spans="1:12" x14ac:dyDescent="0.25">
      <c r="A84" t="s">
        <v>341</v>
      </c>
      <c r="B84" t="s">
        <v>99</v>
      </c>
      <c r="C84" s="3">
        <v>45254</v>
      </c>
      <c r="D84" t="s">
        <v>78</v>
      </c>
      <c r="E84" t="s">
        <v>46</v>
      </c>
      <c r="F84">
        <v>4</v>
      </c>
      <c r="G84" t="str">
        <f t="shared" si="3"/>
        <v>Regular Order</v>
      </c>
      <c r="H84">
        <v>86.82</v>
      </c>
      <c r="I84">
        <f t="shared" ref="I84:I86" si="5">F84*H84</f>
        <v>347.28</v>
      </c>
      <c r="J84" t="s">
        <v>35</v>
      </c>
      <c r="K84" t="s">
        <v>55</v>
      </c>
      <c r="L84" t="s">
        <v>103</v>
      </c>
    </row>
    <row r="85" spans="1:12" x14ac:dyDescent="0.25">
      <c r="A85" t="s">
        <v>344</v>
      </c>
      <c r="B85" t="s">
        <v>319</v>
      </c>
      <c r="C85" s="3">
        <v>45075</v>
      </c>
      <c r="D85" t="s">
        <v>147</v>
      </c>
      <c r="E85" t="s">
        <v>46</v>
      </c>
      <c r="F85">
        <v>7</v>
      </c>
      <c r="G85" t="str">
        <f t="shared" si="3"/>
        <v>Regular Order</v>
      </c>
      <c r="H85">
        <v>283.64</v>
      </c>
      <c r="I85">
        <f t="shared" si="5"/>
        <v>1985.48</v>
      </c>
      <c r="J85" t="s">
        <v>35</v>
      </c>
      <c r="K85" t="s">
        <v>69</v>
      </c>
      <c r="L85" t="s">
        <v>321</v>
      </c>
    </row>
    <row r="86" spans="1:12" x14ac:dyDescent="0.25">
      <c r="A86" t="s">
        <v>345</v>
      </c>
      <c r="B86" t="s">
        <v>346</v>
      </c>
      <c r="C86" s="3">
        <v>45165</v>
      </c>
      <c r="D86" t="s">
        <v>29</v>
      </c>
      <c r="E86" t="s">
        <v>46</v>
      </c>
      <c r="F86">
        <v>4</v>
      </c>
      <c r="G86" t="str">
        <f t="shared" si="3"/>
        <v>Regular Order</v>
      </c>
      <c r="H86">
        <v>973.85</v>
      </c>
      <c r="I86">
        <f t="shared" si="5"/>
        <v>3895.4</v>
      </c>
      <c r="J86" t="s">
        <v>35</v>
      </c>
      <c r="K86" t="s">
        <v>51</v>
      </c>
      <c r="L86" t="s">
        <v>348</v>
      </c>
    </row>
    <row r="87" spans="1:12" x14ac:dyDescent="0.25">
      <c r="A87" t="s">
        <v>349</v>
      </c>
      <c r="B87" t="s">
        <v>233</v>
      </c>
      <c r="C87" s="3">
        <v>45559</v>
      </c>
      <c r="D87" t="s">
        <v>22</v>
      </c>
      <c r="E87" t="s">
        <v>23</v>
      </c>
      <c r="F87">
        <v>8</v>
      </c>
      <c r="G87" t="str">
        <f t="shared" si="3"/>
        <v>Regular Order</v>
      </c>
      <c r="H87">
        <v>147.83000000000001</v>
      </c>
      <c r="I87">
        <v>4712.3500000000004</v>
      </c>
      <c r="J87" t="s">
        <v>30</v>
      </c>
      <c r="K87" t="s">
        <v>17</v>
      </c>
      <c r="L87" t="s">
        <v>235</v>
      </c>
    </row>
    <row r="88" spans="1:12" x14ac:dyDescent="0.25">
      <c r="A88" t="s">
        <v>351</v>
      </c>
      <c r="B88" t="s">
        <v>352</v>
      </c>
      <c r="C88" s="3">
        <v>45343</v>
      </c>
      <c r="D88" t="s">
        <v>87</v>
      </c>
      <c r="E88" t="s">
        <v>15</v>
      </c>
      <c r="F88">
        <v>5</v>
      </c>
      <c r="G88" t="str">
        <f t="shared" si="3"/>
        <v>Regular Order</v>
      </c>
      <c r="H88">
        <v>50.05</v>
      </c>
      <c r="I88">
        <f>F88*H88</f>
        <v>250.25</v>
      </c>
      <c r="J88" t="s">
        <v>102</v>
      </c>
      <c r="K88" t="s">
        <v>24</v>
      </c>
      <c r="L88" t="s">
        <v>354</v>
      </c>
    </row>
    <row r="89" spans="1:12" x14ac:dyDescent="0.25">
      <c r="A89" t="s">
        <v>355</v>
      </c>
      <c r="B89" t="s">
        <v>356</v>
      </c>
      <c r="C89" s="3">
        <v>44939</v>
      </c>
      <c r="D89" t="s">
        <v>78</v>
      </c>
      <c r="E89" t="s">
        <v>46</v>
      </c>
      <c r="F89">
        <v>8</v>
      </c>
      <c r="G89" t="str">
        <f t="shared" si="3"/>
        <v>Regular Order</v>
      </c>
      <c r="H89">
        <v>84.88</v>
      </c>
      <c r="I89">
        <v>347.88</v>
      </c>
      <c r="J89" t="s">
        <v>16</v>
      </c>
      <c r="K89" t="s">
        <v>55</v>
      </c>
      <c r="L89" t="s">
        <v>358</v>
      </c>
    </row>
    <row r="90" spans="1:12" x14ac:dyDescent="0.25">
      <c r="A90" t="s">
        <v>359</v>
      </c>
      <c r="B90" t="s">
        <v>113</v>
      </c>
      <c r="C90" s="3">
        <v>45510</v>
      </c>
      <c r="D90" t="s">
        <v>1396</v>
      </c>
      <c r="E90" t="s">
        <v>185</v>
      </c>
      <c r="F90">
        <v>9</v>
      </c>
      <c r="G90" t="str">
        <f t="shared" si="3"/>
        <v>Regular Order</v>
      </c>
      <c r="H90">
        <v>51.11</v>
      </c>
      <c r="I90">
        <v>93.81</v>
      </c>
      <c r="J90" t="s">
        <v>30</v>
      </c>
      <c r="K90" t="s">
        <v>24</v>
      </c>
      <c r="L90" t="s">
        <v>114</v>
      </c>
    </row>
    <row r="91" spans="1:12" x14ac:dyDescent="0.25">
      <c r="A91" t="s">
        <v>362</v>
      </c>
      <c r="B91" t="s">
        <v>363</v>
      </c>
      <c r="C91" s="3">
        <v>45606</v>
      </c>
      <c r="D91" t="s">
        <v>29</v>
      </c>
      <c r="E91" t="s">
        <v>46</v>
      </c>
      <c r="F91">
        <v>1</v>
      </c>
      <c r="G91" t="str">
        <f t="shared" si="3"/>
        <v>Regular Order</v>
      </c>
      <c r="H91">
        <v>970.18</v>
      </c>
      <c r="I91">
        <v>223.28</v>
      </c>
      <c r="J91" t="s">
        <v>102</v>
      </c>
      <c r="K91" t="s">
        <v>24</v>
      </c>
      <c r="L91" t="s">
        <v>365</v>
      </c>
    </row>
    <row r="92" spans="1:12" x14ac:dyDescent="0.25">
      <c r="A92" t="s">
        <v>366</v>
      </c>
      <c r="B92" t="s">
        <v>367</v>
      </c>
      <c r="C92" s="3">
        <v>45472</v>
      </c>
      <c r="D92" t="s">
        <v>22</v>
      </c>
      <c r="E92" t="s">
        <v>23</v>
      </c>
      <c r="F92">
        <v>2</v>
      </c>
      <c r="G92" t="str">
        <f t="shared" si="3"/>
        <v>Regular Order</v>
      </c>
      <c r="I92">
        <v>376</v>
      </c>
      <c r="J92" t="s">
        <v>30</v>
      </c>
      <c r="K92" t="s">
        <v>51</v>
      </c>
      <c r="L92" t="s">
        <v>369</v>
      </c>
    </row>
    <row r="93" spans="1:12" x14ac:dyDescent="0.25">
      <c r="A93" t="s">
        <v>370</v>
      </c>
      <c r="B93" t="s">
        <v>371</v>
      </c>
      <c r="D93" t="s">
        <v>101</v>
      </c>
      <c r="E93" t="s">
        <v>15</v>
      </c>
      <c r="F93">
        <v>8</v>
      </c>
      <c r="G93" t="str">
        <f t="shared" si="3"/>
        <v>Regular Order</v>
      </c>
      <c r="H93">
        <v>23.77</v>
      </c>
      <c r="I93">
        <v>249.3</v>
      </c>
      <c r="J93" t="s">
        <v>30</v>
      </c>
      <c r="K93" t="s">
        <v>69</v>
      </c>
      <c r="L93" t="s">
        <v>372</v>
      </c>
    </row>
    <row r="94" spans="1:12" x14ac:dyDescent="0.25">
      <c r="A94" t="s">
        <v>373</v>
      </c>
      <c r="B94" t="s">
        <v>374</v>
      </c>
      <c r="C94" s="3">
        <v>45159</v>
      </c>
      <c r="D94" t="s">
        <v>29</v>
      </c>
      <c r="E94" t="s">
        <v>46</v>
      </c>
      <c r="F94">
        <v>3</v>
      </c>
      <c r="G94" t="str">
        <f t="shared" si="3"/>
        <v>Regular Order</v>
      </c>
      <c r="H94">
        <v>917.92</v>
      </c>
      <c r="I94">
        <v>475.91999999999996</v>
      </c>
      <c r="J94" t="s">
        <v>16</v>
      </c>
      <c r="K94" t="s">
        <v>55</v>
      </c>
      <c r="L94" t="s">
        <v>376</v>
      </c>
    </row>
    <row r="95" spans="1:12" x14ac:dyDescent="0.25">
      <c r="A95" t="s">
        <v>377</v>
      </c>
      <c r="B95" t="s">
        <v>378</v>
      </c>
      <c r="C95" s="3">
        <v>45379</v>
      </c>
      <c r="D95" t="s">
        <v>1396</v>
      </c>
      <c r="E95" t="s">
        <v>185</v>
      </c>
      <c r="F95">
        <v>7</v>
      </c>
      <c r="G95" t="str">
        <f t="shared" si="3"/>
        <v>Regular Order</v>
      </c>
      <c r="H95">
        <v>54.31</v>
      </c>
      <c r="I95">
        <f>F95*H95</f>
        <v>380.17</v>
      </c>
      <c r="J95" t="s">
        <v>102</v>
      </c>
      <c r="K95" t="s">
        <v>69</v>
      </c>
      <c r="L95" t="s">
        <v>380</v>
      </c>
    </row>
    <row r="96" spans="1:12" x14ac:dyDescent="0.25">
      <c r="A96" t="s">
        <v>381</v>
      </c>
      <c r="B96" t="s">
        <v>382</v>
      </c>
      <c r="C96" s="3">
        <v>45375</v>
      </c>
      <c r="D96" t="s">
        <v>41</v>
      </c>
      <c r="E96" t="s">
        <v>15</v>
      </c>
      <c r="F96">
        <v>4</v>
      </c>
      <c r="G96" t="str">
        <f t="shared" si="3"/>
        <v>Regular Order</v>
      </c>
      <c r="H96">
        <v>85.07</v>
      </c>
      <c r="I96">
        <v>440.90000000000003</v>
      </c>
      <c r="J96" t="s">
        <v>30</v>
      </c>
      <c r="L96" t="s">
        <v>384</v>
      </c>
    </row>
    <row r="97" spans="1:12" x14ac:dyDescent="0.25">
      <c r="A97" t="s">
        <v>385</v>
      </c>
      <c r="B97" t="s">
        <v>386</v>
      </c>
      <c r="C97" s="3">
        <v>45454</v>
      </c>
      <c r="D97" t="s">
        <v>29</v>
      </c>
      <c r="E97" t="s">
        <v>46</v>
      </c>
      <c r="F97">
        <v>7</v>
      </c>
      <c r="G97" t="str">
        <f t="shared" si="3"/>
        <v>Regular Order</v>
      </c>
      <c r="H97">
        <v>48.86</v>
      </c>
      <c r="I97">
        <v>49810.14</v>
      </c>
      <c r="J97" t="s">
        <v>16</v>
      </c>
      <c r="K97" t="s">
        <v>55</v>
      </c>
      <c r="L97" t="s">
        <v>389</v>
      </c>
    </row>
    <row r="98" spans="1:12" x14ac:dyDescent="0.25">
      <c r="A98" t="s">
        <v>390</v>
      </c>
      <c r="B98" t="s">
        <v>248</v>
      </c>
      <c r="C98" s="3">
        <v>45383</v>
      </c>
      <c r="D98" t="s">
        <v>22</v>
      </c>
      <c r="E98" t="s">
        <v>23</v>
      </c>
      <c r="F98">
        <v>7</v>
      </c>
      <c r="G98" t="str">
        <f t="shared" si="3"/>
        <v>Regular Order</v>
      </c>
      <c r="H98">
        <v>144.97999999999999</v>
      </c>
      <c r="I98">
        <f>F98*H98</f>
        <v>1014.8599999999999</v>
      </c>
      <c r="J98" t="s">
        <v>30</v>
      </c>
      <c r="K98" t="s">
        <v>24</v>
      </c>
      <c r="L98" t="s">
        <v>250</v>
      </c>
    </row>
    <row r="99" spans="1:12" x14ac:dyDescent="0.25">
      <c r="A99" t="s">
        <v>393</v>
      </c>
      <c r="B99" t="s">
        <v>394</v>
      </c>
      <c r="C99" s="3">
        <v>45038</v>
      </c>
      <c r="D99" t="s">
        <v>41</v>
      </c>
      <c r="E99" t="s">
        <v>15</v>
      </c>
      <c r="F99">
        <v>3</v>
      </c>
      <c r="G99" t="str">
        <f t="shared" si="3"/>
        <v>Regular Order</v>
      </c>
      <c r="H99">
        <v>72.400000000000006</v>
      </c>
      <c r="I99">
        <v>238.64999999999998</v>
      </c>
      <c r="J99" t="s">
        <v>30</v>
      </c>
      <c r="K99" t="s">
        <v>55</v>
      </c>
      <c r="L99" t="s">
        <v>396</v>
      </c>
    </row>
    <row r="100" spans="1:12" x14ac:dyDescent="0.25">
      <c r="A100" t="s">
        <v>397</v>
      </c>
      <c r="B100" t="s">
        <v>229</v>
      </c>
      <c r="C100" s="3">
        <v>45490</v>
      </c>
      <c r="D100" t="s">
        <v>78</v>
      </c>
      <c r="E100" t="s">
        <v>46</v>
      </c>
      <c r="F100">
        <v>9</v>
      </c>
      <c r="G100" t="str">
        <f t="shared" si="3"/>
        <v>Regular Order</v>
      </c>
      <c r="H100">
        <v>95.43</v>
      </c>
      <c r="I100">
        <v>1973.7</v>
      </c>
      <c r="J100" t="s">
        <v>102</v>
      </c>
      <c r="K100" t="s">
        <v>24</v>
      </c>
      <c r="L100" t="s">
        <v>231</v>
      </c>
    </row>
    <row r="101" spans="1:12" x14ac:dyDescent="0.25">
      <c r="A101" t="s">
        <v>399</v>
      </c>
      <c r="B101" t="s">
        <v>400</v>
      </c>
      <c r="D101" t="s">
        <v>147</v>
      </c>
      <c r="E101" t="s">
        <v>46</v>
      </c>
      <c r="F101">
        <v>6</v>
      </c>
      <c r="G101" t="str">
        <f t="shared" si="3"/>
        <v>Regular Order</v>
      </c>
      <c r="H101">
        <v>281.68</v>
      </c>
      <c r="I101">
        <v>319.27999999999997</v>
      </c>
      <c r="J101" t="s">
        <v>16</v>
      </c>
      <c r="K101" t="s">
        <v>24</v>
      </c>
      <c r="L101" t="s">
        <v>402</v>
      </c>
    </row>
    <row r="102" spans="1:12" x14ac:dyDescent="0.25">
      <c r="A102" t="s">
        <v>403</v>
      </c>
      <c r="B102" t="s">
        <v>212</v>
      </c>
      <c r="C102" s="3">
        <v>45061</v>
      </c>
      <c r="D102" t="s">
        <v>22</v>
      </c>
      <c r="E102" t="s">
        <v>23</v>
      </c>
      <c r="F102">
        <v>5</v>
      </c>
      <c r="G102" t="str">
        <f t="shared" si="3"/>
        <v>Regular Order</v>
      </c>
      <c r="H102">
        <v>151.13999999999999</v>
      </c>
      <c r="I102">
        <v>544.56000000000006</v>
      </c>
      <c r="J102" t="s">
        <v>30</v>
      </c>
      <c r="K102" t="s">
        <v>55</v>
      </c>
      <c r="L102" t="s">
        <v>215</v>
      </c>
    </row>
    <row r="103" spans="1:12" x14ac:dyDescent="0.25">
      <c r="A103" t="s">
        <v>405</v>
      </c>
      <c r="B103" t="s">
        <v>346</v>
      </c>
      <c r="C103" s="3">
        <v>45348</v>
      </c>
      <c r="D103" t="s">
        <v>22</v>
      </c>
      <c r="E103" t="s">
        <v>23</v>
      </c>
      <c r="F103">
        <v>2</v>
      </c>
      <c r="G103" t="str">
        <f t="shared" si="3"/>
        <v>Regular Order</v>
      </c>
      <c r="H103">
        <v>152.94999999999999</v>
      </c>
      <c r="I103">
        <v>630.79999999999995</v>
      </c>
      <c r="J103" t="s">
        <v>30</v>
      </c>
      <c r="K103" t="s">
        <v>17</v>
      </c>
      <c r="L103" t="s">
        <v>348</v>
      </c>
    </row>
    <row r="104" spans="1:12" x14ac:dyDescent="0.25">
      <c r="A104" t="s">
        <v>406</v>
      </c>
      <c r="B104" t="s">
        <v>407</v>
      </c>
      <c r="C104" s="3">
        <v>45608</v>
      </c>
      <c r="D104" t="s">
        <v>101</v>
      </c>
      <c r="E104" t="s">
        <v>15</v>
      </c>
      <c r="F104">
        <v>1</v>
      </c>
      <c r="G104" t="str">
        <f t="shared" si="3"/>
        <v>Regular Order</v>
      </c>
      <c r="H104">
        <v>28.09</v>
      </c>
      <c r="I104">
        <f>F104*H104</f>
        <v>28.09</v>
      </c>
      <c r="J104" t="s">
        <v>30</v>
      </c>
      <c r="K104" t="s">
        <v>55</v>
      </c>
      <c r="L104" t="s">
        <v>409</v>
      </c>
    </row>
    <row r="105" spans="1:12" x14ac:dyDescent="0.25">
      <c r="A105" t="s">
        <v>410</v>
      </c>
      <c r="B105" t="s">
        <v>411</v>
      </c>
      <c r="C105" s="3">
        <v>45510</v>
      </c>
      <c r="D105" t="s">
        <v>101</v>
      </c>
      <c r="E105" t="s">
        <v>15</v>
      </c>
      <c r="F105">
        <v>3</v>
      </c>
      <c r="G105" t="str">
        <f t="shared" si="3"/>
        <v>Regular Order</v>
      </c>
      <c r="H105">
        <v>24.21</v>
      </c>
      <c r="I105">
        <v>362.4</v>
      </c>
      <c r="J105" t="s">
        <v>16</v>
      </c>
      <c r="K105" t="s">
        <v>17</v>
      </c>
      <c r="L105" t="s">
        <v>412</v>
      </c>
    </row>
    <row r="106" spans="1:12" x14ac:dyDescent="0.25">
      <c r="A106" t="s">
        <v>413</v>
      </c>
      <c r="B106" t="s">
        <v>414</v>
      </c>
      <c r="C106" s="3">
        <v>45541</v>
      </c>
      <c r="D106" t="s">
        <v>87</v>
      </c>
      <c r="E106" t="s">
        <v>15</v>
      </c>
      <c r="F106">
        <v>7</v>
      </c>
      <c r="G106" t="str">
        <f t="shared" si="3"/>
        <v>Regular Order</v>
      </c>
      <c r="H106">
        <v>50.74</v>
      </c>
      <c r="I106">
        <v>804.96</v>
      </c>
      <c r="J106" t="s">
        <v>16</v>
      </c>
      <c r="K106" t="s">
        <v>55</v>
      </c>
      <c r="L106" t="s">
        <v>416</v>
      </c>
    </row>
    <row r="107" spans="1:12" x14ac:dyDescent="0.25">
      <c r="A107" t="s">
        <v>417</v>
      </c>
      <c r="B107" t="s">
        <v>99</v>
      </c>
      <c r="C107" s="3">
        <v>45059</v>
      </c>
      <c r="D107" t="s">
        <v>87</v>
      </c>
      <c r="E107" t="s">
        <v>15</v>
      </c>
      <c r="F107">
        <v>3</v>
      </c>
      <c r="G107" t="str">
        <f t="shared" si="3"/>
        <v>Regular Order</v>
      </c>
      <c r="H107">
        <v>54.57</v>
      </c>
      <c r="I107">
        <v>223.92</v>
      </c>
      <c r="J107" t="s">
        <v>35</v>
      </c>
      <c r="K107" t="s">
        <v>24</v>
      </c>
      <c r="L107" t="s">
        <v>103</v>
      </c>
    </row>
    <row r="108" spans="1:12" x14ac:dyDescent="0.25">
      <c r="A108" t="s">
        <v>419</v>
      </c>
      <c r="B108" t="s">
        <v>420</v>
      </c>
      <c r="C108" s="3">
        <v>45573</v>
      </c>
      <c r="D108" t="s">
        <v>87</v>
      </c>
      <c r="E108" t="s">
        <v>15</v>
      </c>
      <c r="F108">
        <v>5</v>
      </c>
      <c r="G108" t="str">
        <f t="shared" si="3"/>
        <v>Regular Order</v>
      </c>
      <c r="H108">
        <v>50.12</v>
      </c>
      <c r="I108">
        <f>F108*H108</f>
        <v>250.6</v>
      </c>
      <c r="J108" t="s">
        <v>35</v>
      </c>
      <c r="K108" t="s">
        <v>55</v>
      </c>
      <c r="L108" t="s">
        <v>421</v>
      </c>
    </row>
    <row r="109" spans="1:12" x14ac:dyDescent="0.25">
      <c r="A109" t="s">
        <v>422</v>
      </c>
      <c r="B109" t="s">
        <v>178</v>
      </c>
      <c r="C109" s="3">
        <v>45462</v>
      </c>
      <c r="D109" t="s">
        <v>101</v>
      </c>
      <c r="E109" t="s">
        <v>15</v>
      </c>
      <c r="F109">
        <v>9</v>
      </c>
      <c r="G109" t="str">
        <f t="shared" si="3"/>
        <v>Regular Order</v>
      </c>
      <c r="I109">
        <v>302.48</v>
      </c>
      <c r="J109" t="s">
        <v>35</v>
      </c>
      <c r="L109" t="s">
        <v>180</v>
      </c>
    </row>
    <row r="110" spans="1:12" x14ac:dyDescent="0.25">
      <c r="A110" t="s">
        <v>424</v>
      </c>
      <c r="B110" t="s">
        <v>425</v>
      </c>
      <c r="C110" s="3">
        <v>45115</v>
      </c>
      <c r="D110" t="s">
        <v>29</v>
      </c>
      <c r="E110" t="s">
        <v>46</v>
      </c>
      <c r="F110">
        <v>5</v>
      </c>
      <c r="G110" t="str">
        <f t="shared" si="3"/>
        <v>Regular Order</v>
      </c>
      <c r="H110">
        <v>892.83</v>
      </c>
      <c r="I110">
        <f>F110*H110</f>
        <v>4464.1500000000005</v>
      </c>
      <c r="J110" t="s">
        <v>35</v>
      </c>
      <c r="K110" t="s">
        <v>69</v>
      </c>
      <c r="L110" t="s">
        <v>427</v>
      </c>
    </row>
    <row r="111" spans="1:12" x14ac:dyDescent="0.25">
      <c r="A111" t="s">
        <v>428</v>
      </c>
      <c r="B111" t="s">
        <v>429</v>
      </c>
      <c r="C111" s="3">
        <v>45101</v>
      </c>
      <c r="D111" t="s">
        <v>87</v>
      </c>
      <c r="E111" t="s">
        <v>15</v>
      </c>
      <c r="F111">
        <v>6</v>
      </c>
      <c r="G111" t="str">
        <f t="shared" si="3"/>
        <v>Regular Order</v>
      </c>
      <c r="H111">
        <v>45.02</v>
      </c>
      <c r="I111">
        <v>73.39</v>
      </c>
      <c r="J111" t="s">
        <v>35</v>
      </c>
      <c r="K111" t="s">
        <v>51</v>
      </c>
      <c r="L111" t="s">
        <v>431</v>
      </c>
    </row>
    <row r="112" spans="1:12" x14ac:dyDescent="0.25">
      <c r="A112" t="s">
        <v>432</v>
      </c>
      <c r="B112" t="s">
        <v>433</v>
      </c>
      <c r="C112" s="3">
        <v>45149</v>
      </c>
      <c r="D112" t="s">
        <v>29</v>
      </c>
      <c r="E112" t="s">
        <v>46</v>
      </c>
      <c r="F112">
        <v>6</v>
      </c>
      <c r="G112" t="str">
        <f t="shared" si="3"/>
        <v>Regular Order</v>
      </c>
      <c r="H112">
        <v>813.8</v>
      </c>
      <c r="I112">
        <v>837.72</v>
      </c>
      <c r="J112" t="s">
        <v>35</v>
      </c>
      <c r="K112" t="s">
        <v>69</v>
      </c>
      <c r="L112" t="s">
        <v>435</v>
      </c>
    </row>
    <row r="113" spans="1:12" x14ac:dyDescent="0.25">
      <c r="A113" t="s">
        <v>436</v>
      </c>
      <c r="B113" t="s">
        <v>367</v>
      </c>
      <c r="C113" s="3">
        <v>45394</v>
      </c>
      <c r="D113" t="s">
        <v>29</v>
      </c>
      <c r="E113" t="s">
        <v>46</v>
      </c>
      <c r="F113">
        <v>999</v>
      </c>
      <c r="G113" t="str">
        <f t="shared" si="3"/>
        <v>Bulk Order</v>
      </c>
      <c r="H113">
        <v>917.66</v>
      </c>
      <c r="I113">
        <v>604.96</v>
      </c>
      <c r="J113" t="s">
        <v>102</v>
      </c>
      <c r="K113" t="s">
        <v>51</v>
      </c>
      <c r="L113" t="s">
        <v>438</v>
      </c>
    </row>
    <row r="114" spans="1:12" x14ac:dyDescent="0.25">
      <c r="A114" t="s">
        <v>439</v>
      </c>
      <c r="B114" t="s">
        <v>440</v>
      </c>
      <c r="C114" s="3">
        <v>45631</v>
      </c>
      <c r="D114" t="s">
        <v>1396</v>
      </c>
      <c r="E114" t="s">
        <v>185</v>
      </c>
      <c r="F114">
        <v>6</v>
      </c>
      <c r="G114" t="str">
        <f t="shared" si="3"/>
        <v>Regular Order</v>
      </c>
      <c r="H114">
        <v>49.51</v>
      </c>
      <c r="I114">
        <v>544.46</v>
      </c>
      <c r="J114" t="s">
        <v>30</v>
      </c>
      <c r="K114" t="s">
        <v>55</v>
      </c>
      <c r="L114" t="s">
        <v>442</v>
      </c>
    </row>
    <row r="115" spans="1:12" x14ac:dyDescent="0.25">
      <c r="A115" t="s">
        <v>443</v>
      </c>
      <c r="B115" t="s">
        <v>425</v>
      </c>
      <c r="C115" s="3">
        <v>45434</v>
      </c>
      <c r="D115" t="s">
        <v>147</v>
      </c>
      <c r="E115" t="s">
        <v>46</v>
      </c>
      <c r="F115">
        <v>6</v>
      </c>
      <c r="G115" t="str">
        <f t="shared" si="3"/>
        <v>Regular Order</v>
      </c>
      <c r="H115">
        <v>324.36</v>
      </c>
      <c r="I115">
        <v>482.40000000000003</v>
      </c>
      <c r="J115" t="s">
        <v>30</v>
      </c>
      <c r="K115" t="s">
        <v>51</v>
      </c>
      <c r="L115" t="s">
        <v>427</v>
      </c>
    </row>
    <row r="116" spans="1:12" x14ac:dyDescent="0.25">
      <c r="A116" t="s">
        <v>445</v>
      </c>
      <c r="B116" t="s">
        <v>446</v>
      </c>
      <c r="C116" s="3">
        <v>45185</v>
      </c>
      <c r="D116" t="s">
        <v>29</v>
      </c>
      <c r="E116" t="s">
        <v>46</v>
      </c>
      <c r="F116">
        <v>999</v>
      </c>
      <c r="G116" t="str">
        <f t="shared" si="3"/>
        <v>Bulk Order</v>
      </c>
      <c r="H116">
        <v>928.36</v>
      </c>
      <c r="I116">
        <v>366.94</v>
      </c>
      <c r="J116" t="s">
        <v>35</v>
      </c>
      <c r="L116" t="s">
        <v>448</v>
      </c>
    </row>
    <row r="117" spans="1:12" x14ac:dyDescent="0.25">
      <c r="A117" t="s">
        <v>449</v>
      </c>
      <c r="B117" t="s">
        <v>182</v>
      </c>
      <c r="C117" s="3">
        <v>45417</v>
      </c>
      <c r="D117" t="s">
        <v>101</v>
      </c>
      <c r="E117" t="s">
        <v>15</v>
      </c>
      <c r="F117">
        <v>8</v>
      </c>
      <c r="G117" t="str">
        <f t="shared" si="3"/>
        <v>Regular Order</v>
      </c>
      <c r="H117">
        <v>24.02</v>
      </c>
      <c r="I117">
        <v>600.96</v>
      </c>
      <c r="J117" t="s">
        <v>16</v>
      </c>
      <c r="K117" t="s">
        <v>69</v>
      </c>
      <c r="L117" t="s">
        <v>186</v>
      </c>
    </row>
    <row r="118" spans="1:12" x14ac:dyDescent="0.25">
      <c r="A118" t="s">
        <v>451</v>
      </c>
      <c r="B118" t="s">
        <v>452</v>
      </c>
      <c r="C118" s="3">
        <v>44963</v>
      </c>
      <c r="D118" t="s">
        <v>101</v>
      </c>
      <c r="E118" t="s">
        <v>15</v>
      </c>
      <c r="F118">
        <v>3</v>
      </c>
      <c r="G118" t="str">
        <f t="shared" si="3"/>
        <v>Regular Order</v>
      </c>
      <c r="H118">
        <v>27.59</v>
      </c>
      <c r="I118">
        <v>314.52</v>
      </c>
      <c r="J118" t="s">
        <v>35</v>
      </c>
      <c r="K118" t="s">
        <v>17</v>
      </c>
      <c r="L118" t="s">
        <v>454</v>
      </c>
    </row>
    <row r="119" spans="1:12" x14ac:dyDescent="0.25">
      <c r="A119" t="s">
        <v>455</v>
      </c>
      <c r="B119" t="s">
        <v>1399</v>
      </c>
      <c r="C119" s="3">
        <v>45173</v>
      </c>
      <c r="D119" t="s">
        <v>41</v>
      </c>
      <c r="E119" t="s">
        <v>15</v>
      </c>
      <c r="F119">
        <v>4</v>
      </c>
      <c r="G119" t="str">
        <f t="shared" si="3"/>
        <v>Regular Order</v>
      </c>
      <c r="H119">
        <f>IF(H112&lt;=0, AVERAGEIF($D:$D,D112,$H:$H),H112)</f>
        <v>813.8</v>
      </c>
      <c r="I119">
        <f>F119*H119</f>
        <v>3255.2</v>
      </c>
      <c r="J119" t="s">
        <v>35</v>
      </c>
      <c r="K119" t="s">
        <v>69</v>
      </c>
    </row>
    <row r="120" spans="1:12" x14ac:dyDescent="0.25">
      <c r="A120" t="s">
        <v>457</v>
      </c>
      <c r="B120" t="s">
        <v>62</v>
      </c>
      <c r="D120" t="s">
        <v>78</v>
      </c>
      <c r="E120" t="s">
        <v>46</v>
      </c>
      <c r="F120">
        <v>4</v>
      </c>
      <c r="G120" t="str">
        <f t="shared" si="3"/>
        <v>Regular Order</v>
      </c>
      <c r="H120">
        <v>91.22</v>
      </c>
      <c r="I120">
        <v>190.44</v>
      </c>
      <c r="J120" t="s">
        <v>30</v>
      </c>
      <c r="K120" t="s">
        <v>24</v>
      </c>
      <c r="L120" t="s">
        <v>65</v>
      </c>
    </row>
    <row r="121" spans="1:12" x14ac:dyDescent="0.25">
      <c r="A121" t="s">
        <v>459</v>
      </c>
      <c r="B121" t="s">
        <v>460</v>
      </c>
      <c r="D121" t="s">
        <v>87</v>
      </c>
      <c r="E121" t="s">
        <v>15</v>
      </c>
      <c r="F121">
        <v>6</v>
      </c>
      <c r="G121" t="str">
        <f t="shared" si="3"/>
        <v>Regular Order</v>
      </c>
      <c r="H121">
        <v>46.76</v>
      </c>
      <c r="I121">
        <v>255.47604166666659</v>
      </c>
      <c r="J121" t="s">
        <v>16</v>
      </c>
      <c r="K121" t="s">
        <v>55</v>
      </c>
      <c r="L121" t="s">
        <v>462</v>
      </c>
    </row>
    <row r="122" spans="1:12" x14ac:dyDescent="0.25">
      <c r="A122" t="s">
        <v>463</v>
      </c>
      <c r="B122" t="s">
        <v>464</v>
      </c>
      <c r="C122" s="3">
        <v>45516</v>
      </c>
      <c r="D122" t="s">
        <v>87</v>
      </c>
      <c r="E122" t="s">
        <v>15</v>
      </c>
      <c r="F122">
        <v>8</v>
      </c>
      <c r="G122" t="str">
        <f t="shared" si="3"/>
        <v>Regular Order</v>
      </c>
      <c r="H122">
        <v>49.33</v>
      </c>
      <c r="I122">
        <f>F122*H122</f>
        <v>394.64</v>
      </c>
      <c r="J122" t="s">
        <v>35</v>
      </c>
      <c r="K122" t="s">
        <v>17</v>
      </c>
      <c r="L122" t="s">
        <v>466</v>
      </c>
    </row>
    <row r="123" spans="1:12" x14ac:dyDescent="0.25">
      <c r="A123" t="s">
        <v>467</v>
      </c>
      <c r="B123" t="s">
        <v>1399</v>
      </c>
      <c r="C123" s="3">
        <v>45025</v>
      </c>
      <c r="D123" t="s">
        <v>147</v>
      </c>
      <c r="E123" t="s">
        <v>46</v>
      </c>
      <c r="F123">
        <v>5</v>
      </c>
      <c r="G123" t="str">
        <f t="shared" si="3"/>
        <v>Regular Order</v>
      </c>
      <c r="H123">
        <v>328.11</v>
      </c>
      <c r="I123">
        <v>4142.5</v>
      </c>
      <c r="J123" t="s">
        <v>16</v>
      </c>
      <c r="K123" t="s">
        <v>51</v>
      </c>
    </row>
    <row r="124" spans="1:12" x14ac:dyDescent="0.25">
      <c r="A124" t="s">
        <v>469</v>
      </c>
      <c r="B124" t="s">
        <v>470</v>
      </c>
      <c r="C124" s="3">
        <v>45061</v>
      </c>
      <c r="D124" t="s">
        <v>1396</v>
      </c>
      <c r="E124" t="s">
        <v>185</v>
      </c>
      <c r="F124">
        <v>5</v>
      </c>
      <c r="G124" t="str">
        <f t="shared" si="3"/>
        <v>Regular Order</v>
      </c>
      <c r="H124">
        <v>51.87</v>
      </c>
      <c r="I124">
        <f>F124*H124</f>
        <v>259.34999999999997</v>
      </c>
      <c r="J124" t="s">
        <v>16</v>
      </c>
      <c r="L124" t="s">
        <v>472</v>
      </c>
    </row>
    <row r="125" spans="1:12" x14ac:dyDescent="0.25">
      <c r="A125" t="s">
        <v>473</v>
      </c>
      <c r="B125" t="s">
        <v>474</v>
      </c>
      <c r="C125" s="3">
        <v>45048</v>
      </c>
      <c r="D125" t="s">
        <v>41</v>
      </c>
      <c r="E125" t="s">
        <v>15</v>
      </c>
      <c r="F125">
        <v>6</v>
      </c>
      <c r="G125" t="str">
        <f t="shared" si="3"/>
        <v>Regular Order</v>
      </c>
      <c r="H125">
        <v>73.3</v>
      </c>
      <c r="I125">
        <v>364.63</v>
      </c>
      <c r="J125" t="s">
        <v>35</v>
      </c>
      <c r="K125" t="s">
        <v>55</v>
      </c>
      <c r="L125" t="s">
        <v>476</v>
      </c>
    </row>
    <row r="126" spans="1:12" x14ac:dyDescent="0.25">
      <c r="A126" t="s">
        <v>477</v>
      </c>
      <c r="B126" t="s">
        <v>478</v>
      </c>
      <c r="C126" s="3">
        <v>45360</v>
      </c>
      <c r="D126" t="s">
        <v>87</v>
      </c>
      <c r="E126" t="s">
        <v>15</v>
      </c>
      <c r="F126">
        <v>8</v>
      </c>
      <c r="G126" t="str">
        <f t="shared" si="3"/>
        <v>Regular Order</v>
      </c>
      <c r="H126">
        <v>47.41</v>
      </c>
      <c r="I126">
        <v>55.36</v>
      </c>
      <c r="J126" t="s">
        <v>102</v>
      </c>
      <c r="K126" t="s">
        <v>51</v>
      </c>
      <c r="L126" t="s">
        <v>480</v>
      </c>
    </row>
    <row r="127" spans="1:12" x14ac:dyDescent="0.25">
      <c r="A127" t="s">
        <v>481</v>
      </c>
      <c r="B127" t="s">
        <v>482</v>
      </c>
      <c r="C127" s="3">
        <v>45570</v>
      </c>
      <c r="D127" t="s">
        <v>41</v>
      </c>
      <c r="E127" t="s">
        <v>15</v>
      </c>
      <c r="F127">
        <v>999</v>
      </c>
      <c r="G127" t="str">
        <f t="shared" si="3"/>
        <v>Bulk Order</v>
      </c>
      <c r="H127">
        <v>81.42</v>
      </c>
      <c r="I127">
        <v>119.5</v>
      </c>
      <c r="J127" t="s">
        <v>35</v>
      </c>
      <c r="L127" t="s">
        <v>484</v>
      </c>
    </row>
    <row r="128" spans="1:12" x14ac:dyDescent="0.25">
      <c r="A128" t="s">
        <v>485</v>
      </c>
      <c r="B128" t="s">
        <v>486</v>
      </c>
      <c r="C128" s="3">
        <v>45458</v>
      </c>
      <c r="D128" t="s">
        <v>78</v>
      </c>
      <c r="E128" t="s">
        <v>46</v>
      </c>
      <c r="F128">
        <v>3</v>
      </c>
      <c r="G128" t="str">
        <f t="shared" si="3"/>
        <v>Regular Order</v>
      </c>
      <c r="H128">
        <v>92.66</v>
      </c>
      <c r="I128">
        <v>133.75</v>
      </c>
      <c r="J128" t="s">
        <v>102</v>
      </c>
      <c r="K128" t="s">
        <v>51</v>
      </c>
      <c r="L128" t="s">
        <v>488</v>
      </c>
    </row>
    <row r="129" spans="1:12" x14ac:dyDescent="0.25">
      <c r="A129" t="s">
        <v>489</v>
      </c>
      <c r="B129" t="s">
        <v>1399</v>
      </c>
      <c r="C129" s="3">
        <v>45477</v>
      </c>
      <c r="D129" t="s">
        <v>101</v>
      </c>
      <c r="E129" t="s">
        <v>15</v>
      </c>
      <c r="F129">
        <v>1</v>
      </c>
      <c r="G129" t="str">
        <f t="shared" si="3"/>
        <v>Regular Order</v>
      </c>
      <c r="I129">
        <v>4171.25</v>
      </c>
      <c r="J129" t="s">
        <v>35</v>
      </c>
      <c r="K129" t="s">
        <v>55</v>
      </c>
    </row>
    <row r="130" spans="1:12" x14ac:dyDescent="0.25">
      <c r="A130" t="s">
        <v>491</v>
      </c>
      <c r="B130" t="s">
        <v>492</v>
      </c>
      <c r="C130" s="3">
        <v>45649</v>
      </c>
      <c r="D130" t="s">
        <v>87</v>
      </c>
      <c r="E130" t="s">
        <v>15</v>
      </c>
      <c r="F130">
        <v>6</v>
      </c>
      <c r="G130" t="str">
        <f t="shared" si="3"/>
        <v>Regular Order</v>
      </c>
      <c r="H130">
        <v>53.06</v>
      </c>
      <c r="I130">
        <v>822.55</v>
      </c>
      <c r="J130" t="s">
        <v>16</v>
      </c>
      <c r="L130" t="s">
        <v>495</v>
      </c>
    </row>
    <row r="131" spans="1:12" x14ac:dyDescent="0.25">
      <c r="A131" t="s">
        <v>496</v>
      </c>
      <c r="B131" t="s">
        <v>497</v>
      </c>
      <c r="C131" s="3">
        <v>45619</v>
      </c>
      <c r="D131" t="s">
        <v>147</v>
      </c>
      <c r="E131" t="s">
        <v>46</v>
      </c>
      <c r="F131">
        <v>7</v>
      </c>
      <c r="G131" t="str">
        <f t="shared" ref="G131:G194" si="6">IF(F131&gt; 100, "Bulk Order", "Regular Order")</f>
        <v>Regular Order</v>
      </c>
      <c r="H131">
        <v>282.89</v>
      </c>
      <c r="I131">
        <f>F131*H131</f>
        <v>1980.23</v>
      </c>
      <c r="J131" t="s">
        <v>102</v>
      </c>
      <c r="K131" t="s">
        <v>17</v>
      </c>
      <c r="L131" t="s">
        <v>499</v>
      </c>
    </row>
    <row r="132" spans="1:12" x14ac:dyDescent="0.25">
      <c r="A132" t="s">
        <v>500</v>
      </c>
      <c r="B132" t="s">
        <v>501</v>
      </c>
      <c r="C132" s="3">
        <v>45390</v>
      </c>
      <c r="D132" t="s">
        <v>87</v>
      </c>
      <c r="E132" t="s">
        <v>15</v>
      </c>
      <c r="F132">
        <v>7</v>
      </c>
      <c r="G132" t="str">
        <f t="shared" si="6"/>
        <v>Regular Order</v>
      </c>
      <c r="H132">
        <v>45.78</v>
      </c>
      <c r="I132">
        <v>88.26</v>
      </c>
      <c r="J132" t="s">
        <v>16</v>
      </c>
      <c r="K132" t="s">
        <v>55</v>
      </c>
      <c r="L132" t="s">
        <v>503</v>
      </c>
    </row>
    <row r="133" spans="1:12" x14ac:dyDescent="0.25">
      <c r="A133" t="s">
        <v>504</v>
      </c>
      <c r="B133" t="s">
        <v>505</v>
      </c>
      <c r="C133" s="3">
        <v>45578</v>
      </c>
      <c r="D133" t="s">
        <v>41</v>
      </c>
      <c r="E133" t="s">
        <v>15</v>
      </c>
      <c r="F133">
        <v>7</v>
      </c>
      <c r="G133" t="str">
        <f t="shared" si="6"/>
        <v>Regular Order</v>
      </c>
      <c r="H133">
        <v>81.319999999999993</v>
      </c>
      <c r="I133">
        <v>4594.75</v>
      </c>
      <c r="J133" t="s">
        <v>30</v>
      </c>
      <c r="K133" t="s">
        <v>69</v>
      </c>
      <c r="L133" t="s">
        <v>508</v>
      </c>
    </row>
    <row r="134" spans="1:12" x14ac:dyDescent="0.25">
      <c r="A134" t="s">
        <v>509</v>
      </c>
      <c r="B134" t="s">
        <v>510</v>
      </c>
      <c r="C134" s="3">
        <v>45276</v>
      </c>
      <c r="D134" t="s">
        <v>147</v>
      </c>
      <c r="E134" t="s">
        <v>46</v>
      </c>
      <c r="F134">
        <v>5</v>
      </c>
      <c r="G134" t="str">
        <f t="shared" si="6"/>
        <v>Regular Order</v>
      </c>
      <c r="H134">
        <v>290.08</v>
      </c>
      <c r="I134">
        <v>264.85000000000002</v>
      </c>
      <c r="J134" t="s">
        <v>30</v>
      </c>
      <c r="K134" t="s">
        <v>17</v>
      </c>
      <c r="L134" t="s">
        <v>512</v>
      </c>
    </row>
    <row r="135" spans="1:12" x14ac:dyDescent="0.25">
      <c r="A135" t="s">
        <v>513</v>
      </c>
      <c r="B135" t="s">
        <v>514</v>
      </c>
      <c r="C135" s="3">
        <v>45398</v>
      </c>
      <c r="D135" t="s">
        <v>101</v>
      </c>
      <c r="E135" t="s">
        <v>15</v>
      </c>
      <c r="F135">
        <v>9</v>
      </c>
      <c r="G135" t="str">
        <f t="shared" si="6"/>
        <v>Regular Order</v>
      </c>
      <c r="H135">
        <v>28.42</v>
      </c>
      <c r="I135">
        <v>470.58000000000004</v>
      </c>
      <c r="J135" t="s">
        <v>35</v>
      </c>
      <c r="K135" t="s">
        <v>69</v>
      </c>
      <c r="L135" t="s">
        <v>515</v>
      </c>
    </row>
    <row r="136" spans="1:12" x14ac:dyDescent="0.25">
      <c r="A136" t="s">
        <v>516</v>
      </c>
      <c r="B136" t="s">
        <v>72</v>
      </c>
      <c r="C136" s="3">
        <v>45240</v>
      </c>
      <c r="D136" t="s">
        <v>29</v>
      </c>
      <c r="E136" t="s">
        <v>46</v>
      </c>
      <c r="F136">
        <v>3</v>
      </c>
      <c r="G136" t="str">
        <f t="shared" si="6"/>
        <v>Regular Order</v>
      </c>
      <c r="H136">
        <v>903.85</v>
      </c>
      <c r="I136">
        <f>F136*H136</f>
        <v>2711.55</v>
      </c>
      <c r="J136" t="s">
        <v>35</v>
      </c>
      <c r="K136" t="s">
        <v>55</v>
      </c>
      <c r="L136" t="s">
        <v>74</v>
      </c>
    </row>
    <row r="137" spans="1:12" x14ac:dyDescent="0.25">
      <c r="A137" t="s">
        <v>518</v>
      </c>
      <c r="B137" t="s">
        <v>519</v>
      </c>
      <c r="C137" s="3">
        <v>45500</v>
      </c>
      <c r="D137" t="s">
        <v>1396</v>
      </c>
      <c r="E137" t="s">
        <v>185</v>
      </c>
      <c r="F137">
        <v>7</v>
      </c>
      <c r="G137" t="str">
        <f t="shared" si="6"/>
        <v>Regular Order</v>
      </c>
      <c r="H137">
        <v>50.77</v>
      </c>
      <c r="I137">
        <v>7407.81</v>
      </c>
      <c r="J137" t="s">
        <v>30</v>
      </c>
      <c r="K137" t="s">
        <v>55</v>
      </c>
      <c r="L137" t="s">
        <v>521</v>
      </c>
    </row>
    <row r="138" spans="1:12" x14ac:dyDescent="0.25">
      <c r="A138" t="s">
        <v>522</v>
      </c>
      <c r="B138" t="s">
        <v>99</v>
      </c>
      <c r="C138" s="3">
        <v>45099</v>
      </c>
      <c r="D138" t="s">
        <v>147</v>
      </c>
      <c r="E138" t="s">
        <v>46</v>
      </c>
      <c r="F138">
        <v>6</v>
      </c>
      <c r="G138" t="str">
        <f t="shared" si="6"/>
        <v>Regular Order</v>
      </c>
      <c r="H138">
        <v>301.95</v>
      </c>
      <c r="I138">
        <f>F138*H138</f>
        <v>1811.6999999999998</v>
      </c>
      <c r="J138" t="s">
        <v>16</v>
      </c>
      <c r="L138" t="s">
        <v>103</v>
      </c>
    </row>
    <row r="139" spans="1:12" x14ac:dyDescent="0.25">
      <c r="A139" t="s">
        <v>524</v>
      </c>
      <c r="B139" t="s">
        <v>525</v>
      </c>
      <c r="C139" s="3">
        <v>45607</v>
      </c>
      <c r="D139" t="s">
        <v>87</v>
      </c>
      <c r="E139" t="s">
        <v>15</v>
      </c>
      <c r="F139">
        <v>7</v>
      </c>
      <c r="G139" t="str">
        <f t="shared" si="6"/>
        <v>Regular Order</v>
      </c>
      <c r="H139">
        <v>46.89</v>
      </c>
      <c r="I139">
        <v>72.150000000000006</v>
      </c>
      <c r="J139" t="s">
        <v>102</v>
      </c>
      <c r="K139" t="s">
        <v>69</v>
      </c>
      <c r="L139" t="s">
        <v>527</v>
      </c>
    </row>
    <row r="140" spans="1:12" x14ac:dyDescent="0.25">
      <c r="A140" t="s">
        <v>528</v>
      </c>
      <c r="B140" t="s">
        <v>529</v>
      </c>
      <c r="C140" s="3">
        <v>45573</v>
      </c>
      <c r="D140" t="s">
        <v>78</v>
      </c>
      <c r="E140" t="s">
        <v>46</v>
      </c>
      <c r="F140">
        <v>4</v>
      </c>
      <c r="G140" t="str">
        <f t="shared" si="6"/>
        <v>Regular Order</v>
      </c>
      <c r="H140">
        <v>85.7</v>
      </c>
      <c r="I140">
        <v>356.52</v>
      </c>
      <c r="J140" t="s">
        <v>102</v>
      </c>
      <c r="K140" t="s">
        <v>17</v>
      </c>
      <c r="L140" t="s">
        <v>530</v>
      </c>
    </row>
    <row r="141" spans="1:12" x14ac:dyDescent="0.25">
      <c r="A141" t="s">
        <v>531</v>
      </c>
      <c r="B141" t="s">
        <v>532</v>
      </c>
      <c r="C141" s="3">
        <v>45505</v>
      </c>
      <c r="D141" t="s">
        <v>87</v>
      </c>
      <c r="E141" t="s">
        <v>15</v>
      </c>
      <c r="F141">
        <v>7</v>
      </c>
      <c r="G141" t="str">
        <f t="shared" si="6"/>
        <v>Regular Order</v>
      </c>
      <c r="H141">
        <v>48.03</v>
      </c>
      <c r="I141">
        <v>107.32</v>
      </c>
      <c r="J141" t="s">
        <v>16</v>
      </c>
      <c r="K141" t="s">
        <v>55</v>
      </c>
      <c r="L141" t="s">
        <v>533</v>
      </c>
    </row>
    <row r="142" spans="1:12" x14ac:dyDescent="0.25">
      <c r="A142" t="s">
        <v>534</v>
      </c>
      <c r="B142" t="s">
        <v>535</v>
      </c>
      <c r="C142" s="3">
        <v>45479</v>
      </c>
      <c r="D142" t="s">
        <v>147</v>
      </c>
      <c r="E142" t="s">
        <v>46</v>
      </c>
      <c r="F142">
        <v>4</v>
      </c>
      <c r="G142" t="str">
        <f t="shared" si="6"/>
        <v>Regular Order</v>
      </c>
      <c r="H142">
        <v>313.83</v>
      </c>
      <c r="I142">
        <v>1124</v>
      </c>
      <c r="J142" t="s">
        <v>16</v>
      </c>
      <c r="K142" t="s">
        <v>51</v>
      </c>
      <c r="L142" t="s">
        <v>537</v>
      </c>
    </row>
    <row r="143" spans="1:12" x14ac:dyDescent="0.25">
      <c r="A143" t="s">
        <v>538</v>
      </c>
      <c r="B143" t="s">
        <v>386</v>
      </c>
      <c r="C143" s="3">
        <v>45078</v>
      </c>
      <c r="D143" t="s">
        <v>101</v>
      </c>
      <c r="E143" t="s">
        <v>15</v>
      </c>
      <c r="F143">
        <v>3</v>
      </c>
      <c r="G143" t="str">
        <f t="shared" si="6"/>
        <v>Regular Order</v>
      </c>
      <c r="H143">
        <v>26.63</v>
      </c>
      <c r="I143">
        <v>536.04</v>
      </c>
      <c r="J143" t="s">
        <v>102</v>
      </c>
      <c r="K143" t="s">
        <v>69</v>
      </c>
      <c r="L143" t="s">
        <v>389</v>
      </c>
    </row>
    <row r="144" spans="1:12" x14ac:dyDescent="0.25">
      <c r="A144" t="s">
        <v>539</v>
      </c>
      <c r="B144" t="s">
        <v>124</v>
      </c>
      <c r="C144" s="3">
        <v>45440</v>
      </c>
      <c r="D144" t="s">
        <v>29</v>
      </c>
      <c r="E144" t="s">
        <v>46</v>
      </c>
      <c r="F144">
        <v>5</v>
      </c>
      <c r="G144" t="str">
        <f t="shared" si="6"/>
        <v>Regular Order</v>
      </c>
      <c r="H144">
        <v>46.08</v>
      </c>
      <c r="I144">
        <f>F144*H144</f>
        <v>230.39999999999998</v>
      </c>
      <c r="J144" t="s">
        <v>35</v>
      </c>
      <c r="K144" t="s">
        <v>55</v>
      </c>
      <c r="L144" t="s">
        <v>127</v>
      </c>
    </row>
    <row r="145" spans="1:12" x14ac:dyDescent="0.25">
      <c r="A145" t="s">
        <v>542</v>
      </c>
      <c r="B145" t="s">
        <v>1399</v>
      </c>
      <c r="C145" s="3">
        <v>45536</v>
      </c>
      <c r="D145" t="s">
        <v>29</v>
      </c>
      <c r="E145" t="s">
        <v>46</v>
      </c>
      <c r="F145">
        <v>5</v>
      </c>
      <c r="G145" t="str">
        <f t="shared" si="6"/>
        <v>Regular Order</v>
      </c>
      <c r="H145">
        <v>853.39</v>
      </c>
      <c r="I145">
        <v>7722.09</v>
      </c>
      <c r="J145" t="s">
        <v>35</v>
      </c>
      <c r="K145" t="s">
        <v>24</v>
      </c>
    </row>
    <row r="146" spans="1:12" x14ac:dyDescent="0.25">
      <c r="A146" t="s">
        <v>544</v>
      </c>
      <c r="B146" t="s">
        <v>1399</v>
      </c>
      <c r="C146" s="3">
        <v>45179</v>
      </c>
      <c r="D146" t="s">
        <v>41</v>
      </c>
      <c r="E146" t="s">
        <v>15</v>
      </c>
      <c r="F146">
        <v>5</v>
      </c>
      <c r="G146" t="str">
        <f t="shared" si="6"/>
        <v>Regular Order</v>
      </c>
      <c r="H146">
        <v>78.680000000000007</v>
      </c>
      <c r="I146">
        <v>843.62999999999988</v>
      </c>
      <c r="J146" t="s">
        <v>30</v>
      </c>
      <c r="K146" t="s">
        <v>24</v>
      </c>
    </row>
    <row r="147" spans="1:12" x14ac:dyDescent="0.25">
      <c r="A147" t="s">
        <v>546</v>
      </c>
      <c r="B147" t="s">
        <v>547</v>
      </c>
      <c r="C147" s="3">
        <v>45137</v>
      </c>
      <c r="D147" t="s">
        <v>101</v>
      </c>
      <c r="E147" t="s">
        <v>15</v>
      </c>
      <c r="F147">
        <v>7</v>
      </c>
      <c r="G147" t="str">
        <f t="shared" si="6"/>
        <v>Regular Order</v>
      </c>
      <c r="H147">
        <v>27.36</v>
      </c>
      <c r="I147">
        <f>F147*H147</f>
        <v>191.51999999999998</v>
      </c>
      <c r="J147" t="s">
        <v>102</v>
      </c>
      <c r="K147" t="s">
        <v>17</v>
      </c>
      <c r="L147" t="s">
        <v>549</v>
      </c>
    </row>
    <row r="148" spans="1:12" x14ac:dyDescent="0.25">
      <c r="A148" t="s">
        <v>550</v>
      </c>
      <c r="B148" t="s">
        <v>551</v>
      </c>
      <c r="C148" s="3">
        <v>45345</v>
      </c>
      <c r="D148" t="s">
        <v>147</v>
      </c>
      <c r="E148" t="s">
        <v>46</v>
      </c>
      <c r="F148">
        <v>2</v>
      </c>
      <c r="G148" t="str">
        <f t="shared" si="6"/>
        <v>Regular Order</v>
      </c>
      <c r="H148">
        <v>311.54000000000002</v>
      </c>
      <c r="I148">
        <v>623.08000000000004</v>
      </c>
      <c r="J148" t="s">
        <v>30</v>
      </c>
      <c r="K148" t="s">
        <v>51</v>
      </c>
      <c r="L148" t="s">
        <v>553</v>
      </c>
    </row>
    <row r="149" spans="1:12" x14ac:dyDescent="0.25">
      <c r="A149" t="s">
        <v>554</v>
      </c>
      <c r="B149" t="s">
        <v>555</v>
      </c>
      <c r="C149" s="3">
        <v>45613</v>
      </c>
      <c r="D149" t="s">
        <v>41</v>
      </c>
      <c r="E149" t="s">
        <v>15</v>
      </c>
      <c r="F149">
        <v>5</v>
      </c>
      <c r="G149" t="str">
        <f t="shared" si="6"/>
        <v>Regular Order</v>
      </c>
      <c r="H149">
        <v>73.5</v>
      </c>
      <c r="I149">
        <f>F149*H149</f>
        <v>367.5</v>
      </c>
      <c r="J149" t="s">
        <v>102</v>
      </c>
      <c r="K149" t="s">
        <v>55</v>
      </c>
      <c r="L149" t="s">
        <v>557</v>
      </c>
    </row>
    <row r="150" spans="1:12" x14ac:dyDescent="0.25">
      <c r="A150" t="s">
        <v>558</v>
      </c>
      <c r="B150" t="s">
        <v>559</v>
      </c>
      <c r="C150" s="3">
        <v>45242</v>
      </c>
      <c r="D150" t="s">
        <v>78</v>
      </c>
      <c r="E150" t="s">
        <v>46</v>
      </c>
      <c r="F150">
        <v>3</v>
      </c>
      <c r="G150" t="str">
        <f t="shared" si="6"/>
        <v>Regular Order</v>
      </c>
      <c r="H150">
        <v>92.59</v>
      </c>
      <c r="I150">
        <v>277.77</v>
      </c>
      <c r="J150" t="s">
        <v>102</v>
      </c>
      <c r="K150" t="s">
        <v>17</v>
      </c>
      <c r="L150" t="s">
        <v>561</v>
      </c>
    </row>
    <row r="151" spans="1:12" x14ac:dyDescent="0.25">
      <c r="A151" t="s">
        <v>562</v>
      </c>
      <c r="B151" t="s">
        <v>200</v>
      </c>
      <c r="C151" s="3">
        <v>45289</v>
      </c>
      <c r="D151" t="s">
        <v>78</v>
      </c>
      <c r="E151" t="s">
        <v>46</v>
      </c>
      <c r="F151">
        <v>3</v>
      </c>
      <c r="G151" t="str">
        <f t="shared" si="6"/>
        <v>Regular Order</v>
      </c>
      <c r="H151">
        <v>88.01</v>
      </c>
      <c r="I151">
        <v>264.02999999999997</v>
      </c>
      <c r="J151" t="s">
        <v>30</v>
      </c>
      <c r="K151" t="s">
        <v>24</v>
      </c>
      <c r="L151" t="s">
        <v>564</v>
      </c>
    </row>
    <row r="152" spans="1:12" x14ac:dyDescent="0.25">
      <c r="A152" t="s">
        <v>565</v>
      </c>
      <c r="B152" t="s">
        <v>566</v>
      </c>
      <c r="C152" s="3">
        <v>45453</v>
      </c>
      <c r="D152" t="s">
        <v>29</v>
      </c>
      <c r="E152" t="s">
        <v>46</v>
      </c>
      <c r="F152">
        <v>6</v>
      </c>
      <c r="G152" t="str">
        <f t="shared" si="6"/>
        <v>Regular Order</v>
      </c>
      <c r="H152">
        <v>963.59</v>
      </c>
      <c r="I152">
        <v>5781.54</v>
      </c>
      <c r="J152" t="s">
        <v>102</v>
      </c>
      <c r="K152" t="s">
        <v>51</v>
      </c>
      <c r="L152" t="s">
        <v>568</v>
      </c>
    </row>
    <row r="153" spans="1:12" x14ac:dyDescent="0.25">
      <c r="A153" t="s">
        <v>569</v>
      </c>
      <c r="B153" t="s">
        <v>49</v>
      </c>
      <c r="C153" s="3">
        <v>45539</v>
      </c>
      <c r="D153" t="s">
        <v>1396</v>
      </c>
      <c r="E153" t="s">
        <v>185</v>
      </c>
      <c r="F153">
        <v>3</v>
      </c>
      <c r="G153" t="str">
        <f t="shared" si="6"/>
        <v>Regular Order</v>
      </c>
      <c r="H153">
        <v>46.67</v>
      </c>
      <c r="I153">
        <v>140.01</v>
      </c>
      <c r="J153" t="s">
        <v>16</v>
      </c>
      <c r="K153" t="s">
        <v>55</v>
      </c>
      <c r="L153" t="s">
        <v>52</v>
      </c>
    </row>
    <row r="154" spans="1:12" x14ac:dyDescent="0.25">
      <c r="A154" t="s">
        <v>571</v>
      </c>
      <c r="B154" t="s">
        <v>1399</v>
      </c>
      <c r="C154" s="3">
        <v>45650</v>
      </c>
      <c r="D154" t="s">
        <v>22</v>
      </c>
      <c r="E154" t="s">
        <v>23</v>
      </c>
      <c r="F154">
        <v>8</v>
      </c>
      <c r="G154" t="str">
        <f t="shared" si="6"/>
        <v>Regular Order</v>
      </c>
      <c r="H154">
        <v>147.33000000000001</v>
      </c>
      <c r="I154">
        <v>1178.6400000000001</v>
      </c>
      <c r="J154" t="s">
        <v>16</v>
      </c>
      <c r="K154" t="s">
        <v>24</v>
      </c>
    </row>
    <row r="155" spans="1:12" x14ac:dyDescent="0.25">
      <c r="A155" t="s">
        <v>573</v>
      </c>
      <c r="B155" t="s">
        <v>285</v>
      </c>
      <c r="C155" s="3">
        <v>45011</v>
      </c>
      <c r="D155" t="s">
        <v>87</v>
      </c>
      <c r="E155" t="s">
        <v>15</v>
      </c>
      <c r="F155">
        <v>9</v>
      </c>
      <c r="G155" t="str">
        <f t="shared" si="6"/>
        <v>Regular Order</v>
      </c>
      <c r="H155">
        <v>45.04</v>
      </c>
      <c r="I155">
        <v>405.36</v>
      </c>
      <c r="J155" t="s">
        <v>30</v>
      </c>
      <c r="K155" t="s">
        <v>51</v>
      </c>
      <c r="L155" t="s">
        <v>288</v>
      </c>
    </row>
    <row r="156" spans="1:12" x14ac:dyDescent="0.25">
      <c r="A156" t="s">
        <v>575</v>
      </c>
      <c r="B156" t="s">
        <v>576</v>
      </c>
      <c r="C156" s="3">
        <v>45606</v>
      </c>
      <c r="D156" t="s">
        <v>41</v>
      </c>
      <c r="E156" t="s">
        <v>15</v>
      </c>
      <c r="F156">
        <v>7</v>
      </c>
      <c r="G156" t="str">
        <f t="shared" si="6"/>
        <v>Regular Order</v>
      </c>
      <c r="H156">
        <v>85.44</v>
      </c>
      <c r="I156">
        <v>598.08000000000004</v>
      </c>
      <c r="J156" t="s">
        <v>30</v>
      </c>
      <c r="K156" t="s">
        <v>17</v>
      </c>
      <c r="L156" t="s">
        <v>577</v>
      </c>
    </row>
    <row r="157" spans="1:12" x14ac:dyDescent="0.25">
      <c r="A157" t="s">
        <v>578</v>
      </c>
      <c r="B157" t="s">
        <v>167</v>
      </c>
      <c r="C157" s="3">
        <v>45416</v>
      </c>
      <c r="D157" t="s">
        <v>22</v>
      </c>
      <c r="E157" t="s">
        <v>23</v>
      </c>
      <c r="F157">
        <v>9</v>
      </c>
      <c r="G157" t="str">
        <f t="shared" si="6"/>
        <v>Regular Order</v>
      </c>
      <c r="H157">
        <v>141.81</v>
      </c>
      <c r="I157">
        <v>1276.29</v>
      </c>
      <c r="J157" t="s">
        <v>35</v>
      </c>
      <c r="K157" t="s">
        <v>17</v>
      </c>
      <c r="L157" t="s">
        <v>169</v>
      </c>
    </row>
    <row r="158" spans="1:12" x14ac:dyDescent="0.25">
      <c r="A158" t="s">
        <v>581</v>
      </c>
      <c r="B158" t="s">
        <v>1399</v>
      </c>
      <c r="C158" s="3">
        <v>44962</v>
      </c>
      <c r="D158" t="s">
        <v>22</v>
      </c>
      <c r="E158" t="s">
        <v>23</v>
      </c>
      <c r="F158">
        <v>4</v>
      </c>
      <c r="G158" t="str">
        <f t="shared" si="6"/>
        <v>Regular Order</v>
      </c>
      <c r="H158">
        <v>161.87</v>
      </c>
      <c r="I158">
        <v>647.48</v>
      </c>
      <c r="K158" t="s">
        <v>51</v>
      </c>
    </row>
    <row r="159" spans="1:12" x14ac:dyDescent="0.25">
      <c r="A159" t="s">
        <v>583</v>
      </c>
      <c r="B159" t="s">
        <v>584</v>
      </c>
      <c r="C159" s="3">
        <v>45208</v>
      </c>
      <c r="D159" t="s">
        <v>41</v>
      </c>
      <c r="E159" t="s">
        <v>15</v>
      </c>
      <c r="F159">
        <v>2</v>
      </c>
      <c r="G159" t="str">
        <f t="shared" si="6"/>
        <v>Regular Order</v>
      </c>
      <c r="H159">
        <v>77.3</v>
      </c>
      <c r="I159">
        <v>154.6</v>
      </c>
      <c r="J159" t="s">
        <v>30</v>
      </c>
      <c r="K159" t="s">
        <v>17</v>
      </c>
      <c r="L159" t="s">
        <v>585</v>
      </c>
    </row>
    <row r="160" spans="1:12" x14ac:dyDescent="0.25">
      <c r="A160" t="s">
        <v>586</v>
      </c>
      <c r="B160" t="s">
        <v>290</v>
      </c>
      <c r="C160" s="3">
        <v>45453</v>
      </c>
      <c r="D160" t="s">
        <v>87</v>
      </c>
      <c r="E160" t="s">
        <v>15</v>
      </c>
      <c r="F160">
        <v>2</v>
      </c>
      <c r="G160" t="str">
        <f t="shared" si="6"/>
        <v>Regular Order</v>
      </c>
      <c r="J160" t="s">
        <v>102</v>
      </c>
      <c r="K160" t="s">
        <v>17</v>
      </c>
      <c r="L160" t="s">
        <v>292</v>
      </c>
    </row>
    <row r="161" spans="1:12" x14ac:dyDescent="0.25">
      <c r="A161" t="s">
        <v>587</v>
      </c>
      <c r="B161" t="s">
        <v>588</v>
      </c>
      <c r="C161" s="3">
        <v>45013</v>
      </c>
      <c r="D161" t="s">
        <v>29</v>
      </c>
      <c r="E161" t="s">
        <v>46</v>
      </c>
      <c r="F161">
        <v>3</v>
      </c>
      <c r="G161" t="str">
        <f t="shared" si="6"/>
        <v>Regular Order</v>
      </c>
      <c r="H161">
        <v>930.77</v>
      </c>
      <c r="I161">
        <v>2792.31</v>
      </c>
      <c r="J161" t="s">
        <v>102</v>
      </c>
      <c r="K161" t="s">
        <v>69</v>
      </c>
      <c r="L161" t="s">
        <v>590</v>
      </c>
    </row>
    <row r="162" spans="1:12" x14ac:dyDescent="0.25">
      <c r="A162" t="s">
        <v>591</v>
      </c>
      <c r="B162" t="s">
        <v>1399</v>
      </c>
      <c r="C162" s="3">
        <v>45149</v>
      </c>
      <c r="D162" t="s">
        <v>101</v>
      </c>
      <c r="E162" t="s">
        <v>15</v>
      </c>
      <c r="F162">
        <v>4</v>
      </c>
      <c r="G162" t="str">
        <f t="shared" si="6"/>
        <v>Regular Order</v>
      </c>
      <c r="H162">
        <v>25.77</v>
      </c>
      <c r="I162">
        <v>103.08</v>
      </c>
      <c r="J162" t="s">
        <v>35</v>
      </c>
      <c r="K162" t="s">
        <v>17</v>
      </c>
    </row>
    <row r="163" spans="1:12" x14ac:dyDescent="0.25">
      <c r="A163" t="s">
        <v>592</v>
      </c>
      <c r="B163" t="s">
        <v>593</v>
      </c>
      <c r="C163" s="3">
        <v>45647</v>
      </c>
      <c r="D163" t="s">
        <v>29</v>
      </c>
      <c r="E163" t="s">
        <v>46</v>
      </c>
      <c r="F163">
        <v>6</v>
      </c>
      <c r="G163" t="str">
        <f t="shared" si="6"/>
        <v>Regular Order</v>
      </c>
      <c r="H163">
        <v>978.46</v>
      </c>
      <c r="I163">
        <f>F163*H163</f>
        <v>5870.76</v>
      </c>
      <c r="J163" t="s">
        <v>35</v>
      </c>
      <c r="K163" t="s">
        <v>24</v>
      </c>
    </row>
    <row r="164" spans="1:12" x14ac:dyDescent="0.25">
      <c r="A164" t="s">
        <v>595</v>
      </c>
      <c r="B164" t="s">
        <v>596</v>
      </c>
      <c r="C164" s="3">
        <v>45614</v>
      </c>
      <c r="D164" t="s">
        <v>1396</v>
      </c>
      <c r="E164" t="s">
        <v>185</v>
      </c>
      <c r="F164">
        <v>4</v>
      </c>
      <c r="G164" t="str">
        <f t="shared" si="6"/>
        <v>Regular Order</v>
      </c>
      <c r="J164" t="s">
        <v>102</v>
      </c>
      <c r="K164" t="s">
        <v>69</v>
      </c>
      <c r="L164" t="s">
        <v>597</v>
      </c>
    </row>
    <row r="165" spans="1:12" x14ac:dyDescent="0.25">
      <c r="A165" t="s">
        <v>598</v>
      </c>
      <c r="B165" t="s">
        <v>1399</v>
      </c>
      <c r="C165" s="3">
        <v>44941</v>
      </c>
      <c r="D165" t="s">
        <v>22</v>
      </c>
      <c r="E165" t="s">
        <v>23</v>
      </c>
      <c r="F165">
        <v>1</v>
      </c>
      <c r="G165" t="str">
        <f t="shared" si="6"/>
        <v>Regular Order</v>
      </c>
      <c r="H165">
        <v>162.44</v>
      </c>
      <c r="I165">
        <v>162.44</v>
      </c>
      <c r="J165" t="s">
        <v>30</v>
      </c>
      <c r="K165" t="s">
        <v>51</v>
      </c>
    </row>
    <row r="166" spans="1:12" x14ac:dyDescent="0.25">
      <c r="A166" t="s">
        <v>600</v>
      </c>
      <c r="B166" t="s">
        <v>601</v>
      </c>
      <c r="C166" s="3">
        <v>45558</v>
      </c>
      <c r="D166" t="s">
        <v>41</v>
      </c>
      <c r="E166" t="s">
        <v>15</v>
      </c>
      <c r="F166">
        <v>4</v>
      </c>
      <c r="G166" t="str">
        <f t="shared" si="6"/>
        <v>Regular Order</v>
      </c>
      <c r="H166">
        <v>86.27</v>
      </c>
      <c r="I166">
        <f t="shared" ref="I166:I168" si="7">F166*H166</f>
        <v>345.08</v>
      </c>
      <c r="J166" t="s">
        <v>35</v>
      </c>
      <c r="K166" t="s">
        <v>17</v>
      </c>
      <c r="L166" t="s">
        <v>603</v>
      </c>
    </row>
    <row r="167" spans="1:12" x14ac:dyDescent="0.25">
      <c r="A167" t="s">
        <v>604</v>
      </c>
      <c r="B167" t="s">
        <v>153</v>
      </c>
      <c r="C167" s="3">
        <v>44983</v>
      </c>
      <c r="D167" t="s">
        <v>147</v>
      </c>
      <c r="E167" t="s">
        <v>46</v>
      </c>
      <c r="F167">
        <v>5</v>
      </c>
      <c r="G167" t="str">
        <f t="shared" si="6"/>
        <v>Regular Order</v>
      </c>
      <c r="H167">
        <v>313.27999999999997</v>
      </c>
      <c r="I167">
        <f t="shared" si="7"/>
        <v>1566.3999999999999</v>
      </c>
      <c r="J167" t="s">
        <v>16</v>
      </c>
      <c r="K167" t="s">
        <v>69</v>
      </c>
      <c r="L167" t="s">
        <v>156</v>
      </c>
    </row>
    <row r="168" spans="1:12" x14ac:dyDescent="0.25">
      <c r="A168" t="s">
        <v>606</v>
      </c>
      <c r="B168" t="s">
        <v>607</v>
      </c>
      <c r="C168" s="3">
        <v>44968</v>
      </c>
      <c r="D168" t="s">
        <v>22</v>
      </c>
      <c r="E168" t="s">
        <v>23</v>
      </c>
      <c r="F168">
        <v>5</v>
      </c>
      <c r="G168" t="str">
        <f t="shared" si="6"/>
        <v>Regular Order</v>
      </c>
      <c r="H168">
        <v>155.19</v>
      </c>
      <c r="I168">
        <f t="shared" si="7"/>
        <v>775.95</v>
      </c>
      <c r="J168" t="s">
        <v>35</v>
      </c>
      <c r="K168" t="s">
        <v>69</v>
      </c>
      <c r="L168" t="s">
        <v>609</v>
      </c>
    </row>
    <row r="169" spans="1:12" x14ac:dyDescent="0.25">
      <c r="A169" t="s">
        <v>610</v>
      </c>
      <c r="B169" t="s">
        <v>611</v>
      </c>
      <c r="C169" s="3">
        <v>44959</v>
      </c>
      <c r="D169" t="s">
        <v>1396</v>
      </c>
      <c r="E169" t="s">
        <v>185</v>
      </c>
      <c r="F169">
        <v>9</v>
      </c>
      <c r="G169" t="str">
        <f t="shared" si="6"/>
        <v>Regular Order</v>
      </c>
      <c r="H169">
        <v>47.91</v>
      </c>
      <c r="I169">
        <v>431.19</v>
      </c>
      <c r="J169" t="s">
        <v>102</v>
      </c>
      <c r="K169" t="s">
        <v>69</v>
      </c>
      <c r="L169" t="s">
        <v>613</v>
      </c>
    </row>
    <row r="170" spans="1:12" x14ac:dyDescent="0.25">
      <c r="A170" t="s">
        <v>614</v>
      </c>
      <c r="B170" t="s">
        <v>319</v>
      </c>
      <c r="C170" s="3">
        <v>45117</v>
      </c>
      <c r="D170" t="s">
        <v>22</v>
      </c>
      <c r="E170" t="s">
        <v>23</v>
      </c>
      <c r="F170">
        <v>3</v>
      </c>
      <c r="G170" t="str">
        <f t="shared" si="6"/>
        <v>Regular Order</v>
      </c>
      <c r="H170">
        <v>159.16999999999999</v>
      </c>
      <c r="I170">
        <f t="shared" ref="I170:I171" si="8">F170*H170</f>
        <v>477.51</v>
      </c>
      <c r="J170" t="s">
        <v>102</v>
      </c>
      <c r="K170" t="s">
        <v>55</v>
      </c>
      <c r="L170" t="s">
        <v>321</v>
      </c>
    </row>
    <row r="171" spans="1:12" x14ac:dyDescent="0.25">
      <c r="A171" t="s">
        <v>617</v>
      </c>
      <c r="B171" t="s">
        <v>242</v>
      </c>
      <c r="D171" t="s">
        <v>41</v>
      </c>
      <c r="E171" t="s">
        <v>15</v>
      </c>
      <c r="F171">
        <v>1</v>
      </c>
      <c r="G171" t="str">
        <f t="shared" si="6"/>
        <v>Regular Order</v>
      </c>
      <c r="H171">
        <v>79.97</v>
      </c>
      <c r="I171">
        <f t="shared" si="8"/>
        <v>79.97</v>
      </c>
      <c r="J171" t="s">
        <v>35</v>
      </c>
      <c r="K171" t="s">
        <v>17</v>
      </c>
      <c r="L171" t="s">
        <v>244</v>
      </c>
    </row>
    <row r="172" spans="1:12" x14ac:dyDescent="0.25">
      <c r="A172" t="s">
        <v>619</v>
      </c>
      <c r="B172" t="s">
        <v>1399</v>
      </c>
      <c r="C172" s="3">
        <v>44941</v>
      </c>
      <c r="D172" t="s">
        <v>87</v>
      </c>
      <c r="E172" t="s">
        <v>15</v>
      </c>
      <c r="F172">
        <v>4</v>
      </c>
      <c r="G172" t="str">
        <f t="shared" si="6"/>
        <v>Regular Order</v>
      </c>
      <c r="H172">
        <v>49.79</v>
      </c>
      <c r="I172">
        <v>199.16</v>
      </c>
      <c r="J172" t="s">
        <v>16</v>
      </c>
      <c r="K172" t="s">
        <v>17</v>
      </c>
    </row>
    <row r="173" spans="1:12" x14ac:dyDescent="0.25">
      <c r="A173" t="s">
        <v>620</v>
      </c>
      <c r="B173" t="s">
        <v>621</v>
      </c>
      <c r="C173" s="3">
        <v>45376</v>
      </c>
      <c r="D173" t="s">
        <v>29</v>
      </c>
      <c r="E173" t="s">
        <v>46</v>
      </c>
      <c r="F173">
        <v>1</v>
      </c>
      <c r="G173" t="str">
        <f t="shared" si="6"/>
        <v>Regular Order</v>
      </c>
      <c r="H173">
        <v>51.42</v>
      </c>
      <c r="I173">
        <v>51.42</v>
      </c>
      <c r="J173" t="s">
        <v>16</v>
      </c>
      <c r="K173" t="s">
        <v>55</v>
      </c>
      <c r="L173" t="s">
        <v>622</v>
      </c>
    </row>
    <row r="174" spans="1:12" x14ac:dyDescent="0.25">
      <c r="A174" t="s">
        <v>623</v>
      </c>
      <c r="B174" t="s">
        <v>624</v>
      </c>
      <c r="C174" s="3">
        <v>45548</v>
      </c>
      <c r="D174" t="s">
        <v>87</v>
      </c>
      <c r="E174" t="s">
        <v>15</v>
      </c>
      <c r="F174">
        <v>7</v>
      </c>
      <c r="G174" t="str">
        <f t="shared" si="6"/>
        <v>Regular Order</v>
      </c>
      <c r="H174">
        <v>49.98</v>
      </c>
      <c r="I174">
        <v>349.86</v>
      </c>
      <c r="J174" t="s">
        <v>102</v>
      </c>
      <c r="K174" t="s">
        <v>69</v>
      </c>
      <c r="L174" t="s">
        <v>626</v>
      </c>
    </row>
    <row r="175" spans="1:12" x14ac:dyDescent="0.25">
      <c r="A175" t="s">
        <v>627</v>
      </c>
      <c r="B175" t="s">
        <v>1399</v>
      </c>
      <c r="C175" s="3">
        <v>45261</v>
      </c>
      <c r="D175" t="s">
        <v>41</v>
      </c>
      <c r="E175" t="s">
        <v>15</v>
      </c>
      <c r="F175">
        <v>4</v>
      </c>
      <c r="G175" t="str">
        <f t="shared" si="6"/>
        <v>Regular Order</v>
      </c>
      <c r="H175">
        <v>73.05</v>
      </c>
      <c r="I175">
        <f>F175*H175</f>
        <v>292.2</v>
      </c>
      <c r="J175" t="s">
        <v>16</v>
      </c>
      <c r="K175" t="s">
        <v>17</v>
      </c>
    </row>
    <row r="176" spans="1:12" x14ac:dyDescent="0.25">
      <c r="A176" t="s">
        <v>629</v>
      </c>
      <c r="B176" t="s">
        <v>1399</v>
      </c>
      <c r="C176" s="3">
        <v>44979</v>
      </c>
      <c r="D176" t="s">
        <v>147</v>
      </c>
      <c r="E176" t="s">
        <v>46</v>
      </c>
      <c r="F176">
        <v>2</v>
      </c>
      <c r="G176" t="str">
        <f t="shared" si="6"/>
        <v>Regular Order</v>
      </c>
      <c r="H176">
        <v>320.11</v>
      </c>
      <c r="I176">
        <v>640.22</v>
      </c>
      <c r="J176" t="s">
        <v>16</v>
      </c>
      <c r="K176" t="s">
        <v>55</v>
      </c>
    </row>
    <row r="177" spans="1:12" x14ac:dyDescent="0.25">
      <c r="A177" t="s">
        <v>631</v>
      </c>
      <c r="B177" t="s">
        <v>371</v>
      </c>
      <c r="C177" s="3">
        <v>45198</v>
      </c>
      <c r="D177" t="s">
        <v>1396</v>
      </c>
      <c r="E177" t="s">
        <v>185</v>
      </c>
      <c r="F177">
        <v>9</v>
      </c>
      <c r="G177" t="str">
        <f t="shared" si="6"/>
        <v>Regular Order</v>
      </c>
      <c r="H177">
        <v>53.97</v>
      </c>
      <c r="I177">
        <v>485.73</v>
      </c>
      <c r="J177" t="s">
        <v>102</v>
      </c>
      <c r="K177" t="s">
        <v>51</v>
      </c>
      <c r="L177" t="s">
        <v>372</v>
      </c>
    </row>
    <row r="178" spans="1:12" x14ac:dyDescent="0.25">
      <c r="A178" t="s">
        <v>633</v>
      </c>
      <c r="B178" t="s">
        <v>634</v>
      </c>
      <c r="C178" s="3">
        <v>45579</v>
      </c>
      <c r="D178" t="s">
        <v>87</v>
      </c>
      <c r="E178" t="s">
        <v>15</v>
      </c>
      <c r="F178">
        <v>6</v>
      </c>
      <c r="G178" t="str">
        <f t="shared" si="6"/>
        <v>Regular Order</v>
      </c>
      <c r="H178">
        <v>50.77</v>
      </c>
      <c r="I178">
        <v>304.62</v>
      </c>
      <c r="J178" t="s">
        <v>16</v>
      </c>
      <c r="K178" t="s">
        <v>24</v>
      </c>
      <c r="L178" t="s">
        <v>636</v>
      </c>
    </row>
    <row r="179" spans="1:12" x14ac:dyDescent="0.25">
      <c r="A179" t="s">
        <v>637</v>
      </c>
      <c r="B179" t="s">
        <v>638</v>
      </c>
      <c r="C179" s="3">
        <v>45575</v>
      </c>
      <c r="D179" t="s">
        <v>29</v>
      </c>
      <c r="E179" t="s">
        <v>46</v>
      </c>
      <c r="F179">
        <v>4</v>
      </c>
      <c r="G179" t="str">
        <f t="shared" si="6"/>
        <v>Regular Order</v>
      </c>
      <c r="H179">
        <v>881.11</v>
      </c>
      <c r="I179">
        <v>3524.44</v>
      </c>
      <c r="J179" t="s">
        <v>16</v>
      </c>
      <c r="K179" t="s">
        <v>51</v>
      </c>
    </row>
    <row r="180" spans="1:12" x14ac:dyDescent="0.25">
      <c r="A180" t="s">
        <v>640</v>
      </c>
      <c r="B180" t="s">
        <v>99</v>
      </c>
      <c r="C180" s="3">
        <v>45108</v>
      </c>
      <c r="D180" t="s">
        <v>87</v>
      </c>
      <c r="E180" t="s">
        <v>15</v>
      </c>
      <c r="F180">
        <v>1</v>
      </c>
      <c r="G180" t="str">
        <f t="shared" si="6"/>
        <v>Regular Order</v>
      </c>
      <c r="H180">
        <v>49.14</v>
      </c>
      <c r="I180">
        <f>F180*H180</f>
        <v>49.14</v>
      </c>
      <c r="J180" t="s">
        <v>35</v>
      </c>
      <c r="K180" t="s">
        <v>17</v>
      </c>
      <c r="L180" t="s">
        <v>103</v>
      </c>
    </row>
    <row r="181" spans="1:12" x14ac:dyDescent="0.25">
      <c r="A181" t="s">
        <v>642</v>
      </c>
      <c r="B181" t="s">
        <v>643</v>
      </c>
      <c r="C181" s="3">
        <v>45460</v>
      </c>
      <c r="D181" t="s">
        <v>29</v>
      </c>
      <c r="E181" t="s">
        <v>46</v>
      </c>
      <c r="F181">
        <v>1</v>
      </c>
      <c r="G181" t="str">
        <f t="shared" si="6"/>
        <v>Regular Order</v>
      </c>
      <c r="H181">
        <v>969.67</v>
      </c>
      <c r="I181">
        <v>969.67</v>
      </c>
      <c r="J181" t="s">
        <v>30</v>
      </c>
      <c r="K181" t="s">
        <v>51</v>
      </c>
      <c r="L181" t="s">
        <v>645</v>
      </c>
    </row>
    <row r="182" spans="1:12" x14ac:dyDescent="0.25">
      <c r="A182" t="s">
        <v>646</v>
      </c>
      <c r="B182" t="s">
        <v>647</v>
      </c>
      <c r="C182" s="3">
        <v>45264</v>
      </c>
      <c r="D182" t="s">
        <v>78</v>
      </c>
      <c r="E182" t="s">
        <v>46</v>
      </c>
      <c r="F182">
        <v>5</v>
      </c>
      <c r="G182" t="str">
        <f t="shared" si="6"/>
        <v>Regular Order</v>
      </c>
      <c r="H182">
        <v>82.2</v>
      </c>
      <c r="I182">
        <v>411</v>
      </c>
      <c r="J182" t="s">
        <v>102</v>
      </c>
      <c r="K182" t="s">
        <v>17</v>
      </c>
      <c r="L182" t="s">
        <v>649</v>
      </c>
    </row>
    <row r="183" spans="1:12" x14ac:dyDescent="0.25">
      <c r="A183" t="s">
        <v>650</v>
      </c>
      <c r="B183" t="s">
        <v>651</v>
      </c>
      <c r="C183" s="3">
        <v>45095</v>
      </c>
      <c r="D183" t="s">
        <v>22</v>
      </c>
      <c r="E183" t="s">
        <v>23</v>
      </c>
      <c r="F183">
        <v>6</v>
      </c>
      <c r="G183" t="str">
        <f t="shared" si="6"/>
        <v>Regular Order</v>
      </c>
      <c r="H183">
        <v>151.26</v>
      </c>
      <c r="I183">
        <f t="shared" ref="I183:I184" si="9">F183*H183</f>
        <v>907.56</v>
      </c>
      <c r="J183" t="s">
        <v>102</v>
      </c>
      <c r="K183" t="s">
        <v>24</v>
      </c>
      <c r="L183" t="s">
        <v>653</v>
      </c>
    </row>
    <row r="184" spans="1:12" x14ac:dyDescent="0.25">
      <c r="A184" t="s">
        <v>654</v>
      </c>
      <c r="B184" t="s">
        <v>290</v>
      </c>
      <c r="C184" s="3">
        <v>45519</v>
      </c>
      <c r="D184" t="s">
        <v>41</v>
      </c>
      <c r="E184" t="s">
        <v>15</v>
      </c>
      <c r="F184">
        <v>5</v>
      </c>
      <c r="G184" t="str">
        <f t="shared" si="6"/>
        <v>Regular Order</v>
      </c>
      <c r="H184">
        <v>83.65</v>
      </c>
      <c r="I184">
        <f t="shared" si="9"/>
        <v>418.25</v>
      </c>
      <c r="K184" t="s">
        <v>55</v>
      </c>
      <c r="L184" t="s">
        <v>292</v>
      </c>
    </row>
    <row r="185" spans="1:12" x14ac:dyDescent="0.25">
      <c r="A185" t="s">
        <v>656</v>
      </c>
      <c r="B185" t="s">
        <v>657</v>
      </c>
      <c r="C185" s="3">
        <v>45466</v>
      </c>
      <c r="D185" t="s">
        <v>41</v>
      </c>
      <c r="E185" t="s">
        <v>15</v>
      </c>
      <c r="F185">
        <v>6</v>
      </c>
      <c r="G185" t="str">
        <f t="shared" si="6"/>
        <v>Regular Order</v>
      </c>
      <c r="H185">
        <v>87.4</v>
      </c>
      <c r="I185">
        <v>524.4</v>
      </c>
      <c r="J185" t="s">
        <v>16</v>
      </c>
      <c r="K185" t="s">
        <v>24</v>
      </c>
      <c r="L185" t="s">
        <v>659</v>
      </c>
    </row>
    <row r="186" spans="1:12" x14ac:dyDescent="0.25">
      <c r="A186" t="s">
        <v>660</v>
      </c>
      <c r="B186" t="s">
        <v>99</v>
      </c>
      <c r="C186" s="3">
        <v>45192</v>
      </c>
      <c r="D186" t="s">
        <v>41</v>
      </c>
      <c r="E186" t="s">
        <v>15</v>
      </c>
      <c r="F186">
        <v>4</v>
      </c>
      <c r="G186" t="str">
        <f t="shared" si="6"/>
        <v>Regular Order</v>
      </c>
      <c r="H186">
        <v>87.17</v>
      </c>
      <c r="I186">
        <f t="shared" ref="I186:I187" si="10">F186*H186</f>
        <v>348.68</v>
      </c>
      <c r="J186" t="s">
        <v>16</v>
      </c>
      <c r="K186" t="s">
        <v>55</v>
      </c>
      <c r="L186" t="s">
        <v>661</v>
      </c>
    </row>
    <row r="187" spans="1:12" x14ac:dyDescent="0.25">
      <c r="A187" t="s">
        <v>662</v>
      </c>
      <c r="B187" t="s">
        <v>356</v>
      </c>
      <c r="C187" s="3">
        <v>45300</v>
      </c>
      <c r="D187" t="s">
        <v>22</v>
      </c>
      <c r="E187" t="s">
        <v>23</v>
      </c>
      <c r="F187">
        <v>2</v>
      </c>
      <c r="G187" t="str">
        <f t="shared" si="6"/>
        <v>Regular Order</v>
      </c>
      <c r="H187">
        <v>156.66</v>
      </c>
      <c r="I187">
        <f t="shared" si="10"/>
        <v>313.32</v>
      </c>
      <c r="J187" t="s">
        <v>30</v>
      </c>
      <c r="K187" t="s">
        <v>24</v>
      </c>
      <c r="L187" t="s">
        <v>358</v>
      </c>
    </row>
    <row r="188" spans="1:12" x14ac:dyDescent="0.25">
      <c r="A188" t="s">
        <v>664</v>
      </c>
      <c r="B188" t="s">
        <v>665</v>
      </c>
      <c r="C188" s="3">
        <v>45564</v>
      </c>
      <c r="D188" t="s">
        <v>41</v>
      </c>
      <c r="E188" t="s">
        <v>15</v>
      </c>
      <c r="F188">
        <v>7</v>
      </c>
      <c r="G188" t="str">
        <f t="shared" si="6"/>
        <v>Regular Order</v>
      </c>
      <c r="H188">
        <v>73.33</v>
      </c>
      <c r="I188">
        <v>513.30999999999995</v>
      </c>
      <c r="J188" t="s">
        <v>35</v>
      </c>
      <c r="K188" t="s">
        <v>55</v>
      </c>
      <c r="L188" t="s">
        <v>667</v>
      </c>
    </row>
    <row r="189" spans="1:12" x14ac:dyDescent="0.25">
      <c r="A189" t="s">
        <v>668</v>
      </c>
      <c r="B189" t="s">
        <v>669</v>
      </c>
      <c r="C189" s="3">
        <v>45414</v>
      </c>
      <c r="D189" t="s">
        <v>22</v>
      </c>
      <c r="E189" t="s">
        <v>23</v>
      </c>
      <c r="F189">
        <v>8</v>
      </c>
      <c r="G189" t="str">
        <f t="shared" si="6"/>
        <v>Regular Order</v>
      </c>
      <c r="H189">
        <v>152.12</v>
      </c>
      <c r="I189">
        <v>1216.96</v>
      </c>
      <c r="J189" t="s">
        <v>16</v>
      </c>
      <c r="K189" t="s">
        <v>51</v>
      </c>
      <c r="L189" t="s">
        <v>671</v>
      </c>
    </row>
    <row r="190" spans="1:12" x14ac:dyDescent="0.25">
      <c r="A190" t="s">
        <v>672</v>
      </c>
      <c r="B190" t="s">
        <v>167</v>
      </c>
      <c r="C190" s="3">
        <v>44978</v>
      </c>
      <c r="D190" t="s">
        <v>87</v>
      </c>
      <c r="E190" t="s">
        <v>15</v>
      </c>
      <c r="F190">
        <v>9</v>
      </c>
      <c r="G190" t="str">
        <f t="shared" si="6"/>
        <v>Regular Order</v>
      </c>
      <c r="H190">
        <v>49.78</v>
      </c>
      <c r="I190">
        <f>F190*H190</f>
        <v>448.02</v>
      </c>
      <c r="J190" t="s">
        <v>102</v>
      </c>
      <c r="K190" t="s">
        <v>51</v>
      </c>
      <c r="L190" t="s">
        <v>169</v>
      </c>
    </row>
    <row r="191" spans="1:12" x14ac:dyDescent="0.25">
      <c r="A191" t="s">
        <v>674</v>
      </c>
      <c r="B191" t="s">
        <v>647</v>
      </c>
      <c r="C191" s="3">
        <v>45420</v>
      </c>
      <c r="D191" t="s">
        <v>1396</v>
      </c>
      <c r="E191" t="s">
        <v>185</v>
      </c>
      <c r="F191">
        <v>8</v>
      </c>
      <c r="G191" t="str">
        <f t="shared" si="6"/>
        <v>Regular Order</v>
      </c>
      <c r="H191">
        <v>51.87</v>
      </c>
      <c r="I191">
        <v>414.96</v>
      </c>
      <c r="J191" t="s">
        <v>16</v>
      </c>
      <c r="K191" t="s">
        <v>24</v>
      </c>
      <c r="L191" t="s">
        <v>649</v>
      </c>
    </row>
    <row r="192" spans="1:12" x14ac:dyDescent="0.25">
      <c r="A192" t="s">
        <v>676</v>
      </c>
      <c r="B192" t="s">
        <v>33</v>
      </c>
      <c r="C192" s="3">
        <v>44951</v>
      </c>
      <c r="D192" t="s">
        <v>147</v>
      </c>
      <c r="E192" t="s">
        <v>46</v>
      </c>
      <c r="F192">
        <v>3</v>
      </c>
      <c r="G192" t="str">
        <f t="shared" si="6"/>
        <v>Regular Order</v>
      </c>
      <c r="H192">
        <v>300.62</v>
      </c>
      <c r="I192">
        <v>901.86</v>
      </c>
      <c r="J192" t="s">
        <v>30</v>
      </c>
      <c r="K192" t="s">
        <v>17</v>
      </c>
      <c r="L192" t="s">
        <v>37</v>
      </c>
    </row>
    <row r="193" spans="1:12" x14ac:dyDescent="0.25">
      <c r="A193" t="s">
        <v>678</v>
      </c>
      <c r="B193" t="s">
        <v>679</v>
      </c>
      <c r="C193" s="3">
        <v>45613</v>
      </c>
      <c r="D193" t="s">
        <v>1396</v>
      </c>
      <c r="E193" t="s">
        <v>185</v>
      </c>
      <c r="F193">
        <v>6</v>
      </c>
      <c r="G193" t="str">
        <f t="shared" si="6"/>
        <v>Regular Order</v>
      </c>
      <c r="H193">
        <v>48.78</v>
      </c>
      <c r="I193">
        <v>292.68</v>
      </c>
      <c r="J193" t="s">
        <v>30</v>
      </c>
      <c r="K193" t="s">
        <v>17</v>
      </c>
      <c r="L193" t="s">
        <v>681</v>
      </c>
    </row>
    <row r="194" spans="1:12" x14ac:dyDescent="0.25">
      <c r="A194" t="s">
        <v>682</v>
      </c>
      <c r="B194" t="s">
        <v>683</v>
      </c>
      <c r="C194" s="3">
        <v>45619</v>
      </c>
      <c r="D194" t="s">
        <v>101</v>
      </c>
      <c r="E194" t="s">
        <v>15</v>
      </c>
      <c r="F194">
        <v>3</v>
      </c>
      <c r="G194" t="str">
        <f t="shared" si="6"/>
        <v>Regular Order</v>
      </c>
      <c r="H194">
        <v>26.1</v>
      </c>
      <c r="I194">
        <v>78.3</v>
      </c>
      <c r="J194" t="s">
        <v>30</v>
      </c>
      <c r="K194" t="s">
        <v>55</v>
      </c>
      <c r="L194" t="s">
        <v>684</v>
      </c>
    </row>
    <row r="195" spans="1:12" x14ac:dyDescent="0.25">
      <c r="A195" t="s">
        <v>685</v>
      </c>
      <c r="B195" t="s">
        <v>686</v>
      </c>
      <c r="C195" s="3">
        <v>45301</v>
      </c>
      <c r="D195" t="s">
        <v>78</v>
      </c>
      <c r="E195" t="s">
        <v>46</v>
      </c>
      <c r="F195">
        <v>1</v>
      </c>
      <c r="G195" t="str">
        <f t="shared" ref="G195:G258" si="11">IF(F195&gt; 100, "Bulk Order", "Regular Order")</f>
        <v>Regular Order</v>
      </c>
      <c r="H195">
        <v>91.55</v>
      </c>
      <c r="I195">
        <v>91.55</v>
      </c>
      <c r="J195" t="s">
        <v>30</v>
      </c>
      <c r="K195" t="s">
        <v>17</v>
      </c>
      <c r="L195" t="s">
        <v>688</v>
      </c>
    </row>
    <row r="196" spans="1:12" x14ac:dyDescent="0.25">
      <c r="A196" t="s">
        <v>689</v>
      </c>
      <c r="B196" t="s">
        <v>690</v>
      </c>
      <c r="C196" s="3">
        <v>45292</v>
      </c>
      <c r="D196" t="s">
        <v>147</v>
      </c>
      <c r="E196" t="s">
        <v>46</v>
      </c>
      <c r="F196">
        <v>7</v>
      </c>
      <c r="G196" t="str">
        <f t="shared" si="11"/>
        <v>Regular Order</v>
      </c>
      <c r="H196">
        <v>286.10000000000002</v>
      </c>
      <c r="I196">
        <f>F196*H196</f>
        <v>2002.7000000000003</v>
      </c>
      <c r="J196" t="s">
        <v>35</v>
      </c>
      <c r="K196" t="s">
        <v>55</v>
      </c>
      <c r="L196" t="s">
        <v>692</v>
      </c>
    </row>
    <row r="197" spans="1:12" x14ac:dyDescent="0.25">
      <c r="A197" t="s">
        <v>693</v>
      </c>
      <c r="B197" t="s">
        <v>694</v>
      </c>
      <c r="C197" s="3">
        <v>45302</v>
      </c>
      <c r="D197" t="s">
        <v>41</v>
      </c>
      <c r="E197" t="s">
        <v>15</v>
      </c>
      <c r="F197">
        <v>3</v>
      </c>
      <c r="G197" t="str">
        <f t="shared" si="11"/>
        <v>Regular Order</v>
      </c>
      <c r="H197">
        <v>79.47</v>
      </c>
      <c r="I197">
        <v>238.41</v>
      </c>
      <c r="J197" t="s">
        <v>102</v>
      </c>
      <c r="K197" t="s">
        <v>69</v>
      </c>
      <c r="L197" t="s">
        <v>696</v>
      </c>
    </row>
    <row r="198" spans="1:12" x14ac:dyDescent="0.25">
      <c r="A198" t="s">
        <v>697</v>
      </c>
      <c r="B198" t="s">
        <v>352</v>
      </c>
      <c r="C198" s="3">
        <v>45487</v>
      </c>
      <c r="D198" t="s">
        <v>147</v>
      </c>
      <c r="E198" t="s">
        <v>46</v>
      </c>
      <c r="F198">
        <v>3</v>
      </c>
      <c r="G198" t="str">
        <f t="shared" si="11"/>
        <v>Regular Order</v>
      </c>
      <c r="H198">
        <v>291.77</v>
      </c>
      <c r="I198">
        <v>875.31</v>
      </c>
      <c r="J198" t="s">
        <v>102</v>
      </c>
      <c r="K198" t="s">
        <v>55</v>
      </c>
      <c r="L198" t="s">
        <v>354</v>
      </c>
    </row>
    <row r="199" spans="1:12" x14ac:dyDescent="0.25">
      <c r="A199" t="s">
        <v>699</v>
      </c>
      <c r="B199" t="s">
        <v>700</v>
      </c>
      <c r="C199" s="3">
        <v>45302</v>
      </c>
      <c r="D199" t="s">
        <v>87</v>
      </c>
      <c r="E199" t="s">
        <v>15</v>
      </c>
      <c r="F199">
        <v>7</v>
      </c>
      <c r="G199" t="str">
        <f t="shared" si="11"/>
        <v>Regular Order</v>
      </c>
      <c r="H199">
        <v>54.93</v>
      </c>
      <c r="I199">
        <v>384.51</v>
      </c>
      <c r="J199" t="s">
        <v>102</v>
      </c>
      <c r="K199" t="s">
        <v>69</v>
      </c>
      <c r="L199" t="s">
        <v>701</v>
      </c>
    </row>
    <row r="200" spans="1:12" x14ac:dyDescent="0.25">
      <c r="A200" t="s">
        <v>702</v>
      </c>
      <c r="B200" t="s">
        <v>460</v>
      </c>
      <c r="C200" s="3">
        <v>45477</v>
      </c>
      <c r="D200" t="s">
        <v>41</v>
      </c>
      <c r="E200" t="s">
        <v>15</v>
      </c>
      <c r="F200">
        <v>4</v>
      </c>
      <c r="G200" t="str">
        <f t="shared" si="11"/>
        <v>Regular Order</v>
      </c>
      <c r="H200">
        <v>84.95</v>
      </c>
      <c r="I200">
        <v>339.8</v>
      </c>
      <c r="J200" t="s">
        <v>16</v>
      </c>
      <c r="K200" t="s">
        <v>55</v>
      </c>
      <c r="L200" t="s">
        <v>462</v>
      </c>
    </row>
    <row r="201" spans="1:12" x14ac:dyDescent="0.25">
      <c r="A201" t="s">
        <v>703</v>
      </c>
      <c r="B201" t="s">
        <v>704</v>
      </c>
      <c r="C201" s="3">
        <v>45299</v>
      </c>
      <c r="D201" t="s">
        <v>87</v>
      </c>
      <c r="E201" t="s">
        <v>15</v>
      </c>
      <c r="F201">
        <v>3</v>
      </c>
      <c r="G201" t="str">
        <f t="shared" si="11"/>
        <v>Regular Order</v>
      </c>
      <c r="H201">
        <f>IF(H194&lt;=0, AVERAGEIF($D:$D,D194,$H:$H),H194)</f>
        <v>26.1</v>
      </c>
      <c r="I201">
        <f t="shared" ref="I201:I202" si="12">F201*H201</f>
        <v>78.300000000000011</v>
      </c>
      <c r="J201" t="s">
        <v>30</v>
      </c>
      <c r="K201" t="s">
        <v>17</v>
      </c>
      <c r="L201" t="s">
        <v>706</v>
      </c>
    </row>
    <row r="202" spans="1:12" x14ac:dyDescent="0.25">
      <c r="A202" t="s">
        <v>707</v>
      </c>
      <c r="B202" t="s">
        <v>109</v>
      </c>
      <c r="C202" s="3">
        <v>45097</v>
      </c>
      <c r="D202" t="s">
        <v>29</v>
      </c>
      <c r="E202" t="s">
        <v>46</v>
      </c>
      <c r="F202">
        <v>5</v>
      </c>
      <c r="G202" t="str">
        <f t="shared" si="11"/>
        <v>Regular Order</v>
      </c>
      <c r="H202">
        <v>952.43</v>
      </c>
      <c r="I202">
        <f t="shared" si="12"/>
        <v>4762.1499999999996</v>
      </c>
      <c r="J202" t="s">
        <v>30</v>
      </c>
      <c r="K202" t="s">
        <v>17</v>
      </c>
      <c r="L202" t="s">
        <v>709</v>
      </c>
    </row>
    <row r="203" spans="1:12" x14ac:dyDescent="0.25">
      <c r="A203" t="s">
        <v>710</v>
      </c>
      <c r="B203" t="s">
        <v>711</v>
      </c>
      <c r="C203" s="3">
        <v>44969</v>
      </c>
      <c r="D203" t="s">
        <v>1396</v>
      </c>
      <c r="E203" t="s">
        <v>185</v>
      </c>
      <c r="F203">
        <v>1</v>
      </c>
      <c r="G203" t="str">
        <f t="shared" si="11"/>
        <v>Regular Order</v>
      </c>
      <c r="H203">
        <v>50.64</v>
      </c>
      <c r="I203">
        <v>50.64</v>
      </c>
      <c r="J203" t="s">
        <v>30</v>
      </c>
      <c r="K203" t="s">
        <v>24</v>
      </c>
      <c r="L203" t="s">
        <v>713</v>
      </c>
    </row>
    <row r="204" spans="1:12" x14ac:dyDescent="0.25">
      <c r="A204" t="s">
        <v>714</v>
      </c>
      <c r="B204" t="s">
        <v>624</v>
      </c>
      <c r="C204" s="3">
        <v>45325</v>
      </c>
      <c r="D204" t="s">
        <v>78</v>
      </c>
      <c r="E204" t="s">
        <v>46</v>
      </c>
      <c r="F204">
        <v>1</v>
      </c>
      <c r="G204" t="str">
        <f t="shared" si="11"/>
        <v>Regular Order</v>
      </c>
      <c r="H204">
        <v>97.72</v>
      </c>
      <c r="I204">
        <v>97.72</v>
      </c>
      <c r="J204" t="s">
        <v>102</v>
      </c>
      <c r="K204" t="s">
        <v>51</v>
      </c>
      <c r="L204" t="s">
        <v>626</v>
      </c>
    </row>
    <row r="205" spans="1:12" x14ac:dyDescent="0.25">
      <c r="A205" t="s">
        <v>716</v>
      </c>
      <c r="B205" t="s">
        <v>717</v>
      </c>
      <c r="C205" s="3">
        <v>45028</v>
      </c>
      <c r="D205" t="s">
        <v>87</v>
      </c>
      <c r="E205" t="s">
        <v>15</v>
      </c>
      <c r="F205">
        <v>9</v>
      </c>
      <c r="G205" t="str">
        <f t="shared" si="11"/>
        <v>Regular Order</v>
      </c>
      <c r="H205">
        <v>48.11</v>
      </c>
      <c r="I205">
        <v>432.99</v>
      </c>
      <c r="J205" t="s">
        <v>102</v>
      </c>
      <c r="K205" t="s">
        <v>51</v>
      </c>
      <c r="L205" t="s">
        <v>719</v>
      </c>
    </row>
    <row r="206" spans="1:12" x14ac:dyDescent="0.25">
      <c r="A206" t="s">
        <v>720</v>
      </c>
      <c r="B206" t="s">
        <v>669</v>
      </c>
      <c r="C206" s="3">
        <v>45079</v>
      </c>
      <c r="D206" t="s">
        <v>147</v>
      </c>
      <c r="E206" t="s">
        <v>46</v>
      </c>
      <c r="F206">
        <v>3</v>
      </c>
      <c r="G206" t="str">
        <f t="shared" si="11"/>
        <v>Regular Order</v>
      </c>
      <c r="H206">
        <v>292.72000000000003</v>
      </c>
      <c r="I206">
        <v>878.16</v>
      </c>
      <c r="J206" t="s">
        <v>16</v>
      </c>
      <c r="K206" t="s">
        <v>24</v>
      </c>
      <c r="L206" t="s">
        <v>671</v>
      </c>
    </row>
    <row r="207" spans="1:12" x14ac:dyDescent="0.25">
      <c r="A207" t="s">
        <v>722</v>
      </c>
      <c r="B207" t="s">
        <v>248</v>
      </c>
      <c r="C207" s="3">
        <v>45625</v>
      </c>
      <c r="D207" t="s">
        <v>147</v>
      </c>
      <c r="E207" t="s">
        <v>46</v>
      </c>
      <c r="F207">
        <v>7</v>
      </c>
      <c r="G207" t="str">
        <f t="shared" si="11"/>
        <v>Regular Order</v>
      </c>
      <c r="H207">
        <v>306.01</v>
      </c>
      <c r="I207">
        <f>F207*H207</f>
        <v>2142.0699999999997</v>
      </c>
      <c r="J207" t="s">
        <v>35</v>
      </c>
      <c r="K207" t="s">
        <v>24</v>
      </c>
      <c r="L207" t="s">
        <v>250</v>
      </c>
    </row>
    <row r="208" spans="1:12" x14ac:dyDescent="0.25">
      <c r="A208" t="s">
        <v>724</v>
      </c>
      <c r="B208" t="s">
        <v>588</v>
      </c>
      <c r="C208" s="3">
        <v>45127</v>
      </c>
      <c r="D208" t="s">
        <v>22</v>
      </c>
      <c r="E208" t="s">
        <v>23</v>
      </c>
      <c r="F208">
        <v>9</v>
      </c>
      <c r="G208" t="str">
        <f t="shared" si="11"/>
        <v>Regular Order</v>
      </c>
      <c r="H208">
        <v>163.43</v>
      </c>
      <c r="I208">
        <v>1470.87</v>
      </c>
      <c r="J208" t="s">
        <v>35</v>
      </c>
      <c r="K208" t="s">
        <v>55</v>
      </c>
      <c r="L208" t="s">
        <v>590</v>
      </c>
    </row>
    <row r="209" spans="1:12" x14ac:dyDescent="0.25">
      <c r="A209" t="s">
        <v>726</v>
      </c>
      <c r="B209" t="s">
        <v>727</v>
      </c>
      <c r="C209" s="3">
        <v>44956</v>
      </c>
      <c r="D209" t="s">
        <v>41</v>
      </c>
      <c r="E209" t="s">
        <v>15</v>
      </c>
      <c r="F209">
        <v>9</v>
      </c>
      <c r="G209" t="str">
        <f t="shared" si="11"/>
        <v>Regular Order</v>
      </c>
      <c r="J209" t="s">
        <v>16</v>
      </c>
      <c r="K209" t="s">
        <v>55</v>
      </c>
      <c r="L209" t="s">
        <v>728</v>
      </c>
    </row>
    <row r="210" spans="1:12" x14ac:dyDescent="0.25">
      <c r="A210" t="s">
        <v>729</v>
      </c>
      <c r="B210" t="s">
        <v>730</v>
      </c>
      <c r="C210" s="3">
        <v>45513</v>
      </c>
      <c r="D210" t="s">
        <v>87</v>
      </c>
      <c r="E210" t="s">
        <v>15</v>
      </c>
      <c r="F210">
        <v>9</v>
      </c>
      <c r="G210" t="str">
        <f t="shared" si="11"/>
        <v>Regular Order</v>
      </c>
      <c r="H210">
        <v>49.03</v>
      </c>
      <c r="I210">
        <v>441.27</v>
      </c>
      <c r="J210" t="s">
        <v>30</v>
      </c>
      <c r="K210" t="s">
        <v>24</v>
      </c>
      <c r="L210" t="s">
        <v>732</v>
      </c>
    </row>
    <row r="211" spans="1:12" x14ac:dyDescent="0.25">
      <c r="A211" t="s">
        <v>733</v>
      </c>
      <c r="B211" t="s">
        <v>576</v>
      </c>
      <c r="C211" s="3">
        <v>45638</v>
      </c>
      <c r="D211" t="s">
        <v>22</v>
      </c>
      <c r="E211" t="s">
        <v>23</v>
      </c>
      <c r="F211">
        <v>8</v>
      </c>
      <c r="G211" t="str">
        <f t="shared" si="11"/>
        <v>Regular Order</v>
      </c>
      <c r="H211">
        <v>137.55000000000001</v>
      </c>
      <c r="I211">
        <v>1100.4000000000001</v>
      </c>
      <c r="J211" t="s">
        <v>102</v>
      </c>
      <c r="K211" t="s">
        <v>55</v>
      </c>
    </row>
    <row r="212" spans="1:12" x14ac:dyDescent="0.25">
      <c r="A212" t="s">
        <v>735</v>
      </c>
      <c r="B212" t="s">
        <v>237</v>
      </c>
      <c r="C212" s="3">
        <v>45122</v>
      </c>
      <c r="D212" t="s">
        <v>101</v>
      </c>
      <c r="E212" t="s">
        <v>15</v>
      </c>
      <c r="F212">
        <v>8</v>
      </c>
      <c r="G212" t="str">
        <f t="shared" si="11"/>
        <v>Regular Order</v>
      </c>
      <c r="H212">
        <v>24.72</v>
      </c>
      <c r="I212">
        <v>197.76</v>
      </c>
      <c r="J212" t="s">
        <v>16</v>
      </c>
      <c r="K212" t="s">
        <v>51</v>
      </c>
      <c r="L212" t="s">
        <v>240</v>
      </c>
    </row>
    <row r="213" spans="1:12" x14ac:dyDescent="0.25">
      <c r="A213" t="s">
        <v>737</v>
      </c>
      <c r="B213" t="s">
        <v>738</v>
      </c>
      <c r="C213" s="3">
        <v>45296</v>
      </c>
      <c r="D213" t="s">
        <v>87</v>
      </c>
      <c r="E213" t="s">
        <v>15</v>
      </c>
      <c r="F213">
        <v>999</v>
      </c>
      <c r="G213" t="str">
        <f t="shared" si="11"/>
        <v>Bulk Order</v>
      </c>
      <c r="H213">
        <v>53.83</v>
      </c>
      <c r="I213">
        <v>53776.17</v>
      </c>
      <c r="J213" t="s">
        <v>102</v>
      </c>
      <c r="K213" t="s">
        <v>55</v>
      </c>
      <c r="L213" t="s">
        <v>740</v>
      </c>
    </row>
    <row r="214" spans="1:12" x14ac:dyDescent="0.25">
      <c r="A214" t="s">
        <v>741</v>
      </c>
      <c r="B214" t="s">
        <v>742</v>
      </c>
      <c r="C214" s="3">
        <v>45378</v>
      </c>
      <c r="D214" t="s">
        <v>22</v>
      </c>
      <c r="E214" t="s">
        <v>23</v>
      </c>
      <c r="F214">
        <v>1</v>
      </c>
      <c r="G214" t="str">
        <f t="shared" si="11"/>
        <v>Regular Order</v>
      </c>
      <c r="H214">
        <v>138.09</v>
      </c>
      <c r="I214">
        <v>138.09</v>
      </c>
      <c r="J214" t="s">
        <v>30</v>
      </c>
      <c r="K214" t="s">
        <v>51</v>
      </c>
      <c r="L214" t="s">
        <v>743</v>
      </c>
    </row>
    <row r="215" spans="1:12" x14ac:dyDescent="0.25">
      <c r="A215" t="s">
        <v>744</v>
      </c>
      <c r="B215" t="s">
        <v>679</v>
      </c>
      <c r="C215" s="3">
        <v>45022</v>
      </c>
      <c r="D215" t="s">
        <v>22</v>
      </c>
      <c r="E215" t="s">
        <v>23</v>
      </c>
      <c r="F215">
        <v>9</v>
      </c>
      <c r="G215" t="str">
        <f t="shared" si="11"/>
        <v>Regular Order</v>
      </c>
      <c r="H215">
        <v>145.22999999999999</v>
      </c>
      <c r="I215">
        <v>1307.07</v>
      </c>
      <c r="J215" t="s">
        <v>16</v>
      </c>
      <c r="L215" t="s">
        <v>681</v>
      </c>
    </row>
    <row r="216" spans="1:12" x14ac:dyDescent="0.25">
      <c r="A216" t="s">
        <v>745</v>
      </c>
      <c r="B216" t="s">
        <v>694</v>
      </c>
      <c r="C216" s="3">
        <v>45193</v>
      </c>
      <c r="D216" t="s">
        <v>78</v>
      </c>
      <c r="E216" t="s">
        <v>46</v>
      </c>
      <c r="F216">
        <v>9</v>
      </c>
      <c r="G216" t="str">
        <f t="shared" si="11"/>
        <v>Regular Order</v>
      </c>
      <c r="H216">
        <v>95.6</v>
      </c>
      <c r="I216">
        <v>860.4</v>
      </c>
      <c r="J216" t="s">
        <v>102</v>
      </c>
      <c r="K216" t="s">
        <v>24</v>
      </c>
      <c r="L216" t="s">
        <v>696</v>
      </c>
    </row>
    <row r="217" spans="1:12" x14ac:dyDescent="0.25">
      <c r="A217" t="s">
        <v>747</v>
      </c>
      <c r="B217" t="s">
        <v>700</v>
      </c>
      <c r="C217" s="3">
        <v>44950</v>
      </c>
      <c r="D217" t="s">
        <v>29</v>
      </c>
      <c r="E217" t="s">
        <v>46</v>
      </c>
      <c r="F217">
        <v>4</v>
      </c>
      <c r="G217" t="str">
        <f t="shared" si="11"/>
        <v>Regular Order</v>
      </c>
      <c r="H217">
        <v>882.4</v>
      </c>
      <c r="I217">
        <f>F217*H217</f>
        <v>3529.6</v>
      </c>
      <c r="J217" t="s">
        <v>35</v>
      </c>
      <c r="K217" t="s">
        <v>24</v>
      </c>
      <c r="L217" t="s">
        <v>749</v>
      </c>
    </row>
    <row r="218" spans="1:12" x14ac:dyDescent="0.25">
      <c r="A218" t="s">
        <v>750</v>
      </c>
      <c r="B218" t="s">
        <v>751</v>
      </c>
      <c r="C218" s="3">
        <v>45210</v>
      </c>
      <c r="D218" t="s">
        <v>41</v>
      </c>
      <c r="E218" t="s">
        <v>15</v>
      </c>
      <c r="F218">
        <v>1</v>
      </c>
      <c r="G218" t="str">
        <f t="shared" si="11"/>
        <v>Regular Order</v>
      </c>
      <c r="H218">
        <v>83.93</v>
      </c>
      <c r="I218">
        <v>83.93</v>
      </c>
      <c r="J218" t="s">
        <v>102</v>
      </c>
      <c r="K218" t="s">
        <v>51</v>
      </c>
      <c r="L218" t="s">
        <v>753</v>
      </c>
    </row>
    <row r="219" spans="1:12" x14ac:dyDescent="0.25">
      <c r="A219" t="s">
        <v>754</v>
      </c>
      <c r="B219" t="s">
        <v>755</v>
      </c>
      <c r="C219" s="3">
        <v>45425</v>
      </c>
      <c r="D219" t="s">
        <v>147</v>
      </c>
      <c r="E219" t="s">
        <v>46</v>
      </c>
      <c r="F219">
        <v>1</v>
      </c>
      <c r="G219" t="str">
        <f t="shared" si="11"/>
        <v>Regular Order</v>
      </c>
      <c r="H219">
        <v>289.66000000000003</v>
      </c>
      <c r="I219">
        <v>289.66000000000003</v>
      </c>
      <c r="J219" t="s">
        <v>30</v>
      </c>
      <c r="K219" t="s">
        <v>51</v>
      </c>
      <c r="L219" t="s">
        <v>757</v>
      </c>
    </row>
    <row r="220" spans="1:12" x14ac:dyDescent="0.25">
      <c r="A220" t="s">
        <v>758</v>
      </c>
      <c r="B220" t="s">
        <v>759</v>
      </c>
      <c r="C220" s="3">
        <v>45181</v>
      </c>
      <c r="D220" t="s">
        <v>147</v>
      </c>
      <c r="E220" t="s">
        <v>46</v>
      </c>
      <c r="F220">
        <v>5</v>
      </c>
      <c r="G220" t="str">
        <f t="shared" si="11"/>
        <v>Regular Order</v>
      </c>
      <c r="H220">
        <v>279.81</v>
      </c>
      <c r="I220">
        <v>1399.05</v>
      </c>
      <c r="J220" t="s">
        <v>16</v>
      </c>
      <c r="K220" t="s">
        <v>51</v>
      </c>
      <c r="L220" t="s">
        <v>761</v>
      </c>
    </row>
    <row r="221" spans="1:12" x14ac:dyDescent="0.25">
      <c r="A221" t="s">
        <v>762</v>
      </c>
      <c r="B221" t="s">
        <v>233</v>
      </c>
      <c r="C221" s="3">
        <v>45329</v>
      </c>
      <c r="D221" t="s">
        <v>41</v>
      </c>
      <c r="E221" t="s">
        <v>15</v>
      </c>
      <c r="F221">
        <v>999</v>
      </c>
      <c r="G221" t="str">
        <f t="shared" si="11"/>
        <v>Bulk Order</v>
      </c>
      <c r="H221">
        <v>80.73</v>
      </c>
      <c r="I221">
        <v>80649.27</v>
      </c>
      <c r="J221" t="s">
        <v>35</v>
      </c>
      <c r="K221" t="s">
        <v>24</v>
      </c>
      <c r="L221" t="s">
        <v>235</v>
      </c>
    </row>
    <row r="222" spans="1:12" x14ac:dyDescent="0.25">
      <c r="A222" t="s">
        <v>764</v>
      </c>
      <c r="B222" t="s">
        <v>765</v>
      </c>
      <c r="C222" s="3">
        <v>45028</v>
      </c>
      <c r="D222" t="s">
        <v>29</v>
      </c>
      <c r="E222" t="s">
        <v>46</v>
      </c>
      <c r="F222">
        <v>1</v>
      </c>
      <c r="G222" t="str">
        <f t="shared" si="11"/>
        <v>Regular Order</v>
      </c>
      <c r="H222">
        <v>872.02</v>
      </c>
      <c r="I222">
        <f>F222*H222</f>
        <v>872.02</v>
      </c>
      <c r="J222" t="s">
        <v>35</v>
      </c>
      <c r="K222" t="s">
        <v>17</v>
      </c>
      <c r="L222" t="s">
        <v>766</v>
      </c>
    </row>
    <row r="223" spans="1:12" x14ac:dyDescent="0.25">
      <c r="A223" t="s">
        <v>767</v>
      </c>
      <c r="B223" t="s">
        <v>694</v>
      </c>
      <c r="C223" s="3">
        <v>45056</v>
      </c>
      <c r="D223" t="s">
        <v>87</v>
      </c>
      <c r="E223" t="s">
        <v>15</v>
      </c>
      <c r="F223">
        <v>5</v>
      </c>
      <c r="G223" t="str">
        <f t="shared" si="11"/>
        <v>Regular Order</v>
      </c>
      <c r="H223">
        <v>46.74</v>
      </c>
      <c r="I223">
        <v>233.7</v>
      </c>
      <c r="J223" t="s">
        <v>16</v>
      </c>
      <c r="K223" t="s">
        <v>55</v>
      </c>
      <c r="L223" t="s">
        <v>696</v>
      </c>
    </row>
    <row r="224" spans="1:12" x14ac:dyDescent="0.25">
      <c r="A224" t="s">
        <v>768</v>
      </c>
      <c r="B224" t="s">
        <v>208</v>
      </c>
      <c r="C224" s="3">
        <v>45287</v>
      </c>
      <c r="D224" t="s">
        <v>29</v>
      </c>
      <c r="E224" t="s">
        <v>46</v>
      </c>
      <c r="F224">
        <v>4</v>
      </c>
      <c r="G224" t="str">
        <f t="shared" si="11"/>
        <v>Regular Order</v>
      </c>
      <c r="H224">
        <v>866.27</v>
      </c>
      <c r="I224">
        <v>3465.08</v>
      </c>
      <c r="J224" t="s">
        <v>102</v>
      </c>
      <c r="K224" t="s">
        <v>55</v>
      </c>
      <c r="L224" t="s">
        <v>210</v>
      </c>
    </row>
    <row r="225" spans="1:12" x14ac:dyDescent="0.25">
      <c r="A225" t="s">
        <v>770</v>
      </c>
      <c r="B225" t="s">
        <v>12</v>
      </c>
      <c r="C225" s="3">
        <v>45526</v>
      </c>
      <c r="D225" t="s">
        <v>29</v>
      </c>
      <c r="E225" t="s">
        <v>46</v>
      </c>
      <c r="F225">
        <v>4</v>
      </c>
      <c r="G225" t="str">
        <f t="shared" si="11"/>
        <v>Regular Order</v>
      </c>
      <c r="H225">
        <v>943.78</v>
      </c>
      <c r="I225">
        <v>3775.12</v>
      </c>
      <c r="J225" t="s">
        <v>30</v>
      </c>
      <c r="K225" t="s">
        <v>69</v>
      </c>
      <c r="L225" t="s">
        <v>18</v>
      </c>
    </row>
    <row r="226" spans="1:12" x14ac:dyDescent="0.25">
      <c r="A226" t="s">
        <v>772</v>
      </c>
      <c r="B226" t="s">
        <v>105</v>
      </c>
      <c r="C226" s="3">
        <v>45181</v>
      </c>
      <c r="D226" t="s">
        <v>101</v>
      </c>
      <c r="E226" t="s">
        <v>15</v>
      </c>
      <c r="F226">
        <v>1</v>
      </c>
      <c r="G226" t="str">
        <f t="shared" si="11"/>
        <v>Regular Order</v>
      </c>
      <c r="H226">
        <v>27.28</v>
      </c>
      <c r="I226">
        <f>F226*H226</f>
        <v>27.28</v>
      </c>
      <c r="J226" t="s">
        <v>30</v>
      </c>
      <c r="K226" t="s">
        <v>51</v>
      </c>
      <c r="L226" t="s">
        <v>107</v>
      </c>
    </row>
    <row r="227" spans="1:12" x14ac:dyDescent="0.25">
      <c r="A227" t="s">
        <v>773</v>
      </c>
      <c r="B227" t="s">
        <v>774</v>
      </c>
      <c r="C227" s="3">
        <v>45151</v>
      </c>
      <c r="D227" t="s">
        <v>29</v>
      </c>
      <c r="E227" t="s">
        <v>46</v>
      </c>
      <c r="F227">
        <v>5</v>
      </c>
      <c r="G227" t="str">
        <f t="shared" si="11"/>
        <v>Regular Order</v>
      </c>
      <c r="H227">
        <v>822.77</v>
      </c>
      <c r="I227">
        <v>4113.8500000000004</v>
      </c>
      <c r="J227" t="s">
        <v>35</v>
      </c>
      <c r="K227" t="s">
        <v>69</v>
      </c>
      <c r="L227" t="s">
        <v>776</v>
      </c>
    </row>
    <row r="228" spans="1:12" x14ac:dyDescent="0.25">
      <c r="A228" t="s">
        <v>777</v>
      </c>
      <c r="B228" t="s">
        <v>778</v>
      </c>
      <c r="C228" s="3">
        <v>45581</v>
      </c>
      <c r="D228" t="s">
        <v>78</v>
      </c>
      <c r="E228" t="s">
        <v>46</v>
      </c>
      <c r="F228">
        <v>4</v>
      </c>
      <c r="G228" t="str">
        <f t="shared" si="11"/>
        <v>Regular Order</v>
      </c>
      <c r="H228">
        <v>97.14</v>
      </c>
      <c r="I228">
        <v>388.56</v>
      </c>
      <c r="J228" t="s">
        <v>30</v>
      </c>
      <c r="K228" t="s">
        <v>55</v>
      </c>
      <c r="L228" t="s">
        <v>780</v>
      </c>
    </row>
    <row r="229" spans="1:12" x14ac:dyDescent="0.25">
      <c r="A229" t="s">
        <v>781</v>
      </c>
      <c r="B229" t="s">
        <v>782</v>
      </c>
      <c r="C229" s="3">
        <v>45341</v>
      </c>
      <c r="D229" t="s">
        <v>78</v>
      </c>
      <c r="E229" t="s">
        <v>46</v>
      </c>
      <c r="F229">
        <v>2</v>
      </c>
      <c r="G229" t="str">
        <f t="shared" si="11"/>
        <v>Regular Order</v>
      </c>
      <c r="H229">
        <v>91.53</v>
      </c>
      <c r="I229">
        <v>183.06</v>
      </c>
      <c r="J229" t="s">
        <v>102</v>
      </c>
      <c r="K229" t="s">
        <v>69</v>
      </c>
      <c r="L229" t="s">
        <v>784</v>
      </c>
    </row>
    <row r="230" spans="1:12" x14ac:dyDescent="0.25">
      <c r="A230" t="s">
        <v>785</v>
      </c>
      <c r="B230" t="s">
        <v>786</v>
      </c>
      <c r="D230" t="s">
        <v>29</v>
      </c>
      <c r="E230" t="s">
        <v>46</v>
      </c>
      <c r="F230">
        <v>5</v>
      </c>
      <c r="G230" t="str">
        <f t="shared" si="11"/>
        <v>Regular Order</v>
      </c>
      <c r="H230">
        <f>IF(H223&lt;=0, AVERAGEIF($D:$D,D223,$H:$H),H223)</f>
        <v>46.74</v>
      </c>
      <c r="I230">
        <f>F230*H230</f>
        <v>233.70000000000002</v>
      </c>
      <c r="K230" t="s">
        <v>55</v>
      </c>
      <c r="L230" t="s">
        <v>787</v>
      </c>
    </row>
    <row r="231" spans="1:12" x14ac:dyDescent="0.25">
      <c r="A231" t="s">
        <v>788</v>
      </c>
      <c r="B231" t="s">
        <v>789</v>
      </c>
      <c r="C231" s="3">
        <v>45273</v>
      </c>
      <c r="D231" t="s">
        <v>78</v>
      </c>
      <c r="E231" t="s">
        <v>46</v>
      </c>
      <c r="F231">
        <v>3</v>
      </c>
      <c r="G231" t="str">
        <f t="shared" si="11"/>
        <v>Regular Order</v>
      </c>
      <c r="H231">
        <v>91.6</v>
      </c>
      <c r="I231">
        <v>274.8</v>
      </c>
      <c r="J231" t="s">
        <v>16</v>
      </c>
      <c r="K231" t="s">
        <v>17</v>
      </c>
      <c r="L231" t="s">
        <v>791</v>
      </c>
    </row>
    <row r="232" spans="1:12" x14ac:dyDescent="0.25">
      <c r="A232" t="s">
        <v>792</v>
      </c>
      <c r="B232" t="s">
        <v>793</v>
      </c>
      <c r="D232" t="s">
        <v>87</v>
      </c>
      <c r="E232" t="s">
        <v>15</v>
      </c>
      <c r="F232">
        <v>9</v>
      </c>
      <c r="G232" t="str">
        <f t="shared" si="11"/>
        <v>Regular Order</v>
      </c>
      <c r="J232" t="s">
        <v>35</v>
      </c>
      <c r="K232" t="s">
        <v>55</v>
      </c>
      <c r="L232" t="s">
        <v>794</v>
      </c>
    </row>
    <row r="233" spans="1:12" x14ac:dyDescent="0.25">
      <c r="A233" t="s">
        <v>795</v>
      </c>
      <c r="B233" t="s">
        <v>99</v>
      </c>
      <c r="C233" s="3">
        <v>45346</v>
      </c>
      <c r="D233" t="s">
        <v>78</v>
      </c>
      <c r="E233" t="s">
        <v>46</v>
      </c>
      <c r="F233">
        <v>9</v>
      </c>
      <c r="G233" t="str">
        <f t="shared" si="11"/>
        <v>Regular Order</v>
      </c>
      <c r="J233" t="s">
        <v>35</v>
      </c>
      <c r="K233" t="s">
        <v>69</v>
      </c>
      <c r="L233" t="s">
        <v>103</v>
      </c>
    </row>
    <row r="234" spans="1:12" x14ac:dyDescent="0.25">
      <c r="A234" t="s">
        <v>797</v>
      </c>
      <c r="B234" t="s">
        <v>584</v>
      </c>
      <c r="C234" s="3">
        <v>45103</v>
      </c>
      <c r="D234" t="s">
        <v>87</v>
      </c>
      <c r="E234" t="s">
        <v>15</v>
      </c>
      <c r="F234">
        <v>8</v>
      </c>
      <c r="G234" t="str">
        <f t="shared" si="11"/>
        <v>Regular Order</v>
      </c>
      <c r="H234">
        <v>49.01</v>
      </c>
      <c r="I234">
        <v>392.08</v>
      </c>
      <c r="J234" t="s">
        <v>16</v>
      </c>
      <c r="K234" t="s">
        <v>55</v>
      </c>
      <c r="L234" t="s">
        <v>585</v>
      </c>
    </row>
    <row r="235" spans="1:12" x14ac:dyDescent="0.25">
      <c r="A235" t="s">
        <v>799</v>
      </c>
      <c r="B235" t="s">
        <v>800</v>
      </c>
      <c r="C235" s="3">
        <v>45437</v>
      </c>
      <c r="D235" t="s">
        <v>29</v>
      </c>
      <c r="E235" t="s">
        <v>46</v>
      </c>
      <c r="F235">
        <v>1</v>
      </c>
      <c r="G235" t="str">
        <f t="shared" si="11"/>
        <v>Regular Order</v>
      </c>
      <c r="H235">
        <f t="shared" ref="H235:H236" si="13">IF(H228&lt;=0, AVERAGEIF($D:$D,D228,$H:$H),H228)</f>
        <v>97.14</v>
      </c>
      <c r="I235">
        <f t="shared" ref="I235:I238" si="14">F235*H235</f>
        <v>97.14</v>
      </c>
      <c r="J235" t="s">
        <v>102</v>
      </c>
      <c r="K235" t="s">
        <v>55</v>
      </c>
      <c r="L235" t="s">
        <v>801</v>
      </c>
    </row>
    <row r="236" spans="1:12" x14ac:dyDescent="0.25">
      <c r="A236" t="s">
        <v>802</v>
      </c>
      <c r="B236" t="s">
        <v>803</v>
      </c>
      <c r="C236" s="3">
        <v>44981</v>
      </c>
      <c r="D236" t="s">
        <v>101</v>
      </c>
      <c r="E236" t="s">
        <v>15</v>
      </c>
      <c r="F236">
        <v>6</v>
      </c>
      <c r="G236" t="str">
        <f t="shared" si="11"/>
        <v>Regular Order</v>
      </c>
      <c r="H236">
        <f t="shared" si="13"/>
        <v>91.53</v>
      </c>
      <c r="I236">
        <f t="shared" si="14"/>
        <v>549.18000000000006</v>
      </c>
      <c r="J236" t="s">
        <v>16</v>
      </c>
      <c r="K236" t="s">
        <v>51</v>
      </c>
      <c r="L236" t="s">
        <v>805</v>
      </c>
    </row>
    <row r="237" spans="1:12" x14ac:dyDescent="0.25">
      <c r="A237" t="s">
        <v>806</v>
      </c>
      <c r="B237" t="s">
        <v>596</v>
      </c>
      <c r="C237" s="3">
        <v>45452</v>
      </c>
      <c r="D237" t="s">
        <v>29</v>
      </c>
      <c r="E237" t="s">
        <v>46</v>
      </c>
      <c r="F237">
        <v>5</v>
      </c>
      <c r="G237" t="str">
        <f t="shared" si="11"/>
        <v>Regular Order</v>
      </c>
      <c r="H237">
        <v>942.47</v>
      </c>
      <c r="I237">
        <f t="shared" si="14"/>
        <v>4712.3500000000004</v>
      </c>
      <c r="J237" t="s">
        <v>30</v>
      </c>
      <c r="K237" t="s">
        <v>51</v>
      </c>
      <c r="L237" t="s">
        <v>597</v>
      </c>
    </row>
    <row r="238" spans="1:12" x14ac:dyDescent="0.25">
      <c r="A238" t="s">
        <v>808</v>
      </c>
      <c r="B238" t="s">
        <v>145</v>
      </c>
      <c r="C238" s="3">
        <v>45614</v>
      </c>
      <c r="D238" t="s">
        <v>78</v>
      </c>
      <c r="E238" t="s">
        <v>46</v>
      </c>
      <c r="F238">
        <v>5</v>
      </c>
      <c r="G238" t="str">
        <f t="shared" si="11"/>
        <v>Regular Order</v>
      </c>
      <c r="H238">
        <v>91.29</v>
      </c>
      <c r="I238">
        <f t="shared" si="14"/>
        <v>456.45000000000005</v>
      </c>
      <c r="J238" t="s">
        <v>35</v>
      </c>
      <c r="K238" t="s">
        <v>24</v>
      </c>
      <c r="L238" t="s">
        <v>149</v>
      </c>
    </row>
    <row r="239" spans="1:12" x14ac:dyDescent="0.25">
      <c r="A239" t="s">
        <v>809</v>
      </c>
      <c r="B239" t="s">
        <v>136</v>
      </c>
      <c r="C239" s="3">
        <v>45385</v>
      </c>
      <c r="D239" t="s">
        <v>87</v>
      </c>
      <c r="E239" t="s">
        <v>15</v>
      </c>
      <c r="F239">
        <v>4</v>
      </c>
      <c r="G239" t="str">
        <f t="shared" si="11"/>
        <v>Regular Order</v>
      </c>
      <c r="H239">
        <v>53.89</v>
      </c>
      <c r="I239">
        <v>215.56</v>
      </c>
      <c r="J239" t="s">
        <v>35</v>
      </c>
      <c r="L239" t="s">
        <v>139</v>
      </c>
    </row>
    <row r="240" spans="1:12" x14ac:dyDescent="0.25">
      <c r="A240" t="s">
        <v>811</v>
      </c>
      <c r="B240" t="s">
        <v>812</v>
      </c>
      <c r="C240" s="3">
        <v>45047</v>
      </c>
      <c r="D240" t="s">
        <v>41</v>
      </c>
      <c r="E240" t="s">
        <v>15</v>
      </c>
      <c r="F240">
        <v>4</v>
      </c>
      <c r="G240" t="str">
        <f t="shared" si="11"/>
        <v>Regular Order</v>
      </c>
      <c r="H240">
        <v>86.97</v>
      </c>
      <c r="I240">
        <f>F240*H240</f>
        <v>347.88</v>
      </c>
      <c r="J240" t="s">
        <v>16</v>
      </c>
      <c r="K240" t="s">
        <v>17</v>
      </c>
      <c r="L240" t="s">
        <v>814</v>
      </c>
    </row>
    <row r="241" spans="1:12" x14ac:dyDescent="0.25">
      <c r="A241" t="s">
        <v>815</v>
      </c>
      <c r="B241" t="s">
        <v>751</v>
      </c>
      <c r="C241" s="3">
        <v>45456</v>
      </c>
      <c r="D241" t="s">
        <v>147</v>
      </c>
      <c r="E241" t="s">
        <v>46</v>
      </c>
      <c r="F241">
        <v>4</v>
      </c>
      <c r="G241" t="str">
        <f t="shared" si="11"/>
        <v>Regular Order</v>
      </c>
      <c r="H241">
        <v>323.72000000000003</v>
      </c>
      <c r="I241">
        <v>1294.8800000000001</v>
      </c>
      <c r="J241" t="s">
        <v>16</v>
      </c>
      <c r="K241" t="s">
        <v>17</v>
      </c>
      <c r="L241" t="s">
        <v>753</v>
      </c>
    </row>
    <row r="242" spans="1:12" x14ac:dyDescent="0.25">
      <c r="A242" t="s">
        <v>817</v>
      </c>
      <c r="B242" t="s">
        <v>363</v>
      </c>
      <c r="C242" s="3">
        <v>45571</v>
      </c>
      <c r="D242" t="s">
        <v>87</v>
      </c>
      <c r="E242" t="s">
        <v>15</v>
      </c>
      <c r="F242">
        <v>9</v>
      </c>
      <c r="G242" t="str">
        <f t="shared" si="11"/>
        <v>Regular Order</v>
      </c>
      <c r="H242">
        <v>53.1</v>
      </c>
      <c r="I242">
        <v>477.9</v>
      </c>
      <c r="J242" t="s">
        <v>102</v>
      </c>
      <c r="K242" t="s">
        <v>55</v>
      </c>
      <c r="L242" t="s">
        <v>819</v>
      </c>
    </row>
    <row r="243" spans="1:12" x14ac:dyDescent="0.25">
      <c r="A243" t="s">
        <v>820</v>
      </c>
      <c r="B243" t="s">
        <v>657</v>
      </c>
      <c r="C243" s="3">
        <v>45586</v>
      </c>
      <c r="D243" t="s">
        <v>147</v>
      </c>
      <c r="E243" t="s">
        <v>46</v>
      </c>
      <c r="F243">
        <v>9</v>
      </c>
      <c r="G243" t="str">
        <f t="shared" si="11"/>
        <v>Regular Order</v>
      </c>
      <c r="H243">
        <v>322.26</v>
      </c>
      <c r="I243">
        <v>2900.34</v>
      </c>
      <c r="J243" t="s">
        <v>102</v>
      </c>
      <c r="K243" t="s">
        <v>17</v>
      </c>
      <c r="L243" t="s">
        <v>659</v>
      </c>
    </row>
    <row r="244" spans="1:12" x14ac:dyDescent="0.25">
      <c r="A244" t="s">
        <v>822</v>
      </c>
      <c r="B244" t="s">
        <v>823</v>
      </c>
      <c r="C244" s="3">
        <v>44953</v>
      </c>
      <c r="D244" t="s">
        <v>87</v>
      </c>
      <c r="E244" t="s">
        <v>15</v>
      </c>
      <c r="F244">
        <v>9</v>
      </c>
      <c r="G244" t="str">
        <f t="shared" si="11"/>
        <v>Regular Order</v>
      </c>
      <c r="J244" t="s">
        <v>35</v>
      </c>
      <c r="K244" t="s">
        <v>69</v>
      </c>
      <c r="L244" t="s">
        <v>825</v>
      </c>
    </row>
    <row r="245" spans="1:12" x14ac:dyDescent="0.25">
      <c r="A245" t="s">
        <v>826</v>
      </c>
      <c r="B245" t="s">
        <v>1399</v>
      </c>
      <c r="C245" s="3">
        <v>45575</v>
      </c>
      <c r="D245" t="s">
        <v>78</v>
      </c>
      <c r="E245" t="s">
        <v>46</v>
      </c>
      <c r="F245">
        <v>1</v>
      </c>
      <c r="G245" t="str">
        <f t="shared" si="11"/>
        <v>Regular Order</v>
      </c>
      <c r="H245">
        <v>93.81</v>
      </c>
      <c r="I245">
        <f>F245*H245</f>
        <v>93.81</v>
      </c>
      <c r="J245" t="s">
        <v>102</v>
      </c>
      <c r="K245" t="s">
        <v>51</v>
      </c>
    </row>
    <row r="246" spans="1:12" x14ac:dyDescent="0.25">
      <c r="A246" t="s">
        <v>827</v>
      </c>
      <c r="B246" t="s">
        <v>828</v>
      </c>
      <c r="C246" s="3">
        <v>44942</v>
      </c>
      <c r="D246" t="s">
        <v>78</v>
      </c>
      <c r="E246" t="s">
        <v>46</v>
      </c>
      <c r="F246">
        <v>2</v>
      </c>
      <c r="G246" t="str">
        <f t="shared" si="11"/>
        <v>Regular Order</v>
      </c>
      <c r="H246">
        <v>92.05</v>
      </c>
      <c r="I246">
        <v>184.1</v>
      </c>
      <c r="K246" t="s">
        <v>55</v>
      </c>
      <c r="L246" t="s">
        <v>830</v>
      </c>
    </row>
    <row r="247" spans="1:12" x14ac:dyDescent="0.25">
      <c r="A247" t="s">
        <v>831</v>
      </c>
      <c r="B247" t="s">
        <v>832</v>
      </c>
      <c r="C247" s="3">
        <v>45038</v>
      </c>
      <c r="D247" t="s">
        <v>22</v>
      </c>
      <c r="E247" t="s">
        <v>23</v>
      </c>
      <c r="F247">
        <v>6</v>
      </c>
      <c r="G247" t="str">
        <f t="shared" si="11"/>
        <v>Regular Order</v>
      </c>
      <c r="H247">
        <v>144.47999999999999</v>
      </c>
      <c r="I247">
        <v>866.88</v>
      </c>
      <c r="J247" t="s">
        <v>16</v>
      </c>
      <c r="K247" t="s">
        <v>51</v>
      </c>
      <c r="L247" t="s">
        <v>833</v>
      </c>
    </row>
    <row r="248" spans="1:12" x14ac:dyDescent="0.25">
      <c r="A248" t="s">
        <v>834</v>
      </c>
      <c r="B248" t="s">
        <v>686</v>
      </c>
      <c r="C248" s="3">
        <v>44980</v>
      </c>
      <c r="D248" t="s">
        <v>78</v>
      </c>
      <c r="E248" t="s">
        <v>46</v>
      </c>
      <c r="F248">
        <v>2</v>
      </c>
      <c r="G248" t="str">
        <f t="shared" si="11"/>
        <v>Regular Order</v>
      </c>
      <c r="H248">
        <v>91.51</v>
      </c>
      <c r="I248">
        <v>183.02</v>
      </c>
      <c r="J248" t="s">
        <v>35</v>
      </c>
      <c r="K248" t="s">
        <v>51</v>
      </c>
      <c r="L248" t="s">
        <v>688</v>
      </c>
    </row>
    <row r="249" spans="1:12" x14ac:dyDescent="0.25">
      <c r="A249" t="s">
        <v>836</v>
      </c>
      <c r="B249" t="s">
        <v>837</v>
      </c>
      <c r="C249" s="3">
        <v>44951</v>
      </c>
      <c r="D249" t="s">
        <v>78</v>
      </c>
      <c r="E249" t="s">
        <v>46</v>
      </c>
      <c r="F249">
        <v>2</v>
      </c>
      <c r="G249" t="str">
        <f t="shared" si="11"/>
        <v>Regular Order</v>
      </c>
      <c r="H249">
        <v>81.7</v>
      </c>
      <c r="I249">
        <v>163.4</v>
      </c>
      <c r="J249" t="s">
        <v>16</v>
      </c>
      <c r="K249" t="s">
        <v>24</v>
      </c>
      <c r="L249" t="s">
        <v>838</v>
      </c>
    </row>
    <row r="250" spans="1:12" x14ac:dyDescent="0.25">
      <c r="A250" t="s">
        <v>839</v>
      </c>
      <c r="B250" t="s">
        <v>840</v>
      </c>
      <c r="D250" t="s">
        <v>29</v>
      </c>
      <c r="E250" t="s">
        <v>46</v>
      </c>
      <c r="F250">
        <v>7</v>
      </c>
      <c r="G250" t="str">
        <f t="shared" si="11"/>
        <v>Regular Order</v>
      </c>
      <c r="H250">
        <v>941.34</v>
      </c>
      <c r="I250">
        <v>6589.38</v>
      </c>
      <c r="J250" t="s">
        <v>35</v>
      </c>
      <c r="K250" t="s">
        <v>51</v>
      </c>
      <c r="L250" t="s">
        <v>842</v>
      </c>
    </row>
    <row r="251" spans="1:12" x14ac:dyDescent="0.25">
      <c r="A251" t="s">
        <v>843</v>
      </c>
      <c r="B251" t="s">
        <v>844</v>
      </c>
      <c r="C251" s="3">
        <v>45321</v>
      </c>
      <c r="D251" t="s">
        <v>87</v>
      </c>
      <c r="E251" t="s">
        <v>15</v>
      </c>
      <c r="F251">
        <v>999</v>
      </c>
      <c r="G251" t="str">
        <f t="shared" si="11"/>
        <v>Bulk Order</v>
      </c>
      <c r="H251">
        <v>53.92</v>
      </c>
      <c r="I251">
        <v>53866.080000000002</v>
      </c>
      <c r="J251" t="s">
        <v>16</v>
      </c>
      <c r="K251" t="s">
        <v>69</v>
      </c>
      <c r="L251" t="s">
        <v>846</v>
      </c>
    </row>
    <row r="252" spans="1:12" x14ac:dyDescent="0.25">
      <c r="A252" t="s">
        <v>847</v>
      </c>
      <c r="B252" t="s">
        <v>99</v>
      </c>
      <c r="C252" s="3">
        <v>45350</v>
      </c>
      <c r="D252" t="s">
        <v>41</v>
      </c>
      <c r="E252" t="s">
        <v>15</v>
      </c>
      <c r="F252">
        <v>1</v>
      </c>
      <c r="G252" t="str">
        <f t="shared" si="11"/>
        <v>Regular Order</v>
      </c>
      <c r="H252">
        <v>76.349999999999994</v>
      </c>
      <c r="I252">
        <v>76.349999999999994</v>
      </c>
      <c r="J252" t="s">
        <v>16</v>
      </c>
      <c r="K252" t="s">
        <v>69</v>
      </c>
      <c r="L252" t="s">
        <v>103</v>
      </c>
    </row>
    <row r="253" spans="1:12" x14ac:dyDescent="0.25">
      <c r="A253" t="s">
        <v>849</v>
      </c>
      <c r="B253" t="s">
        <v>607</v>
      </c>
      <c r="C253" s="3">
        <v>44960</v>
      </c>
      <c r="D253" t="s">
        <v>1396</v>
      </c>
      <c r="E253" t="s">
        <v>185</v>
      </c>
      <c r="F253">
        <v>5</v>
      </c>
      <c r="G253" t="str">
        <f t="shared" si="11"/>
        <v>Regular Order</v>
      </c>
      <c r="H253">
        <v>45.98</v>
      </c>
      <c r="I253">
        <v>229.9</v>
      </c>
      <c r="J253" t="s">
        <v>35</v>
      </c>
      <c r="K253" t="s">
        <v>17</v>
      </c>
      <c r="L253" t="s">
        <v>851</v>
      </c>
    </row>
    <row r="254" spans="1:12" x14ac:dyDescent="0.25">
      <c r="A254" t="s">
        <v>852</v>
      </c>
      <c r="B254" t="s">
        <v>62</v>
      </c>
      <c r="C254" s="3">
        <v>45265</v>
      </c>
      <c r="D254" t="s">
        <v>101</v>
      </c>
      <c r="E254" t="s">
        <v>15</v>
      </c>
      <c r="F254">
        <v>8</v>
      </c>
      <c r="G254" t="str">
        <f t="shared" si="11"/>
        <v>Regular Order</v>
      </c>
      <c r="H254">
        <v>27.91</v>
      </c>
      <c r="I254">
        <f>F254*H254</f>
        <v>223.28</v>
      </c>
      <c r="J254" t="s">
        <v>102</v>
      </c>
      <c r="K254" t="s">
        <v>51</v>
      </c>
      <c r="L254" t="s">
        <v>65</v>
      </c>
    </row>
    <row r="255" spans="1:12" x14ac:dyDescent="0.25">
      <c r="A255" t="s">
        <v>854</v>
      </c>
      <c r="B255" t="s">
        <v>700</v>
      </c>
      <c r="C255" s="3">
        <v>44958</v>
      </c>
      <c r="D255" t="s">
        <v>101</v>
      </c>
      <c r="E255" t="s">
        <v>15</v>
      </c>
      <c r="F255">
        <v>4</v>
      </c>
      <c r="G255" t="str">
        <f t="shared" si="11"/>
        <v>Regular Order</v>
      </c>
      <c r="H255">
        <v>27.55</v>
      </c>
      <c r="I255">
        <v>110.2</v>
      </c>
      <c r="J255" t="s">
        <v>16</v>
      </c>
      <c r="K255" t="s">
        <v>69</v>
      </c>
      <c r="L255" t="s">
        <v>749</v>
      </c>
    </row>
    <row r="256" spans="1:12" x14ac:dyDescent="0.25">
      <c r="A256" t="s">
        <v>856</v>
      </c>
      <c r="B256" t="s">
        <v>857</v>
      </c>
      <c r="C256" s="3">
        <v>45625</v>
      </c>
      <c r="D256" t="s">
        <v>22</v>
      </c>
      <c r="E256" t="s">
        <v>23</v>
      </c>
      <c r="F256">
        <v>2</v>
      </c>
      <c r="G256" t="str">
        <f t="shared" si="11"/>
        <v>Regular Order</v>
      </c>
      <c r="H256">
        <v>135.9</v>
      </c>
      <c r="I256">
        <v>271.8</v>
      </c>
      <c r="J256" t="s">
        <v>102</v>
      </c>
      <c r="K256" t="s">
        <v>55</v>
      </c>
      <c r="L256" t="s">
        <v>858</v>
      </c>
    </row>
    <row r="257" spans="1:12" x14ac:dyDescent="0.25">
      <c r="A257" t="s">
        <v>859</v>
      </c>
      <c r="B257" t="s">
        <v>860</v>
      </c>
      <c r="C257" s="3">
        <v>45404</v>
      </c>
      <c r="D257" t="s">
        <v>147</v>
      </c>
      <c r="E257" t="s">
        <v>46</v>
      </c>
      <c r="F257">
        <v>6</v>
      </c>
      <c r="G257" t="str">
        <f t="shared" si="11"/>
        <v>Regular Order</v>
      </c>
      <c r="H257">
        <v>319.76</v>
      </c>
      <c r="I257">
        <v>1918.56</v>
      </c>
      <c r="J257" t="s">
        <v>30</v>
      </c>
      <c r="K257" t="s">
        <v>69</v>
      </c>
      <c r="L257" t="s">
        <v>862</v>
      </c>
    </row>
    <row r="258" spans="1:12" x14ac:dyDescent="0.25">
      <c r="A258" t="s">
        <v>863</v>
      </c>
      <c r="B258" t="s">
        <v>319</v>
      </c>
      <c r="C258" s="3">
        <v>45620</v>
      </c>
      <c r="D258" t="s">
        <v>1396</v>
      </c>
      <c r="E258" t="s">
        <v>185</v>
      </c>
      <c r="F258">
        <v>8</v>
      </c>
      <c r="G258" t="str">
        <f t="shared" si="11"/>
        <v>Regular Order</v>
      </c>
      <c r="H258">
        <v>47</v>
      </c>
      <c r="I258">
        <f>F258*H258</f>
        <v>376</v>
      </c>
      <c r="J258" t="s">
        <v>102</v>
      </c>
      <c r="K258" t="s">
        <v>51</v>
      </c>
      <c r="L258" t="s">
        <v>321</v>
      </c>
    </row>
    <row r="259" spans="1:12" x14ac:dyDescent="0.25">
      <c r="A259" t="s">
        <v>865</v>
      </c>
      <c r="B259" t="s">
        <v>694</v>
      </c>
      <c r="C259" s="3">
        <v>45642</v>
      </c>
      <c r="D259" t="s">
        <v>41</v>
      </c>
      <c r="E259" t="s">
        <v>15</v>
      </c>
      <c r="F259">
        <v>1</v>
      </c>
      <c r="G259" t="str">
        <f t="shared" ref="G259:G322" si="15">IF(F259&gt; 100, "Bulk Order", "Regular Order")</f>
        <v>Regular Order</v>
      </c>
      <c r="H259">
        <v>84.09</v>
      </c>
      <c r="I259">
        <v>84.09</v>
      </c>
      <c r="J259" t="s">
        <v>30</v>
      </c>
      <c r="K259" t="s">
        <v>24</v>
      </c>
      <c r="L259" t="s">
        <v>696</v>
      </c>
    </row>
    <row r="260" spans="1:12" x14ac:dyDescent="0.25">
      <c r="A260" t="s">
        <v>866</v>
      </c>
      <c r="B260" t="s">
        <v>158</v>
      </c>
      <c r="C260" s="3">
        <v>45611</v>
      </c>
      <c r="D260" t="s">
        <v>1396</v>
      </c>
      <c r="E260" t="s">
        <v>185</v>
      </c>
      <c r="F260">
        <v>5</v>
      </c>
      <c r="G260" t="str">
        <f t="shared" si="15"/>
        <v>Regular Order</v>
      </c>
      <c r="H260">
        <v>49.86</v>
      </c>
      <c r="I260">
        <f t="shared" ref="I260:I263" si="16">F260*H260</f>
        <v>249.3</v>
      </c>
      <c r="J260" t="s">
        <v>35</v>
      </c>
      <c r="K260" t="s">
        <v>51</v>
      </c>
      <c r="L260" t="s">
        <v>160</v>
      </c>
    </row>
    <row r="261" spans="1:12" x14ac:dyDescent="0.25">
      <c r="A261" t="s">
        <v>868</v>
      </c>
      <c r="B261" t="s">
        <v>141</v>
      </c>
      <c r="C261" s="3">
        <v>45509</v>
      </c>
      <c r="D261" t="s">
        <v>41</v>
      </c>
      <c r="E261" t="s">
        <v>15</v>
      </c>
      <c r="F261">
        <v>6</v>
      </c>
      <c r="G261" t="str">
        <f t="shared" si="15"/>
        <v>Regular Order</v>
      </c>
      <c r="H261">
        <v>79.319999999999993</v>
      </c>
      <c r="I261">
        <f t="shared" si="16"/>
        <v>475.91999999999996</v>
      </c>
      <c r="J261" t="s">
        <v>35</v>
      </c>
      <c r="K261" t="s">
        <v>69</v>
      </c>
    </row>
    <row r="262" spans="1:12" x14ac:dyDescent="0.25">
      <c r="A262" t="s">
        <v>870</v>
      </c>
      <c r="B262" t="s">
        <v>871</v>
      </c>
      <c r="C262" s="3">
        <v>45331</v>
      </c>
      <c r="D262" t="s">
        <v>29</v>
      </c>
      <c r="E262" t="s">
        <v>46</v>
      </c>
      <c r="F262">
        <v>6</v>
      </c>
      <c r="G262" t="str">
        <f t="shared" si="15"/>
        <v>Regular Order</v>
      </c>
      <c r="H262">
        <v>904.02</v>
      </c>
      <c r="I262">
        <f t="shared" si="16"/>
        <v>5424.12</v>
      </c>
      <c r="J262" t="s">
        <v>30</v>
      </c>
      <c r="K262" t="s">
        <v>24</v>
      </c>
      <c r="L262" t="s">
        <v>873</v>
      </c>
    </row>
    <row r="263" spans="1:12" x14ac:dyDescent="0.25">
      <c r="A263" t="s">
        <v>874</v>
      </c>
      <c r="B263" t="s">
        <v>278</v>
      </c>
      <c r="C263" s="3">
        <v>45010</v>
      </c>
      <c r="D263" t="s">
        <v>78</v>
      </c>
      <c r="E263" t="s">
        <v>46</v>
      </c>
      <c r="F263">
        <v>5</v>
      </c>
      <c r="G263" t="str">
        <f t="shared" si="15"/>
        <v>Regular Order</v>
      </c>
      <c r="H263">
        <v>88.18</v>
      </c>
      <c r="I263">
        <f t="shared" si="16"/>
        <v>440.90000000000003</v>
      </c>
      <c r="J263" t="s">
        <v>16</v>
      </c>
      <c r="K263" t="s">
        <v>24</v>
      </c>
      <c r="L263" t="s">
        <v>280</v>
      </c>
    </row>
    <row r="264" spans="1:12" x14ac:dyDescent="0.25">
      <c r="A264" t="s">
        <v>876</v>
      </c>
      <c r="B264" t="s">
        <v>200</v>
      </c>
      <c r="C264" s="3">
        <v>45107</v>
      </c>
      <c r="D264" t="s">
        <v>87</v>
      </c>
      <c r="E264" t="s">
        <v>15</v>
      </c>
      <c r="F264">
        <v>7</v>
      </c>
      <c r="G264" t="str">
        <f t="shared" si="15"/>
        <v>Regular Order</v>
      </c>
      <c r="H264">
        <v>48.7</v>
      </c>
      <c r="I264">
        <v>340.9</v>
      </c>
      <c r="J264" t="s">
        <v>16</v>
      </c>
      <c r="K264" t="s">
        <v>17</v>
      </c>
      <c r="L264" t="s">
        <v>202</v>
      </c>
    </row>
    <row r="265" spans="1:12" x14ac:dyDescent="0.25">
      <c r="A265" t="s">
        <v>877</v>
      </c>
      <c r="B265" t="s">
        <v>878</v>
      </c>
      <c r="C265" s="3">
        <v>45237</v>
      </c>
      <c r="D265" t="s">
        <v>87</v>
      </c>
      <c r="E265" t="s">
        <v>15</v>
      </c>
      <c r="F265">
        <v>1</v>
      </c>
      <c r="G265" t="str">
        <f t="shared" si="15"/>
        <v>Regular Order</v>
      </c>
      <c r="H265">
        <v>52.96</v>
      </c>
      <c r="I265">
        <v>52.96</v>
      </c>
      <c r="J265" t="s">
        <v>16</v>
      </c>
      <c r="K265" t="s">
        <v>69</v>
      </c>
      <c r="L265" t="s">
        <v>880</v>
      </c>
    </row>
    <row r="266" spans="1:12" x14ac:dyDescent="0.25">
      <c r="A266" t="s">
        <v>881</v>
      </c>
      <c r="B266" t="s">
        <v>133</v>
      </c>
      <c r="C266" s="3">
        <v>45609</v>
      </c>
      <c r="D266" t="s">
        <v>22</v>
      </c>
      <c r="E266" t="s">
        <v>23</v>
      </c>
      <c r="F266">
        <v>5</v>
      </c>
      <c r="G266" t="str">
        <f t="shared" si="15"/>
        <v>Regular Order</v>
      </c>
      <c r="H266">
        <v>150.15</v>
      </c>
      <c r="I266">
        <v>750.75</v>
      </c>
      <c r="J266" t="s">
        <v>30</v>
      </c>
      <c r="K266" t="s">
        <v>24</v>
      </c>
      <c r="L266" t="s">
        <v>340</v>
      </c>
    </row>
    <row r="267" spans="1:12" x14ac:dyDescent="0.25">
      <c r="A267" t="s">
        <v>883</v>
      </c>
      <c r="B267" t="s">
        <v>884</v>
      </c>
      <c r="C267" s="3">
        <v>44956</v>
      </c>
      <c r="D267" t="s">
        <v>147</v>
      </c>
      <c r="E267" t="s">
        <v>46</v>
      </c>
      <c r="F267">
        <v>999</v>
      </c>
      <c r="G267" t="str">
        <f t="shared" si="15"/>
        <v>Bulk Order</v>
      </c>
      <c r="H267">
        <f>IF(H260&lt;=0, AVERAGEIF($D:$D,D260,$H:$H),H260)</f>
        <v>49.86</v>
      </c>
      <c r="I267">
        <f>F267*H267</f>
        <v>49810.14</v>
      </c>
      <c r="J267" t="s">
        <v>30</v>
      </c>
      <c r="K267" t="s">
        <v>55</v>
      </c>
      <c r="L267" t="s">
        <v>885</v>
      </c>
    </row>
    <row r="268" spans="1:12" x14ac:dyDescent="0.25">
      <c r="A268" t="s">
        <v>886</v>
      </c>
      <c r="B268" t="s">
        <v>887</v>
      </c>
      <c r="D268" t="s">
        <v>22</v>
      </c>
      <c r="E268" t="s">
        <v>23</v>
      </c>
      <c r="F268">
        <v>8</v>
      </c>
      <c r="G268" t="str">
        <f t="shared" si="15"/>
        <v>Regular Order</v>
      </c>
      <c r="H268">
        <v>152.11000000000001</v>
      </c>
      <c r="I268">
        <v>1216.8800000000001</v>
      </c>
      <c r="J268" t="s">
        <v>102</v>
      </c>
      <c r="K268" t="s">
        <v>24</v>
      </c>
      <c r="L268" t="s">
        <v>888</v>
      </c>
    </row>
    <row r="269" spans="1:12" x14ac:dyDescent="0.25">
      <c r="A269" t="s">
        <v>889</v>
      </c>
      <c r="B269" t="s">
        <v>700</v>
      </c>
      <c r="C269" s="3">
        <v>45123</v>
      </c>
      <c r="D269" t="s">
        <v>41</v>
      </c>
      <c r="E269" t="s">
        <v>15</v>
      </c>
      <c r="F269">
        <v>6</v>
      </c>
      <c r="G269" t="str">
        <f t="shared" si="15"/>
        <v>Regular Order</v>
      </c>
      <c r="H269">
        <v>87.05</v>
      </c>
      <c r="I269">
        <v>522.29999999999995</v>
      </c>
      <c r="J269" t="s">
        <v>30</v>
      </c>
      <c r="K269" t="s">
        <v>69</v>
      </c>
      <c r="L269" t="s">
        <v>749</v>
      </c>
    </row>
    <row r="270" spans="1:12" x14ac:dyDescent="0.25">
      <c r="A270" t="s">
        <v>891</v>
      </c>
      <c r="B270" t="s">
        <v>892</v>
      </c>
      <c r="C270" s="3">
        <v>45287</v>
      </c>
      <c r="D270" t="s">
        <v>147</v>
      </c>
      <c r="E270" t="s">
        <v>46</v>
      </c>
      <c r="F270">
        <v>5</v>
      </c>
      <c r="G270" t="str">
        <f t="shared" si="15"/>
        <v>Regular Order</v>
      </c>
      <c r="H270">
        <v>318.73</v>
      </c>
      <c r="I270">
        <f>F270*H270</f>
        <v>1593.65</v>
      </c>
      <c r="J270" t="s">
        <v>102</v>
      </c>
      <c r="K270" t="s">
        <v>17</v>
      </c>
      <c r="L270" t="s">
        <v>893</v>
      </c>
    </row>
    <row r="271" spans="1:12" x14ac:dyDescent="0.25">
      <c r="A271" t="s">
        <v>894</v>
      </c>
      <c r="B271" t="s">
        <v>895</v>
      </c>
      <c r="C271" s="3">
        <v>45215</v>
      </c>
      <c r="D271" t="s">
        <v>22</v>
      </c>
      <c r="E271" t="s">
        <v>23</v>
      </c>
      <c r="F271">
        <v>8</v>
      </c>
      <c r="G271" t="str">
        <f t="shared" si="15"/>
        <v>Regular Order</v>
      </c>
      <c r="H271">
        <v>157.99</v>
      </c>
      <c r="I271">
        <v>1263.92</v>
      </c>
      <c r="J271" t="s">
        <v>16</v>
      </c>
      <c r="K271" t="s">
        <v>24</v>
      </c>
      <c r="L271" t="s">
        <v>896</v>
      </c>
    </row>
    <row r="272" spans="1:12" x14ac:dyDescent="0.25">
      <c r="A272" t="s">
        <v>897</v>
      </c>
      <c r="B272" t="s">
        <v>837</v>
      </c>
      <c r="C272" s="3">
        <v>45018</v>
      </c>
      <c r="D272" t="s">
        <v>1396</v>
      </c>
      <c r="E272" t="s">
        <v>185</v>
      </c>
      <c r="F272">
        <v>5</v>
      </c>
      <c r="G272" t="str">
        <f t="shared" si="15"/>
        <v>Regular Order</v>
      </c>
      <c r="H272">
        <v>53.43</v>
      </c>
      <c r="I272">
        <v>267.14999999999998</v>
      </c>
      <c r="J272" t="s">
        <v>102</v>
      </c>
      <c r="K272" t="s">
        <v>69</v>
      </c>
      <c r="L272" t="s">
        <v>838</v>
      </c>
    </row>
    <row r="273" spans="1:12" x14ac:dyDescent="0.25">
      <c r="A273" t="s">
        <v>899</v>
      </c>
      <c r="B273" t="s">
        <v>136</v>
      </c>
      <c r="C273" s="3">
        <v>45064</v>
      </c>
      <c r="D273" t="s">
        <v>29</v>
      </c>
      <c r="E273" t="s">
        <v>46</v>
      </c>
      <c r="F273">
        <v>1</v>
      </c>
      <c r="G273" t="str">
        <f t="shared" si="15"/>
        <v>Regular Order</v>
      </c>
      <c r="H273">
        <v>819.02</v>
      </c>
      <c r="I273">
        <v>819.02</v>
      </c>
      <c r="J273" t="s">
        <v>35</v>
      </c>
      <c r="K273" t="s">
        <v>69</v>
      </c>
      <c r="L273" t="s">
        <v>139</v>
      </c>
    </row>
    <row r="274" spans="1:12" x14ac:dyDescent="0.25">
      <c r="A274" t="s">
        <v>901</v>
      </c>
      <c r="B274" t="s">
        <v>382</v>
      </c>
      <c r="C274" s="3">
        <v>45514</v>
      </c>
      <c r="D274" t="s">
        <v>29</v>
      </c>
      <c r="E274" t="s">
        <v>46</v>
      </c>
      <c r="F274">
        <v>8</v>
      </c>
      <c r="G274" t="str">
        <f t="shared" si="15"/>
        <v>Regular Order</v>
      </c>
      <c r="H274">
        <v>986.85</v>
      </c>
      <c r="I274">
        <v>7894.8</v>
      </c>
      <c r="J274" t="s">
        <v>16</v>
      </c>
      <c r="K274" t="s">
        <v>51</v>
      </c>
      <c r="L274" t="s">
        <v>384</v>
      </c>
    </row>
    <row r="275" spans="1:12" x14ac:dyDescent="0.25">
      <c r="A275" t="s">
        <v>903</v>
      </c>
      <c r="B275" t="s">
        <v>904</v>
      </c>
      <c r="C275" s="3">
        <v>45274</v>
      </c>
      <c r="D275" t="s">
        <v>78</v>
      </c>
      <c r="E275" t="s">
        <v>46</v>
      </c>
      <c r="F275">
        <v>2</v>
      </c>
      <c r="G275" t="str">
        <f t="shared" si="15"/>
        <v>Regular Order</v>
      </c>
      <c r="H275">
        <v>87.37</v>
      </c>
      <c r="I275">
        <v>174.74</v>
      </c>
      <c r="J275" t="s">
        <v>102</v>
      </c>
      <c r="K275" t="s">
        <v>55</v>
      </c>
      <c r="L275" t="s">
        <v>906</v>
      </c>
    </row>
    <row r="276" spans="1:12" x14ac:dyDescent="0.25">
      <c r="A276" t="s">
        <v>907</v>
      </c>
      <c r="B276" t="s">
        <v>908</v>
      </c>
      <c r="C276" s="3">
        <v>45229</v>
      </c>
      <c r="D276" t="s">
        <v>29</v>
      </c>
      <c r="E276" t="s">
        <v>46</v>
      </c>
      <c r="F276">
        <v>4</v>
      </c>
      <c r="G276" t="str">
        <f t="shared" si="15"/>
        <v>Regular Order</v>
      </c>
      <c r="H276">
        <v>918.17</v>
      </c>
      <c r="I276">
        <v>3672.68</v>
      </c>
      <c r="J276" t="s">
        <v>35</v>
      </c>
      <c r="K276" t="s">
        <v>69</v>
      </c>
      <c r="L276" t="s">
        <v>910</v>
      </c>
    </row>
    <row r="277" spans="1:12" x14ac:dyDescent="0.25">
      <c r="A277" t="s">
        <v>911</v>
      </c>
      <c r="B277" t="s">
        <v>912</v>
      </c>
      <c r="C277" s="3">
        <v>45092</v>
      </c>
      <c r="D277" t="s">
        <v>22</v>
      </c>
      <c r="E277" t="s">
        <v>23</v>
      </c>
      <c r="F277">
        <v>9</v>
      </c>
      <c r="G277" t="str">
        <f t="shared" si="15"/>
        <v>Regular Order</v>
      </c>
      <c r="H277">
        <v>142.52000000000001</v>
      </c>
      <c r="I277">
        <v>1282.68</v>
      </c>
      <c r="J277" t="s">
        <v>102</v>
      </c>
      <c r="K277" t="s">
        <v>69</v>
      </c>
      <c r="L277" t="s">
        <v>914</v>
      </c>
    </row>
    <row r="278" spans="1:12" x14ac:dyDescent="0.25">
      <c r="A278" t="s">
        <v>915</v>
      </c>
      <c r="B278" t="s">
        <v>840</v>
      </c>
      <c r="C278" s="3">
        <v>44980</v>
      </c>
      <c r="D278" t="s">
        <v>101</v>
      </c>
      <c r="E278" t="s">
        <v>15</v>
      </c>
      <c r="F278">
        <v>999</v>
      </c>
      <c r="G278" t="str">
        <f t="shared" si="15"/>
        <v>Bulk Order</v>
      </c>
      <c r="H278">
        <v>24.65</v>
      </c>
      <c r="I278">
        <v>24625.35</v>
      </c>
      <c r="J278" t="s">
        <v>30</v>
      </c>
      <c r="K278" t="s">
        <v>55</v>
      </c>
      <c r="L278" t="s">
        <v>842</v>
      </c>
    </row>
    <row r="279" spans="1:12" x14ac:dyDescent="0.25">
      <c r="A279" t="s">
        <v>916</v>
      </c>
      <c r="B279" t="s">
        <v>501</v>
      </c>
      <c r="C279" s="3">
        <v>45545</v>
      </c>
      <c r="D279" t="s">
        <v>101</v>
      </c>
      <c r="E279" t="s">
        <v>15</v>
      </c>
      <c r="F279">
        <v>6</v>
      </c>
      <c r="G279" t="str">
        <f t="shared" si="15"/>
        <v>Regular Order</v>
      </c>
      <c r="H279">
        <v>26.39</v>
      </c>
      <c r="I279">
        <v>158.34</v>
      </c>
      <c r="J279" t="s">
        <v>102</v>
      </c>
      <c r="K279" t="s">
        <v>51</v>
      </c>
      <c r="L279" t="s">
        <v>503</v>
      </c>
    </row>
    <row r="280" spans="1:12" x14ac:dyDescent="0.25">
      <c r="A280" t="s">
        <v>918</v>
      </c>
      <c r="B280" t="s">
        <v>433</v>
      </c>
      <c r="C280" s="3">
        <v>45428</v>
      </c>
      <c r="D280" t="s">
        <v>87</v>
      </c>
      <c r="E280" t="s">
        <v>15</v>
      </c>
      <c r="F280">
        <v>5</v>
      </c>
      <c r="G280" t="str">
        <f t="shared" si="15"/>
        <v>Regular Order</v>
      </c>
      <c r="H280">
        <v>47.73</v>
      </c>
      <c r="I280">
        <f t="shared" ref="I280:I281" si="17">F280*H280</f>
        <v>238.64999999999998</v>
      </c>
      <c r="J280" t="s">
        <v>102</v>
      </c>
      <c r="K280" t="s">
        <v>69</v>
      </c>
      <c r="L280" t="s">
        <v>435</v>
      </c>
    </row>
    <row r="281" spans="1:12" x14ac:dyDescent="0.25">
      <c r="A281" t="s">
        <v>920</v>
      </c>
      <c r="B281" t="s">
        <v>884</v>
      </c>
      <c r="D281" t="s">
        <v>147</v>
      </c>
      <c r="E281" t="s">
        <v>46</v>
      </c>
      <c r="F281">
        <v>2</v>
      </c>
      <c r="G281" t="str">
        <f t="shared" si="15"/>
        <v>Regular Order</v>
      </c>
      <c r="H281">
        <f>IF(H274&lt;=0, AVERAGEIF($D:$D,D274,$H:$H),H274)</f>
        <v>986.85</v>
      </c>
      <c r="I281">
        <f t="shared" si="17"/>
        <v>1973.7</v>
      </c>
      <c r="J281" t="s">
        <v>16</v>
      </c>
      <c r="K281" t="s">
        <v>55</v>
      </c>
      <c r="L281" t="s">
        <v>885</v>
      </c>
    </row>
    <row r="282" spans="1:12" x14ac:dyDescent="0.25">
      <c r="A282" t="s">
        <v>921</v>
      </c>
      <c r="B282" t="s">
        <v>922</v>
      </c>
      <c r="C282" s="3">
        <v>45092</v>
      </c>
      <c r="D282" t="s">
        <v>78</v>
      </c>
      <c r="E282" t="s">
        <v>46</v>
      </c>
      <c r="F282">
        <v>6</v>
      </c>
      <c r="G282" t="str">
        <f t="shared" si="15"/>
        <v>Regular Order</v>
      </c>
      <c r="H282">
        <v>92.99</v>
      </c>
      <c r="I282">
        <v>557.94000000000005</v>
      </c>
      <c r="J282" t="s">
        <v>35</v>
      </c>
      <c r="K282" t="s">
        <v>51</v>
      </c>
      <c r="L282" t="s">
        <v>924</v>
      </c>
    </row>
    <row r="283" spans="1:12" x14ac:dyDescent="0.25">
      <c r="A283" t="s">
        <v>925</v>
      </c>
      <c r="B283" t="s">
        <v>926</v>
      </c>
      <c r="C283" s="3">
        <v>45352</v>
      </c>
      <c r="D283" t="s">
        <v>1396</v>
      </c>
      <c r="E283" t="s">
        <v>185</v>
      </c>
      <c r="F283">
        <v>4</v>
      </c>
      <c r="G283" t="str">
        <f t="shared" si="15"/>
        <v>Regular Order</v>
      </c>
      <c r="H283">
        <v>45.02</v>
      </c>
      <c r="I283">
        <v>180.08</v>
      </c>
      <c r="J283" t="s">
        <v>16</v>
      </c>
      <c r="K283" t="s">
        <v>24</v>
      </c>
      <c r="L283" t="s">
        <v>927</v>
      </c>
    </row>
    <row r="284" spans="1:12" x14ac:dyDescent="0.25">
      <c r="A284" t="s">
        <v>928</v>
      </c>
      <c r="B284" t="s">
        <v>535</v>
      </c>
      <c r="C284" s="3">
        <v>45197</v>
      </c>
      <c r="D284" t="s">
        <v>22</v>
      </c>
      <c r="E284" t="s">
        <v>23</v>
      </c>
      <c r="F284">
        <v>2</v>
      </c>
      <c r="G284" t="str">
        <f t="shared" si="15"/>
        <v>Regular Order</v>
      </c>
      <c r="J284" t="s">
        <v>16</v>
      </c>
      <c r="K284" t="s">
        <v>51</v>
      </c>
      <c r="L284" t="s">
        <v>537</v>
      </c>
    </row>
    <row r="285" spans="1:12" x14ac:dyDescent="0.25">
      <c r="A285" t="s">
        <v>930</v>
      </c>
      <c r="B285" t="s">
        <v>931</v>
      </c>
      <c r="C285" s="3">
        <v>45324</v>
      </c>
      <c r="D285" t="s">
        <v>147</v>
      </c>
      <c r="E285" t="s">
        <v>46</v>
      </c>
      <c r="F285">
        <v>9</v>
      </c>
      <c r="G285" t="str">
        <f t="shared" si="15"/>
        <v>Regular Order</v>
      </c>
      <c r="H285">
        <v>275.74</v>
      </c>
      <c r="I285">
        <v>2481.66</v>
      </c>
      <c r="J285" t="s">
        <v>30</v>
      </c>
      <c r="K285" t="s">
        <v>17</v>
      </c>
      <c r="L285" t="s">
        <v>932</v>
      </c>
    </row>
    <row r="286" spans="1:12" x14ac:dyDescent="0.25">
      <c r="A286" t="s">
        <v>933</v>
      </c>
      <c r="B286" t="s">
        <v>297</v>
      </c>
      <c r="C286" s="3">
        <v>45633</v>
      </c>
      <c r="D286" t="s">
        <v>101</v>
      </c>
      <c r="E286" t="s">
        <v>15</v>
      </c>
      <c r="F286">
        <v>1</v>
      </c>
      <c r="G286" t="str">
        <f t="shared" si="15"/>
        <v>Regular Order</v>
      </c>
      <c r="H286">
        <v>27.54</v>
      </c>
      <c r="I286">
        <v>27.54</v>
      </c>
      <c r="J286" t="s">
        <v>102</v>
      </c>
      <c r="K286" t="s">
        <v>51</v>
      </c>
      <c r="L286" t="s">
        <v>299</v>
      </c>
    </row>
    <row r="287" spans="1:12" x14ac:dyDescent="0.25">
      <c r="A287" t="s">
        <v>935</v>
      </c>
      <c r="B287" t="s">
        <v>621</v>
      </c>
      <c r="C287" s="3">
        <v>45522</v>
      </c>
      <c r="D287" t="s">
        <v>87</v>
      </c>
      <c r="E287" t="s">
        <v>15</v>
      </c>
      <c r="F287">
        <v>2</v>
      </c>
      <c r="G287" t="str">
        <f t="shared" si="15"/>
        <v>Regular Order</v>
      </c>
      <c r="H287">
        <v>50.21</v>
      </c>
      <c r="I287">
        <v>100.42</v>
      </c>
      <c r="J287" t="s">
        <v>102</v>
      </c>
      <c r="K287" t="s">
        <v>24</v>
      </c>
      <c r="L287" t="s">
        <v>622</v>
      </c>
    </row>
    <row r="288" spans="1:12" x14ac:dyDescent="0.25">
      <c r="A288" t="s">
        <v>937</v>
      </c>
      <c r="B288" t="s">
        <v>269</v>
      </c>
      <c r="C288" s="3">
        <v>45412</v>
      </c>
      <c r="D288" t="s">
        <v>147</v>
      </c>
      <c r="E288" t="s">
        <v>46</v>
      </c>
      <c r="F288">
        <v>1</v>
      </c>
      <c r="G288" t="str">
        <f t="shared" si="15"/>
        <v>Regular Order</v>
      </c>
      <c r="H288">
        <v>319.27999999999997</v>
      </c>
      <c r="I288">
        <f>F288*H288</f>
        <v>319.27999999999997</v>
      </c>
      <c r="J288" t="s">
        <v>102</v>
      </c>
      <c r="K288" t="s">
        <v>24</v>
      </c>
      <c r="L288" t="s">
        <v>272</v>
      </c>
    </row>
    <row r="289" spans="1:12" x14ac:dyDescent="0.25">
      <c r="A289" t="s">
        <v>939</v>
      </c>
      <c r="B289" t="s">
        <v>425</v>
      </c>
      <c r="C289" s="3">
        <v>45369</v>
      </c>
      <c r="D289" t="s">
        <v>22</v>
      </c>
      <c r="E289" t="s">
        <v>23</v>
      </c>
      <c r="F289">
        <v>7</v>
      </c>
      <c r="G289" t="str">
        <f t="shared" si="15"/>
        <v>Regular Order</v>
      </c>
      <c r="H289">
        <v>146.30000000000001</v>
      </c>
      <c r="I289">
        <v>1024.0999999999999</v>
      </c>
      <c r="J289" t="s">
        <v>102</v>
      </c>
      <c r="K289" t="s">
        <v>55</v>
      </c>
      <c r="L289" t="s">
        <v>427</v>
      </c>
    </row>
    <row r="290" spans="1:12" x14ac:dyDescent="0.25">
      <c r="A290" t="s">
        <v>941</v>
      </c>
      <c r="B290" t="s">
        <v>686</v>
      </c>
      <c r="C290" s="3">
        <v>45538</v>
      </c>
      <c r="D290" t="s">
        <v>29</v>
      </c>
      <c r="E290" t="s">
        <v>46</v>
      </c>
      <c r="F290">
        <v>4</v>
      </c>
      <c r="G290" t="str">
        <f t="shared" si="15"/>
        <v>Regular Order</v>
      </c>
      <c r="H290">
        <v>962.98</v>
      </c>
      <c r="I290">
        <v>3851.92</v>
      </c>
      <c r="J290" t="s">
        <v>102</v>
      </c>
      <c r="K290" t="s">
        <v>24</v>
      </c>
      <c r="L290" t="s">
        <v>688</v>
      </c>
    </row>
    <row r="291" spans="1:12" x14ac:dyDescent="0.25">
      <c r="A291" t="s">
        <v>943</v>
      </c>
      <c r="B291" t="s">
        <v>944</v>
      </c>
      <c r="C291" s="3">
        <v>45251</v>
      </c>
      <c r="D291" t="s">
        <v>78</v>
      </c>
      <c r="E291" t="s">
        <v>46</v>
      </c>
      <c r="F291">
        <v>999</v>
      </c>
      <c r="G291" t="str">
        <f t="shared" si="15"/>
        <v>Bulk Order</v>
      </c>
      <c r="H291">
        <v>82.45</v>
      </c>
      <c r="I291">
        <v>82367.55</v>
      </c>
      <c r="J291" t="s">
        <v>35</v>
      </c>
      <c r="K291" t="s">
        <v>17</v>
      </c>
      <c r="L291" t="s">
        <v>947</v>
      </c>
    </row>
    <row r="292" spans="1:12" x14ac:dyDescent="0.25">
      <c r="A292" t="s">
        <v>948</v>
      </c>
      <c r="B292" t="s">
        <v>188</v>
      </c>
      <c r="C292" s="3">
        <v>45497</v>
      </c>
      <c r="D292" t="s">
        <v>41</v>
      </c>
      <c r="E292" t="s">
        <v>15</v>
      </c>
      <c r="F292">
        <v>8</v>
      </c>
      <c r="G292" t="str">
        <f t="shared" si="15"/>
        <v>Regular Order</v>
      </c>
      <c r="H292">
        <v>73.59</v>
      </c>
      <c r="I292">
        <v>588.72</v>
      </c>
      <c r="J292" t="s">
        <v>16</v>
      </c>
      <c r="K292" t="s">
        <v>55</v>
      </c>
      <c r="L292" t="s">
        <v>191</v>
      </c>
    </row>
    <row r="293" spans="1:12" x14ac:dyDescent="0.25">
      <c r="A293" t="s">
        <v>950</v>
      </c>
      <c r="B293" t="s">
        <v>486</v>
      </c>
      <c r="C293" s="3">
        <v>45522</v>
      </c>
      <c r="D293" t="s">
        <v>147</v>
      </c>
      <c r="E293" t="s">
        <v>46</v>
      </c>
      <c r="F293">
        <v>6</v>
      </c>
      <c r="G293" t="str">
        <f t="shared" si="15"/>
        <v>Regular Order</v>
      </c>
      <c r="H293">
        <v>302.77999999999997</v>
      </c>
      <c r="I293">
        <v>1816.68</v>
      </c>
      <c r="J293" t="s">
        <v>16</v>
      </c>
      <c r="K293" t="s">
        <v>51</v>
      </c>
      <c r="L293" t="s">
        <v>488</v>
      </c>
    </row>
    <row r="294" spans="1:12" x14ac:dyDescent="0.25">
      <c r="A294" t="s">
        <v>951</v>
      </c>
      <c r="B294" t="s">
        <v>315</v>
      </c>
      <c r="C294" s="3">
        <v>45555</v>
      </c>
      <c r="D294" t="s">
        <v>147</v>
      </c>
      <c r="E294" t="s">
        <v>46</v>
      </c>
      <c r="F294">
        <v>2</v>
      </c>
      <c r="G294" t="str">
        <f t="shared" si="15"/>
        <v>Regular Order</v>
      </c>
      <c r="H294">
        <v>275.48</v>
      </c>
      <c r="I294">
        <v>550.96</v>
      </c>
      <c r="J294" t="s">
        <v>35</v>
      </c>
      <c r="K294" t="s">
        <v>24</v>
      </c>
      <c r="L294" t="s">
        <v>317</v>
      </c>
    </row>
    <row r="295" spans="1:12" x14ac:dyDescent="0.25">
      <c r="A295" t="s">
        <v>953</v>
      </c>
      <c r="B295" t="s">
        <v>256</v>
      </c>
      <c r="C295" s="3">
        <v>45605</v>
      </c>
      <c r="D295" t="s">
        <v>1396</v>
      </c>
      <c r="E295" t="s">
        <v>185</v>
      </c>
      <c r="F295">
        <v>6</v>
      </c>
      <c r="G295" t="str">
        <f t="shared" si="15"/>
        <v>Regular Order</v>
      </c>
      <c r="H295">
        <v>52.97</v>
      </c>
      <c r="I295">
        <v>317.82</v>
      </c>
      <c r="J295" t="s">
        <v>35</v>
      </c>
      <c r="K295" t="s">
        <v>24</v>
      </c>
      <c r="L295" t="s">
        <v>258</v>
      </c>
    </row>
    <row r="296" spans="1:12" x14ac:dyDescent="0.25">
      <c r="A296" t="s">
        <v>955</v>
      </c>
      <c r="B296" t="s">
        <v>694</v>
      </c>
      <c r="C296" s="3">
        <v>44963</v>
      </c>
      <c r="D296" t="s">
        <v>29</v>
      </c>
      <c r="E296" t="s">
        <v>46</v>
      </c>
      <c r="F296">
        <v>9</v>
      </c>
      <c r="G296" t="str">
        <f t="shared" si="15"/>
        <v>Regular Order</v>
      </c>
      <c r="H296">
        <v>951.09</v>
      </c>
      <c r="I296">
        <v>8559.81</v>
      </c>
      <c r="J296" t="s">
        <v>102</v>
      </c>
      <c r="K296" t="s">
        <v>51</v>
      </c>
      <c r="L296" t="s">
        <v>696</v>
      </c>
    </row>
    <row r="297" spans="1:12" x14ac:dyDescent="0.25">
      <c r="A297" t="s">
        <v>957</v>
      </c>
      <c r="B297" t="s">
        <v>596</v>
      </c>
      <c r="C297" s="3">
        <v>45015</v>
      </c>
      <c r="D297" t="s">
        <v>147</v>
      </c>
      <c r="E297" t="s">
        <v>46</v>
      </c>
      <c r="F297">
        <v>3</v>
      </c>
      <c r="G297" t="str">
        <f t="shared" si="15"/>
        <v>Regular Order</v>
      </c>
      <c r="H297">
        <v>291.48</v>
      </c>
      <c r="I297">
        <v>874.44</v>
      </c>
      <c r="J297" t="s">
        <v>30</v>
      </c>
      <c r="K297" t="s">
        <v>69</v>
      </c>
      <c r="L297" t="s">
        <v>597</v>
      </c>
    </row>
    <row r="298" spans="1:12" x14ac:dyDescent="0.25">
      <c r="A298" t="s">
        <v>959</v>
      </c>
      <c r="B298" t="s">
        <v>690</v>
      </c>
      <c r="C298" s="3">
        <v>45143</v>
      </c>
      <c r="D298" t="s">
        <v>1396</v>
      </c>
      <c r="E298" t="s">
        <v>185</v>
      </c>
      <c r="F298">
        <v>1</v>
      </c>
      <c r="G298" t="str">
        <f t="shared" si="15"/>
        <v>Regular Order</v>
      </c>
      <c r="H298">
        <v>51.13</v>
      </c>
      <c r="I298">
        <v>51.13</v>
      </c>
      <c r="J298" t="s">
        <v>30</v>
      </c>
      <c r="K298" t="s">
        <v>69</v>
      </c>
      <c r="L298" t="s">
        <v>692</v>
      </c>
    </row>
    <row r="299" spans="1:12" x14ac:dyDescent="0.25">
      <c r="A299" t="s">
        <v>961</v>
      </c>
      <c r="B299" t="s">
        <v>414</v>
      </c>
      <c r="C299" s="3">
        <v>45308</v>
      </c>
      <c r="D299" t="s">
        <v>147</v>
      </c>
      <c r="E299" t="s">
        <v>46</v>
      </c>
      <c r="F299">
        <v>8</v>
      </c>
      <c r="G299" t="str">
        <f t="shared" si="15"/>
        <v>Regular Order</v>
      </c>
      <c r="H299">
        <v>322.27</v>
      </c>
      <c r="I299">
        <v>2578.16</v>
      </c>
      <c r="J299" t="s">
        <v>102</v>
      </c>
      <c r="K299" t="s">
        <v>55</v>
      </c>
      <c r="L299" t="s">
        <v>416</v>
      </c>
    </row>
    <row r="300" spans="1:12" x14ac:dyDescent="0.25">
      <c r="A300" t="s">
        <v>963</v>
      </c>
      <c r="B300" t="s">
        <v>529</v>
      </c>
      <c r="C300" s="3">
        <v>44976</v>
      </c>
      <c r="D300" t="s">
        <v>78</v>
      </c>
      <c r="E300" t="s">
        <v>46</v>
      </c>
      <c r="F300">
        <v>6</v>
      </c>
      <c r="G300" t="str">
        <f t="shared" si="15"/>
        <v>Regular Order</v>
      </c>
      <c r="H300">
        <v>90.76</v>
      </c>
      <c r="I300">
        <f>F300*H300</f>
        <v>544.56000000000006</v>
      </c>
      <c r="J300" t="s">
        <v>16</v>
      </c>
      <c r="K300" t="s">
        <v>17</v>
      </c>
      <c r="L300" t="s">
        <v>530</v>
      </c>
    </row>
    <row r="301" spans="1:12" x14ac:dyDescent="0.25">
      <c r="A301" t="s">
        <v>965</v>
      </c>
      <c r="B301" t="s">
        <v>323</v>
      </c>
      <c r="C301" s="3">
        <v>45255</v>
      </c>
      <c r="D301" t="s">
        <v>22</v>
      </c>
      <c r="E301" t="s">
        <v>23</v>
      </c>
      <c r="F301">
        <v>4</v>
      </c>
      <c r="G301" t="str">
        <f t="shared" si="15"/>
        <v>Regular Order</v>
      </c>
      <c r="H301">
        <v>155.01</v>
      </c>
      <c r="I301">
        <v>620.04</v>
      </c>
      <c r="J301" t="s">
        <v>16</v>
      </c>
      <c r="K301" t="s">
        <v>55</v>
      </c>
      <c r="L301" t="s">
        <v>325</v>
      </c>
    </row>
    <row r="302" spans="1:12" x14ac:dyDescent="0.25">
      <c r="A302" t="s">
        <v>967</v>
      </c>
      <c r="B302" t="s">
        <v>968</v>
      </c>
      <c r="C302" s="3">
        <v>45540</v>
      </c>
      <c r="D302" t="s">
        <v>1396</v>
      </c>
      <c r="E302" t="s">
        <v>185</v>
      </c>
      <c r="F302">
        <v>4</v>
      </c>
      <c r="G302" t="str">
        <f t="shared" si="15"/>
        <v>Regular Order</v>
      </c>
      <c r="H302">
        <v>48.57</v>
      </c>
      <c r="I302">
        <v>194.28</v>
      </c>
      <c r="J302" t="s">
        <v>30</v>
      </c>
      <c r="K302" t="s">
        <v>51</v>
      </c>
      <c r="L302" t="s">
        <v>970</v>
      </c>
    </row>
    <row r="303" spans="1:12" x14ac:dyDescent="0.25">
      <c r="A303" t="s">
        <v>971</v>
      </c>
      <c r="B303" t="s">
        <v>904</v>
      </c>
      <c r="C303" s="3">
        <v>45495</v>
      </c>
      <c r="D303" t="s">
        <v>78</v>
      </c>
      <c r="E303" t="s">
        <v>15</v>
      </c>
      <c r="F303">
        <v>8</v>
      </c>
      <c r="G303" t="str">
        <f t="shared" si="15"/>
        <v>Regular Order</v>
      </c>
      <c r="H303">
        <v>83.57</v>
      </c>
      <c r="I303">
        <v>668.56</v>
      </c>
      <c r="J303" t="s">
        <v>30</v>
      </c>
      <c r="K303" t="s">
        <v>24</v>
      </c>
      <c r="L303" t="s">
        <v>906</v>
      </c>
    </row>
    <row r="304" spans="1:12" x14ac:dyDescent="0.25">
      <c r="A304" t="s">
        <v>973</v>
      </c>
      <c r="B304" t="s">
        <v>113</v>
      </c>
      <c r="C304" s="3">
        <v>45603</v>
      </c>
      <c r="D304" t="s">
        <v>1396</v>
      </c>
      <c r="E304" t="s">
        <v>185</v>
      </c>
      <c r="F304">
        <v>8</v>
      </c>
      <c r="G304" t="str">
        <f t="shared" si="15"/>
        <v>Regular Order</v>
      </c>
      <c r="H304">
        <v>53.25</v>
      </c>
      <c r="I304">
        <v>426</v>
      </c>
      <c r="J304" t="s">
        <v>102</v>
      </c>
      <c r="K304" t="s">
        <v>17</v>
      </c>
      <c r="L304" t="s">
        <v>114</v>
      </c>
    </row>
    <row r="305" spans="1:12" x14ac:dyDescent="0.25">
      <c r="A305" t="s">
        <v>975</v>
      </c>
      <c r="B305" t="s">
        <v>411</v>
      </c>
      <c r="C305" s="3">
        <v>45501</v>
      </c>
      <c r="D305" t="s">
        <v>41</v>
      </c>
      <c r="E305" t="s">
        <v>15</v>
      </c>
      <c r="F305">
        <v>8</v>
      </c>
      <c r="G305" t="str">
        <f t="shared" si="15"/>
        <v>Regular Order</v>
      </c>
      <c r="H305">
        <v>78.849999999999994</v>
      </c>
      <c r="I305">
        <f>F305*H305</f>
        <v>630.79999999999995</v>
      </c>
      <c r="J305" t="s">
        <v>102</v>
      </c>
      <c r="K305" t="s">
        <v>55</v>
      </c>
      <c r="L305" t="s">
        <v>412</v>
      </c>
    </row>
    <row r="306" spans="1:12" x14ac:dyDescent="0.25">
      <c r="A306" t="s">
        <v>977</v>
      </c>
      <c r="B306" t="s">
        <v>72</v>
      </c>
      <c r="C306" s="3">
        <v>45464</v>
      </c>
      <c r="D306" t="s">
        <v>1396</v>
      </c>
      <c r="E306" t="s">
        <v>185</v>
      </c>
      <c r="F306">
        <v>7</v>
      </c>
      <c r="G306" t="str">
        <f t="shared" si="15"/>
        <v>Regular Order</v>
      </c>
      <c r="H306">
        <v>47.41</v>
      </c>
      <c r="I306">
        <v>331.87</v>
      </c>
      <c r="J306" t="s">
        <v>102</v>
      </c>
      <c r="K306" t="s">
        <v>55</v>
      </c>
      <c r="L306" t="s">
        <v>979</v>
      </c>
    </row>
    <row r="307" spans="1:12" x14ac:dyDescent="0.25">
      <c r="A307" t="s">
        <v>980</v>
      </c>
      <c r="B307" t="s">
        <v>774</v>
      </c>
      <c r="C307" s="3">
        <v>45626</v>
      </c>
      <c r="D307" t="s">
        <v>29</v>
      </c>
      <c r="E307" t="s">
        <v>46</v>
      </c>
      <c r="F307">
        <v>5</v>
      </c>
      <c r="G307" t="str">
        <f t="shared" si="15"/>
        <v>Regular Order</v>
      </c>
      <c r="H307">
        <v>966.05</v>
      </c>
      <c r="I307">
        <v>4830.25</v>
      </c>
      <c r="J307" t="s">
        <v>102</v>
      </c>
      <c r="K307" t="s">
        <v>69</v>
      </c>
      <c r="L307" t="s">
        <v>776</v>
      </c>
    </row>
    <row r="308" spans="1:12" x14ac:dyDescent="0.25">
      <c r="A308" t="s">
        <v>982</v>
      </c>
      <c r="B308" t="s">
        <v>983</v>
      </c>
      <c r="C308" s="3">
        <v>45330</v>
      </c>
      <c r="D308" t="s">
        <v>22</v>
      </c>
      <c r="E308" t="s">
        <v>23</v>
      </c>
      <c r="F308">
        <v>2</v>
      </c>
      <c r="G308" t="str">
        <f t="shared" si="15"/>
        <v>Regular Order</v>
      </c>
      <c r="H308">
        <v>162.54</v>
      </c>
      <c r="I308">
        <f>F308*H308</f>
        <v>325.08</v>
      </c>
      <c r="J308" t="s">
        <v>102</v>
      </c>
      <c r="K308" t="s">
        <v>69</v>
      </c>
      <c r="L308" t="s">
        <v>985</v>
      </c>
    </row>
    <row r="309" spans="1:12" x14ac:dyDescent="0.25">
      <c r="A309" t="s">
        <v>986</v>
      </c>
      <c r="B309" t="s">
        <v>782</v>
      </c>
      <c r="D309" t="s">
        <v>87</v>
      </c>
      <c r="E309" t="s">
        <v>15</v>
      </c>
      <c r="F309">
        <v>7</v>
      </c>
      <c r="G309" t="str">
        <f t="shared" si="15"/>
        <v>Regular Order</v>
      </c>
      <c r="H309">
        <v>50.45</v>
      </c>
      <c r="I309">
        <v>353.15</v>
      </c>
      <c r="J309" t="s">
        <v>102</v>
      </c>
      <c r="K309" t="s">
        <v>51</v>
      </c>
      <c r="L309" t="s">
        <v>784</v>
      </c>
    </row>
    <row r="310" spans="1:12" x14ac:dyDescent="0.25">
      <c r="A310" t="s">
        <v>987</v>
      </c>
      <c r="B310" t="s">
        <v>988</v>
      </c>
      <c r="C310" s="3">
        <v>44942</v>
      </c>
      <c r="D310" t="s">
        <v>78</v>
      </c>
      <c r="E310" t="s">
        <v>46</v>
      </c>
      <c r="F310">
        <v>5</v>
      </c>
      <c r="G310" t="str">
        <f t="shared" si="15"/>
        <v>Regular Order</v>
      </c>
      <c r="H310">
        <v>95.8</v>
      </c>
      <c r="I310">
        <v>479</v>
      </c>
      <c r="J310" t="s">
        <v>35</v>
      </c>
      <c r="K310" t="s">
        <v>51</v>
      </c>
      <c r="L310" t="s">
        <v>989</v>
      </c>
    </row>
    <row r="311" spans="1:12" x14ac:dyDescent="0.25">
      <c r="A311" t="s">
        <v>990</v>
      </c>
      <c r="B311" t="s">
        <v>991</v>
      </c>
      <c r="C311" s="3">
        <v>45525</v>
      </c>
      <c r="D311" t="s">
        <v>101</v>
      </c>
      <c r="E311" t="s">
        <v>15</v>
      </c>
      <c r="F311">
        <v>2</v>
      </c>
      <c r="G311" t="str">
        <f t="shared" si="15"/>
        <v>Regular Order</v>
      </c>
      <c r="H311">
        <v>24.88</v>
      </c>
      <c r="I311">
        <v>49.76</v>
      </c>
      <c r="J311" t="s">
        <v>35</v>
      </c>
      <c r="K311" t="s">
        <v>24</v>
      </c>
      <c r="L311" t="s">
        <v>993</v>
      </c>
    </row>
    <row r="312" spans="1:12" x14ac:dyDescent="0.25">
      <c r="A312" t="s">
        <v>994</v>
      </c>
      <c r="B312" t="s">
        <v>95</v>
      </c>
      <c r="C312" s="3">
        <v>45127</v>
      </c>
      <c r="D312" t="s">
        <v>78</v>
      </c>
      <c r="E312" t="s">
        <v>46</v>
      </c>
      <c r="F312">
        <v>1</v>
      </c>
      <c r="G312" t="str">
        <f t="shared" si="15"/>
        <v>Regular Order</v>
      </c>
      <c r="H312">
        <v>92.67</v>
      </c>
      <c r="I312">
        <v>92.67</v>
      </c>
      <c r="J312" t="s">
        <v>102</v>
      </c>
      <c r="K312" t="s">
        <v>17</v>
      </c>
      <c r="L312" t="s">
        <v>97</v>
      </c>
    </row>
    <row r="313" spans="1:12" x14ac:dyDescent="0.25">
      <c r="A313" t="s">
        <v>995</v>
      </c>
      <c r="B313" t="s">
        <v>912</v>
      </c>
      <c r="C313" s="3">
        <v>45557</v>
      </c>
      <c r="D313" t="s">
        <v>1396</v>
      </c>
      <c r="E313" t="s">
        <v>185</v>
      </c>
      <c r="F313">
        <v>8</v>
      </c>
      <c r="G313" t="str">
        <f t="shared" si="15"/>
        <v>Regular Order</v>
      </c>
      <c r="H313">
        <v>45.3</v>
      </c>
      <c r="I313">
        <f t="shared" ref="I313:I314" si="18">F313*H313</f>
        <v>362.4</v>
      </c>
      <c r="J313" t="s">
        <v>102</v>
      </c>
      <c r="K313" t="s">
        <v>69</v>
      </c>
      <c r="L313" t="s">
        <v>914</v>
      </c>
    </row>
    <row r="314" spans="1:12" x14ac:dyDescent="0.25">
      <c r="A314" t="s">
        <v>997</v>
      </c>
      <c r="B314" t="s">
        <v>765</v>
      </c>
      <c r="C314" s="3">
        <v>45114</v>
      </c>
      <c r="D314" t="s">
        <v>78</v>
      </c>
      <c r="E314" t="s">
        <v>46</v>
      </c>
      <c r="F314">
        <v>9</v>
      </c>
      <c r="G314" t="str">
        <f t="shared" si="15"/>
        <v>Regular Order</v>
      </c>
      <c r="H314">
        <v>89.44</v>
      </c>
      <c r="I314">
        <f t="shared" si="18"/>
        <v>804.96</v>
      </c>
      <c r="J314" t="s">
        <v>35</v>
      </c>
      <c r="K314" t="s">
        <v>24</v>
      </c>
      <c r="L314" t="s">
        <v>766</v>
      </c>
    </row>
    <row r="315" spans="1:12" x14ac:dyDescent="0.25">
      <c r="A315" t="s">
        <v>998</v>
      </c>
      <c r="B315" t="s">
        <v>382</v>
      </c>
      <c r="C315" s="3">
        <v>45368</v>
      </c>
      <c r="D315" t="s">
        <v>29</v>
      </c>
      <c r="E315" t="s">
        <v>46</v>
      </c>
      <c r="F315">
        <v>1</v>
      </c>
      <c r="G315" t="str">
        <f t="shared" si="15"/>
        <v>Regular Order</v>
      </c>
      <c r="H315">
        <v>857.74</v>
      </c>
      <c r="I315">
        <v>857.74</v>
      </c>
      <c r="J315" t="s">
        <v>16</v>
      </c>
      <c r="K315" t="s">
        <v>69</v>
      </c>
    </row>
    <row r="316" spans="1:12" x14ac:dyDescent="0.25">
      <c r="A316" t="s">
        <v>1000</v>
      </c>
      <c r="B316" t="s">
        <v>386</v>
      </c>
      <c r="C316" s="3">
        <v>45048</v>
      </c>
      <c r="D316" t="s">
        <v>29</v>
      </c>
      <c r="E316" t="s">
        <v>46</v>
      </c>
      <c r="F316">
        <v>3</v>
      </c>
      <c r="G316" t="str">
        <f t="shared" si="15"/>
        <v>Regular Order</v>
      </c>
      <c r="H316">
        <v>45.44</v>
      </c>
      <c r="I316">
        <v>136.32</v>
      </c>
      <c r="J316" t="s">
        <v>16</v>
      </c>
      <c r="K316" t="s">
        <v>24</v>
      </c>
      <c r="L316" t="s">
        <v>389</v>
      </c>
    </row>
    <row r="317" spans="1:12" x14ac:dyDescent="0.25">
      <c r="A317" t="s">
        <v>1001</v>
      </c>
      <c r="B317" t="s">
        <v>647</v>
      </c>
      <c r="C317" s="3">
        <v>44949</v>
      </c>
      <c r="D317" t="s">
        <v>22</v>
      </c>
      <c r="E317" t="s">
        <v>23</v>
      </c>
      <c r="F317">
        <v>3</v>
      </c>
      <c r="G317" t="str">
        <f t="shared" si="15"/>
        <v>Regular Order</v>
      </c>
      <c r="H317">
        <v>149.94999999999999</v>
      </c>
      <c r="I317">
        <v>449.85</v>
      </c>
      <c r="J317" t="s">
        <v>30</v>
      </c>
      <c r="K317" t="s">
        <v>17</v>
      </c>
      <c r="L317" t="s">
        <v>649</v>
      </c>
    </row>
    <row r="318" spans="1:12" x14ac:dyDescent="0.25">
      <c r="A318" t="s">
        <v>1003</v>
      </c>
      <c r="B318" t="s">
        <v>755</v>
      </c>
      <c r="C318" s="3">
        <v>45070</v>
      </c>
      <c r="D318" t="s">
        <v>147</v>
      </c>
      <c r="E318" t="s">
        <v>46</v>
      </c>
      <c r="F318">
        <v>9</v>
      </c>
      <c r="G318" t="str">
        <f t="shared" si="15"/>
        <v>Regular Order</v>
      </c>
      <c r="H318">
        <f>IF(H311&lt;=0, AVERAGEIF($D:$D,D311,$H:$H),H311)</f>
        <v>24.88</v>
      </c>
      <c r="I318">
        <f t="shared" ref="I318:I319" si="19">F318*H318</f>
        <v>223.92</v>
      </c>
      <c r="J318" t="s">
        <v>35</v>
      </c>
      <c r="K318" t="s">
        <v>51</v>
      </c>
      <c r="L318" t="s">
        <v>757</v>
      </c>
    </row>
    <row r="319" spans="1:12" x14ac:dyDescent="0.25">
      <c r="A319" t="s">
        <v>1005</v>
      </c>
      <c r="B319" t="s">
        <v>158</v>
      </c>
      <c r="C319" s="3">
        <v>45403</v>
      </c>
      <c r="D319" t="s">
        <v>78</v>
      </c>
      <c r="E319" t="s">
        <v>46</v>
      </c>
      <c r="F319">
        <v>6</v>
      </c>
      <c r="G319" t="str">
        <f t="shared" si="15"/>
        <v>Regular Order</v>
      </c>
      <c r="H319">
        <v>95.15</v>
      </c>
      <c r="I319">
        <f t="shared" si="19"/>
        <v>570.90000000000009</v>
      </c>
      <c r="J319" t="s">
        <v>30</v>
      </c>
      <c r="K319" t="s">
        <v>69</v>
      </c>
      <c r="L319" t="s">
        <v>160</v>
      </c>
    </row>
    <row r="320" spans="1:12" x14ac:dyDescent="0.25">
      <c r="A320" t="s">
        <v>1007</v>
      </c>
      <c r="B320" t="s">
        <v>988</v>
      </c>
      <c r="C320" s="3">
        <v>45620</v>
      </c>
      <c r="D320" t="s">
        <v>78</v>
      </c>
      <c r="E320" t="s">
        <v>46</v>
      </c>
      <c r="F320">
        <v>999</v>
      </c>
      <c r="G320" t="str">
        <f t="shared" si="15"/>
        <v>Bulk Order</v>
      </c>
      <c r="H320">
        <v>81.09</v>
      </c>
      <c r="I320">
        <v>81008.91</v>
      </c>
      <c r="J320" t="s">
        <v>35</v>
      </c>
      <c r="K320" t="s">
        <v>24</v>
      </c>
      <c r="L320" t="s">
        <v>989</v>
      </c>
    </row>
    <row r="321" spans="1:12" x14ac:dyDescent="0.25">
      <c r="A321" t="s">
        <v>1008</v>
      </c>
      <c r="B321" t="s">
        <v>755</v>
      </c>
      <c r="C321" s="3">
        <v>44973</v>
      </c>
      <c r="D321" t="s">
        <v>87</v>
      </c>
      <c r="E321" t="s">
        <v>15</v>
      </c>
      <c r="F321">
        <v>8</v>
      </c>
      <c r="G321" t="str">
        <f t="shared" si="15"/>
        <v>Regular Order</v>
      </c>
      <c r="H321">
        <v>53.61</v>
      </c>
      <c r="I321">
        <v>428.88</v>
      </c>
      <c r="J321" t="s">
        <v>16</v>
      </c>
      <c r="K321" t="s">
        <v>17</v>
      </c>
      <c r="L321" t="s">
        <v>757</v>
      </c>
    </row>
    <row r="322" spans="1:12" x14ac:dyDescent="0.25">
      <c r="A322" t="s">
        <v>1010</v>
      </c>
      <c r="B322" t="s">
        <v>319</v>
      </c>
      <c r="C322" s="3">
        <v>45312</v>
      </c>
      <c r="D322" t="s">
        <v>1396</v>
      </c>
      <c r="E322" t="s">
        <v>185</v>
      </c>
      <c r="F322">
        <v>2</v>
      </c>
      <c r="G322" t="str">
        <f t="shared" si="15"/>
        <v>Regular Order</v>
      </c>
      <c r="J322" t="s">
        <v>16</v>
      </c>
      <c r="K322" t="s">
        <v>24</v>
      </c>
      <c r="L322" t="s">
        <v>321</v>
      </c>
    </row>
    <row r="323" spans="1:12" x14ac:dyDescent="0.25">
      <c r="A323" t="s">
        <v>1012</v>
      </c>
      <c r="B323" t="s">
        <v>1013</v>
      </c>
      <c r="C323" s="3">
        <v>45203</v>
      </c>
      <c r="D323" t="s">
        <v>78</v>
      </c>
      <c r="E323" t="s">
        <v>46</v>
      </c>
      <c r="F323">
        <v>5</v>
      </c>
      <c r="G323" t="str">
        <f t="shared" ref="G323:G386" si="20">IF(F323&gt; 100, "Bulk Order", "Regular Order")</f>
        <v>Regular Order</v>
      </c>
      <c r="H323">
        <v>93.08</v>
      </c>
      <c r="I323">
        <v>465.4</v>
      </c>
      <c r="J323" t="s">
        <v>102</v>
      </c>
      <c r="K323" t="s">
        <v>24</v>
      </c>
      <c r="L323" t="s">
        <v>1015</v>
      </c>
    </row>
    <row r="324" spans="1:12" x14ac:dyDescent="0.25">
      <c r="A324" t="s">
        <v>1016</v>
      </c>
      <c r="B324" t="s">
        <v>72</v>
      </c>
      <c r="C324" s="3">
        <v>45049</v>
      </c>
      <c r="D324" t="s">
        <v>22</v>
      </c>
      <c r="E324" t="s">
        <v>23</v>
      </c>
      <c r="F324">
        <v>2</v>
      </c>
      <c r="G324" t="str">
        <f t="shared" si="20"/>
        <v>Regular Order</v>
      </c>
      <c r="H324">
        <v>151.24</v>
      </c>
      <c r="I324">
        <f t="shared" ref="I324:I325" si="21">F324*H324</f>
        <v>302.48</v>
      </c>
      <c r="J324" t="s">
        <v>30</v>
      </c>
      <c r="K324" t="s">
        <v>69</v>
      </c>
      <c r="L324" t="s">
        <v>74</v>
      </c>
    </row>
    <row r="325" spans="1:12" x14ac:dyDescent="0.25">
      <c r="A325" t="s">
        <v>1018</v>
      </c>
      <c r="B325" t="s">
        <v>1019</v>
      </c>
      <c r="C325" s="3">
        <v>45317</v>
      </c>
      <c r="D325" t="s">
        <v>22</v>
      </c>
      <c r="E325" t="s">
        <v>23</v>
      </c>
      <c r="F325">
        <v>9</v>
      </c>
      <c r="G325" t="str">
        <f t="shared" si="20"/>
        <v>Regular Order</v>
      </c>
      <c r="H325">
        <v>151.57</v>
      </c>
      <c r="I325">
        <f t="shared" si="21"/>
        <v>1364.1299999999999</v>
      </c>
      <c r="J325" t="s">
        <v>30</v>
      </c>
      <c r="K325" t="s">
        <v>55</v>
      </c>
      <c r="L325" t="s">
        <v>1021</v>
      </c>
    </row>
    <row r="326" spans="1:12" x14ac:dyDescent="0.25">
      <c r="A326" t="s">
        <v>1022</v>
      </c>
      <c r="B326" t="s">
        <v>33</v>
      </c>
      <c r="C326" s="3">
        <v>45012</v>
      </c>
      <c r="D326" t="s">
        <v>41</v>
      </c>
      <c r="E326" t="s">
        <v>15</v>
      </c>
      <c r="F326">
        <v>5</v>
      </c>
      <c r="G326" t="str">
        <f t="shared" si="20"/>
        <v>Regular Order</v>
      </c>
      <c r="H326">
        <v>77.010000000000005</v>
      </c>
      <c r="I326">
        <v>385.05</v>
      </c>
      <c r="J326" t="s">
        <v>30</v>
      </c>
      <c r="K326" t="s">
        <v>69</v>
      </c>
      <c r="L326" t="s">
        <v>37</v>
      </c>
    </row>
    <row r="327" spans="1:12" x14ac:dyDescent="0.25">
      <c r="A327" t="s">
        <v>1024</v>
      </c>
      <c r="B327" t="s">
        <v>171</v>
      </c>
      <c r="C327" s="3">
        <v>45517</v>
      </c>
      <c r="D327" t="s">
        <v>41</v>
      </c>
      <c r="E327" t="s">
        <v>15</v>
      </c>
      <c r="F327">
        <v>2</v>
      </c>
      <c r="G327" t="str">
        <f t="shared" si="20"/>
        <v>Regular Order</v>
      </c>
      <c r="H327">
        <v>80.319999999999993</v>
      </c>
      <c r="I327">
        <v>160.63999999999999</v>
      </c>
      <c r="J327" t="s">
        <v>35</v>
      </c>
      <c r="K327" t="s">
        <v>17</v>
      </c>
      <c r="L327" t="s">
        <v>1026</v>
      </c>
    </row>
    <row r="328" spans="1:12" x14ac:dyDescent="0.25">
      <c r="A328" t="s">
        <v>1027</v>
      </c>
      <c r="B328" t="s">
        <v>840</v>
      </c>
      <c r="C328" s="3">
        <v>45106</v>
      </c>
      <c r="D328" t="s">
        <v>29</v>
      </c>
      <c r="E328" t="s">
        <v>46</v>
      </c>
      <c r="F328">
        <v>6</v>
      </c>
      <c r="G328" t="str">
        <f t="shared" si="20"/>
        <v>Regular Order</v>
      </c>
      <c r="H328">
        <v>931.52</v>
      </c>
      <c r="I328">
        <v>5589.12</v>
      </c>
      <c r="J328" t="s">
        <v>16</v>
      </c>
      <c r="K328" t="s">
        <v>17</v>
      </c>
      <c r="L328" t="s">
        <v>842</v>
      </c>
    </row>
    <row r="329" spans="1:12" x14ac:dyDescent="0.25">
      <c r="A329" t="s">
        <v>1028</v>
      </c>
      <c r="B329" t="s">
        <v>1029</v>
      </c>
      <c r="C329" s="3">
        <v>45400</v>
      </c>
      <c r="D329" t="s">
        <v>41</v>
      </c>
      <c r="E329" t="s">
        <v>15</v>
      </c>
      <c r="F329">
        <v>1</v>
      </c>
      <c r="G329" t="str">
        <f t="shared" si="20"/>
        <v>Regular Order</v>
      </c>
      <c r="H329">
        <v>73.39</v>
      </c>
      <c r="I329">
        <f t="shared" ref="I329:I331" si="22">F329*H329</f>
        <v>73.39</v>
      </c>
      <c r="J329" t="s">
        <v>16</v>
      </c>
      <c r="K329" t="s">
        <v>69</v>
      </c>
      <c r="L329" t="s">
        <v>1031</v>
      </c>
    </row>
    <row r="330" spans="1:12" x14ac:dyDescent="0.25">
      <c r="A330" t="s">
        <v>1032</v>
      </c>
      <c r="B330" t="s">
        <v>1399</v>
      </c>
      <c r="C330" s="3">
        <v>45081</v>
      </c>
      <c r="D330" t="s">
        <v>101</v>
      </c>
      <c r="E330" t="s">
        <v>15</v>
      </c>
      <c r="F330">
        <v>9</v>
      </c>
      <c r="G330" t="str">
        <f t="shared" si="20"/>
        <v>Regular Order</v>
      </c>
      <c r="H330">
        <f t="shared" ref="H330:H331" si="23">IF(H323&lt;=0, AVERAGEIF($D:$D,D323,$H:$H),H323)</f>
        <v>93.08</v>
      </c>
      <c r="I330">
        <f t="shared" si="22"/>
        <v>837.72</v>
      </c>
      <c r="J330" t="s">
        <v>30</v>
      </c>
      <c r="K330" t="s">
        <v>55</v>
      </c>
    </row>
    <row r="331" spans="1:12" x14ac:dyDescent="0.25">
      <c r="A331" t="s">
        <v>1034</v>
      </c>
      <c r="B331" t="s">
        <v>99</v>
      </c>
      <c r="C331" s="3">
        <v>45272</v>
      </c>
      <c r="D331" t="s">
        <v>78</v>
      </c>
      <c r="E331" t="s">
        <v>46</v>
      </c>
      <c r="F331">
        <v>4</v>
      </c>
      <c r="G331" t="str">
        <f t="shared" si="20"/>
        <v>Regular Order</v>
      </c>
      <c r="H331">
        <f t="shared" si="23"/>
        <v>151.24</v>
      </c>
      <c r="I331">
        <f t="shared" si="22"/>
        <v>604.96</v>
      </c>
      <c r="J331" t="s">
        <v>35</v>
      </c>
      <c r="K331" t="s">
        <v>51</v>
      </c>
      <c r="L331" t="s">
        <v>103</v>
      </c>
    </row>
    <row r="332" spans="1:12" x14ac:dyDescent="0.25">
      <c r="A332" t="s">
        <v>1036</v>
      </c>
      <c r="B332" t="s">
        <v>1399</v>
      </c>
      <c r="C332" s="3">
        <v>45047</v>
      </c>
      <c r="D332" t="s">
        <v>78</v>
      </c>
      <c r="E332" t="s">
        <v>46</v>
      </c>
      <c r="F332">
        <v>8</v>
      </c>
      <c r="G332" t="str">
        <f t="shared" si="20"/>
        <v>Regular Order</v>
      </c>
      <c r="H332">
        <v>89.32</v>
      </c>
      <c r="I332">
        <v>714.56</v>
      </c>
      <c r="J332" t="s">
        <v>16</v>
      </c>
      <c r="K332" t="s">
        <v>17</v>
      </c>
    </row>
    <row r="333" spans="1:12" x14ac:dyDescent="0.25">
      <c r="A333" t="s">
        <v>1037</v>
      </c>
      <c r="B333" t="s">
        <v>607</v>
      </c>
      <c r="C333" s="3">
        <v>45284</v>
      </c>
      <c r="D333" t="s">
        <v>101</v>
      </c>
      <c r="E333" t="s">
        <v>15</v>
      </c>
      <c r="F333">
        <v>1</v>
      </c>
      <c r="G333" t="str">
        <f t="shared" si="20"/>
        <v>Regular Order</v>
      </c>
      <c r="H333">
        <v>26.41</v>
      </c>
      <c r="I333">
        <v>26.41</v>
      </c>
      <c r="J333" t="s">
        <v>30</v>
      </c>
      <c r="K333" t="s">
        <v>55</v>
      </c>
      <c r="L333" t="s">
        <v>851</v>
      </c>
    </row>
    <row r="334" spans="1:12" x14ac:dyDescent="0.25">
      <c r="A334" t="s">
        <v>1039</v>
      </c>
      <c r="B334" t="s">
        <v>290</v>
      </c>
      <c r="C334" s="3">
        <v>45466</v>
      </c>
      <c r="D334" t="s">
        <v>29</v>
      </c>
      <c r="E334" t="s">
        <v>46</v>
      </c>
      <c r="F334">
        <v>8</v>
      </c>
      <c r="G334" t="str">
        <f t="shared" si="20"/>
        <v>Regular Order</v>
      </c>
      <c r="H334">
        <v>911.4</v>
      </c>
      <c r="I334">
        <v>7291.2</v>
      </c>
      <c r="J334" t="s">
        <v>35</v>
      </c>
      <c r="K334" t="s">
        <v>17</v>
      </c>
      <c r="L334" t="s">
        <v>292</v>
      </c>
    </row>
    <row r="335" spans="1:12" x14ac:dyDescent="0.25">
      <c r="A335" t="s">
        <v>1040</v>
      </c>
      <c r="B335" t="s">
        <v>95</v>
      </c>
      <c r="C335" s="3">
        <v>45608</v>
      </c>
      <c r="D335" t="s">
        <v>147</v>
      </c>
      <c r="E335" t="s">
        <v>46</v>
      </c>
      <c r="F335">
        <v>2</v>
      </c>
      <c r="G335" t="str">
        <f t="shared" si="20"/>
        <v>Regular Order</v>
      </c>
      <c r="H335">
        <v>272.23</v>
      </c>
      <c r="I335">
        <f>F335*H335</f>
        <v>544.46</v>
      </c>
      <c r="J335" t="s">
        <v>102</v>
      </c>
      <c r="K335" t="s">
        <v>51</v>
      </c>
      <c r="L335" t="s">
        <v>97</v>
      </c>
    </row>
    <row r="336" spans="1:12" x14ac:dyDescent="0.25">
      <c r="A336" t="s">
        <v>1041</v>
      </c>
      <c r="B336" t="s">
        <v>588</v>
      </c>
      <c r="C336" s="3">
        <v>45128</v>
      </c>
      <c r="D336" t="s">
        <v>87</v>
      </c>
      <c r="E336" t="s">
        <v>15</v>
      </c>
      <c r="F336">
        <v>4</v>
      </c>
      <c r="G336" t="str">
        <f t="shared" si="20"/>
        <v>Regular Order</v>
      </c>
      <c r="H336">
        <v>46.74</v>
      </c>
      <c r="I336">
        <v>186.96</v>
      </c>
      <c r="J336" t="s">
        <v>102</v>
      </c>
      <c r="K336" t="s">
        <v>17</v>
      </c>
      <c r="L336" t="s">
        <v>590</v>
      </c>
    </row>
    <row r="337" spans="1:12" x14ac:dyDescent="0.25">
      <c r="A337" t="s">
        <v>1043</v>
      </c>
      <c r="B337" t="s">
        <v>559</v>
      </c>
      <c r="C337" s="3">
        <v>45207</v>
      </c>
      <c r="D337" t="s">
        <v>41</v>
      </c>
      <c r="E337" t="s">
        <v>15</v>
      </c>
      <c r="F337">
        <v>6</v>
      </c>
      <c r="G337" t="str">
        <f t="shared" si="20"/>
        <v>Regular Order</v>
      </c>
      <c r="H337">
        <v>80.400000000000006</v>
      </c>
      <c r="I337">
        <f>F337*H337</f>
        <v>482.40000000000003</v>
      </c>
      <c r="J337" t="s">
        <v>35</v>
      </c>
      <c r="K337" t="s">
        <v>51</v>
      </c>
      <c r="L337" t="s">
        <v>561</v>
      </c>
    </row>
    <row r="338" spans="1:12" x14ac:dyDescent="0.25">
      <c r="A338" t="s">
        <v>1045</v>
      </c>
      <c r="B338" t="s">
        <v>105</v>
      </c>
      <c r="C338" s="3">
        <v>45269</v>
      </c>
      <c r="D338" t="s">
        <v>78</v>
      </c>
      <c r="E338" t="s">
        <v>46</v>
      </c>
      <c r="F338">
        <v>3</v>
      </c>
      <c r="G338" t="str">
        <f t="shared" si="20"/>
        <v>Regular Order</v>
      </c>
      <c r="H338">
        <v>88.27</v>
      </c>
      <c r="I338">
        <v>264.81</v>
      </c>
      <c r="J338" t="s">
        <v>35</v>
      </c>
      <c r="K338" t="s">
        <v>69</v>
      </c>
      <c r="L338" t="s">
        <v>107</v>
      </c>
    </row>
    <row r="339" spans="1:12" x14ac:dyDescent="0.25">
      <c r="A339" t="s">
        <v>1047</v>
      </c>
      <c r="B339" t="s">
        <v>497</v>
      </c>
      <c r="C339" s="3">
        <v>44948</v>
      </c>
      <c r="D339" t="s">
        <v>101</v>
      </c>
      <c r="E339" t="s">
        <v>15</v>
      </c>
      <c r="F339">
        <v>1</v>
      </c>
      <c r="G339" t="str">
        <f t="shared" si="20"/>
        <v>Regular Order</v>
      </c>
      <c r="H339">
        <v>26.94</v>
      </c>
      <c r="I339">
        <v>26.94</v>
      </c>
      <c r="J339" t="s">
        <v>16</v>
      </c>
      <c r="K339" t="s">
        <v>24</v>
      </c>
      <c r="L339" t="s">
        <v>499</v>
      </c>
    </row>
    <row r="340" spans="1:12" x14ac:dyDescent="0.25">
      <c r="A340" t="s">
        <v>1049</v>
      </c>
      <c r="B340" t="s">
        <v>1050</v>
      </c>
      <c r="D340" t="s">
        <v>29</v>
      </c>
      <c r="E340" t="s">
        <v>46</v>
      </c>
      <c r="F340">
        <v>3</v>
      </c>
      <c r="G340" t="str">
        <f t="shared" si="20"/>
        <v>Regular Order</v>
      </c>
      <c r="H340">
        <v>890.5</v>
      </c>
      <c r="I340">
        <v>2671.5</v>
      </c>
      <c r="J340" t="s">
        <v>30</v>
      </c>
      <c r="K340" t="s">
        <v>17</v>
      </c>
      <c r="L340" t="s">
        <v>1051</v>
      </c>
    </row>
    <row r="341" spans="1:12" x14ac:dyDescent="0.25">
      <c r="A341" t="s">
        <v>1052</v>
      </c>
      <c r="B341" t="s">
        <v>1053</v>
      </c>
      <c r="C341" s="3">
        <v>45274</v>
      </c>
      <c r="D341" t="s">
        <v>101</v>
      </c>
      <c r="E341" t="s">
        <v>15</v>
      </c>
      <c r="F341">
        <v>999</v>
      </c>
      <c r="G341" t="str">
        <f t="shared" si="20"/>
        <v>Bulk Order</v>
      </c>
      <c r="H341">
        <v>28.2</v>
      </c>
      <c r="I341">
        <v>28171.8</v>
      </c>
      <c r="J341" t="s">
        <v>102</v>
      </c>
      <c r="K341" t="s">
        <v>55</v>
      </c>
      <c r="L341" t="s">
        <v>1054</v>
      </c>
    </row>
    <row r="342" spans="1:12" x14ac:dyDescent="0.25">
      <c r="A342" t="s">
        <v>1055</v>
      </c>
      <c r="B342" t="s">
        <v>1056</v>
      </c>
      <c r="C342" s="3">
        <v>45189</v>
      </c>
      <c r="D342" t="s">
        <v>78</v>
      </c>
      <c r="E342" t="s">
        <v>46</v>
      </c>
      <c r="F342">
        <v>9</v>
      </c>
      <c r="G342" t="str">
        <f t="shared" si="20"/>
        <v>Regular Order</v>
      </c>
      <c r="H342">
        <v>95.45</v>
      </c>
      <c r="I342">
        <v>859.05</v>
      </c>
      <c r="J342" t="s">
        <v>30</v>
      </c>
      <c r="K342" t="s">
        <v>51</v>
      </c>
      <c r="L342" t="s">
        <v>1058</v>
      </c>
    </row>
    <row r="343" spans="1:12" x14ac:dyDescent="0.25">
      <c r="A343" t="s">
        <v>1059</v>
      </c>
      <c r="B343" t="s">
        <v>460</v>
      </c>
      <c r="C343" s="3">
        <v>45478</v>
      </c>
      <c r="D343" t="s">
        <v>101</v>
      </c>
      <c r="E343" t="s">
        <v>15</v>
      </c>
      <c r="F343">
        <v>5</v>
      </c>
      <c r="G343" t="str">
        <f t="shared" si="20"/>
        <v>Regular Order</v>
      </c>
      <c r="H343">
        <v>28.24</v>
      </c>
      <c r="I343">
        <v>141.19999999999999</v>
      </c>
      <c r="J343" t="s">
        <v>102</v>
      </c>
      <c r="K343" t="s">
        <v>17</v>
      </c>
      <c r="L343" t="s">
        <v>462</v>
      </c>
    </row>
    <row r="344" spans="1:12" x14ac:dyDescent="0.25">
      <c r="A344" t="s">
        <v>1061</v>
      </c>
      <c r="B344" t="s">
        <v>129</v>
      </c>
      <c r="C344" s="3">
        <v>45572</v>
      </c>
      <c r="D344" t="s">
        <v>1396</v>
      </c>
      <c r="E344" t="s">
        <v>185</v>
      </c>
      <c r="F344">
        <v>7</v>
      </c>
      <c r="G344" t="str">
        <f t="shared" si="20"/>
        <v>Regular Order</v>
      </c>
      <c r="H344">
        <v>52.42</v>
      </c>
      <c r="I344">
        <f>F344*H344</f>
        <v>366.94</v>
      </c>
      <c r="J344" t="s">
        <v>16</v>
      </c>
      <c r="K344" t="s">
        <v>51</v>
      </c>
      <c r="L344" t="s">
        <v>131</v>
      </c>
    </row>
    <row r="345" spans="1:12" x14ac:dyDescent="0.25">
      <c r="A345" t="s">
        <v>1063</v>
      </c>
      <c r="B345" t="s">
        <v>1064</v>
      </c>
      <c r="C345" s="3">
        <v>45653</v>
      </c>
      <c r="D345" t="s">
        <v>22</v>
      </c>
      <c r="E345" t="s">
        <v>23</v>
      </c>
      <c r="F345">
        <v>7</v>
      </c>
      <c r="G345" t="str">
        <f t="shared" si="20"/>
        <v>Regular Order</v>
      </c>
      <c r="H345">
        <v>142.99</v>
      </c>
      <c r="I345">
        <v>1000.93</v>
      </c>
      <c r="J345" t="s">
        <v>16</v>
      </c>
      <c r="K345" t="s">
        <v>51</v>
      </c>
      <c r="L345" t="s">
        <v>1066</v>
      </c>
    </row>
    <row r="346" spans="1:12" x14ac:dyDescent="0.25">
      <c r="A346" t="s">
        <v>1067</v>
      </c>
      <c r="B346" t="s">
        <v>1068</v>
      </c>
      <c r="C346" s="3">
        <v>45082</v>
      </c>
      <c r="D346" t="s">
        <v>78</v>
      </c>
      <c r="E346" t="s">
        <v>46</v>
      </c>
      <c r="F346">
        <v>4</v>
      </c>
      <c r="G346" t="str">
        <f t="shared" si="20"/>
        <v>Regular Order</v>
      </c>
      <c r="H346">
        <v>88.47</v>
      </c>
      <c r="I346">
        <v>353.88</v>
      </c>
      <c r="J346" t="s">
        <v>16</v>
      </c>
      <c r="K346" t="s">
        <v>69</v>
      </c>
      <c r="L346" t="s">
        <v>1070</v>
      </c>
    </row>
    <row r="347" spans="1:12" x14ac:dyDescent="0.25">
      <c r="A347" t="s">
        <v>1071</v>
      </c>
      <c r="B347" t="s">
        <v>1072</v>
      </c>
      <c r="C347" s="3">
        <v>45461</v>
      </c>
      <c r="D347" t="s">
        <v>41</v>
      </c>
      <c r="E347" t="s">
        <v>15</v>
      </c>
      <c r="F347">
        <v>8</v>
      </c>
      <c r="G347" t="str">
        <f t="shared" si="20"/>
        <v>Regular Order</v>
      </c>
      <c r="H347">
        <v>82.88</v>
      </c>
      <c r="I347">
        <v>663.04</v>
      </c>
      <c r="J347" t="s">
        <v>16</v>
      </c>
      <c r="K347" t="s">
        <v>51</v>
      </c>
      <c r="L347" t="s">
        <v>1074</v>
      </c>
    </row>
    <row r="348" spans="1:12" x14ac:dyDescent="0.25">
      <c r="A348" t="s">
        <v>1075</v>
      </c>
      <c r="B348" t="s">
        <v>109</v>
      </c>
      <c r="C348" s="3">
        <v>45609</v>
      </c>
      <c r="D348" t="s">
        <v>29</v>
      </c>
      <c r="E348" t="s">
        <v>46</v>
      </c>
      <c r="F348">
        <v>4</v>
      </c>
      <c r="G348" t="str">
        <f t="shared" si="20"/>
        <v>Regular Order</v>
      </c>
      <c r="H348">
        <v>888.21</v>
      </c>
      <c r="I348">
        <v>3552.84</v>
      </c>
      <c r="J348" t="s">
        <v>16</v>
      </c>
      <c r="K348" t="s">
        <v>69</v>
      </c>
      <c r="L348" t="s">
        <v>111</v>
      </c>
    </row>
    <row r="349" spans="1:12" x14ac:dyDescent="0.25">
      <c r="A349" t="s">
        <v>1076</v>
      </c>
      <c r="B349" t="s">
        <v>1077</v>
      </c>
      <c r="C349" s="3">
        <v>45033</v>
      </c>
      <c r="D349" t="s">
        <v>78</v>
      </c>
      <c r="E349" t="s">
        <v>46</v>
      </c>
      <c r="F349">
        <v>5</v>
      </c>
      <c r="G349" t="str">
        <f t="shared" si="20"/>
        <v>Regular Order</v>
      </c>
      <c r="H349">
        <v>85.34</v>
      </c>
      <c r="I349">
        <v>426.7</v>
      </c>
      <c r="J349" t="s">
        <v>30</v>
      </c>
      <c r="K349" t="s">
        <v>69</v>
      </c>
      <c r="L349" t="s">
        <v>1079</v>
      </c>
    </row>
    <row r="350" spans="1:12" x14ac:dyDescent="0.25">
      <c r="A350" t="s">
        <v>1080</v>
      </c>
      <c r="B350" t="s">
        <v>1081</v>
      </c>
      <c r="C350" s="3">
        <v>45100</v>
      </c>
      <c r="D350" t="s">
        <v>147</v>
      </c>
      <c r="E350" t="s">
        <v>46</v>
      </c>
      <c r="F350">
        <v>2</v>
      </c>
      <c r="G350" t="str">
        <f t="shared" si="20"/>
        <v>Regular Order</v>
      </c>
      <c r="H350">
        <v>300.48</v>
      </c>
      <c r="I350">
        <f t="shared" ref="I350:I352" si="24">F350*H350</f>
        <v>600.96</v>
      </c>
      <c r="J350" t="s">
        <v>102</v>
      </c>
      <c r="K350" t="s">
        <v>24</v>
      </c>
      <c r="L350" t="s">
        <v>1083</v>
      </c>
    </row>
    <row r="351" spans="1:12" x14ac:dyDescent="0.25">
      <c r="A351" t="s">
        <v>1084</v>
      </c>
      <c r="B351" t="s">
        <v>596</v>
      </c>
      <c r="C351" s="3">
        <v>45012</v>
      </c>
      <c r="D351" t="s">
        <v>1396</v>
      </c>
      <c r="E351" t="s">
        <v>185</v>
      </c>
      <c r="F351">
        <v>6</v>
      </c>
      <c r="G351" t="str">
        <f t="shared" si="20"/>
        <v>Regular Order</v>
      </c>
      <c r="H351">
        <f>IF(H344&lt;=0, AVERAGEIF($D:$D,D344,$H:$H),H344)</f>
        <v>52.42</v>
      </c>
      <c r="I351">
        <f t="shared" si="24"/>
        <v>314.52</v>
      </c>
      <c r="J351" t="s">
        <v>102</v>
      </c>
      <c r="K351" t="s">
        <v>24</v>
      </c>
      <c r="L351" t="s">
        <v>597</v>
      </c>
    </row>
    <row r="352" spans="1:12" x14ac:dyDescent="0.25">
      <c r="A352" t="s">
        <v>1085</v>
      </c>
      <c r="B352" t="s">
        <v>120</v>
      </c>
      <c r="C352" s="3">
        <v>45312</v>
      </c>
      <c r="D352" t="s">
        <v>1396</v>
      </c>
      <c r="E352" t="s">
        <v>185</v>
      </c>
      <c r="F352">
        <v>4</v>
      </c>
      <c r="G352" t="str">
        <f t="shared" si="20"/>
        <v>Regular Order</v>
      </c>
      <c r="H352">
        <v>48.4</v>
      </c>
      <c r="I352">
        <f t="shared" si="24"/>
        <v>193.6</v>
      </c>
      <c r="J352" t="s">
        <v>30</v>
      </c>
      <c r="K352" t="s">
        <v>69</v>
      </c>
      <c r="L352" t="s">
        <v>122</v>
      </c>
    </row>
    <row r="353" spans="1:12" x14ac:dyDescent="0.25">
      <c r="A353" t="s">
        <v>1086</v>
      </c>
      <c r="B353" t="s">
        <v>1399</v>
      </c>
      <c r="C353" s="3">
        <v>45539</v>
      </c>
      <c r="D353" t="s">
        <v>1396</v>
      </c>
      <c r="E353" t="s">
        <v>185</v>
      </c>
      <c r="F353">
        <v>3</v>
      </c>
      <c r="G353" t="str">
        <f t="shared" si="20"/>
        <v>Regular Order</v>
      </c>
      <c r="J353" t="s">
        <v>102</v>
      </c>
      <c r="K353" t="s">
        <v>51</v>
      </c>
    </row>
    <row r="354" spans="1:12" x14ac:dyDescent="0.25">
      <c r="A354" t="s">
        <v>1087</v>
      </c>
      <c r="B354" t="s">
        <v>908</v>
      </c>
      <c r="C354" s="3">
        <v>45249</v>
      </c>
      <c r="D354" t="s">
        <v>101</v>
      </c>
      <c r="E354" t="s">
        <v>15</v>
      </c>
      <c r="F354">
        <v>1</v>
      </c>
      <c r="G354" t="str">
        <f t="shared" si="20"/>
        <v>Regular Order</v>
      </c>
      <c r="H354">
        <v>24.52</v>
      </c>
      <c r="I354">
        <v>24.52</v>
      </c>
      <c r="J354" t="s">
        <v>35</v>
      </c>
      <c r="K354" t="s">
        <v>69</v>
      </c>
      <c r="L354" t="s">
        <v>1089</v>
      </c>
    </row>
    <row r="355" spans="1:12" x14ac:dyDescent="0.25">
      <c r="A355" t="s">
        <v>1090</v>
      </c>
      <c r="B355" t="s">
        <v>576</v>
      </c>
      <c r="C355" s="3">
        <v>45643</v>
      </c>
      <c r="D355" t="s">
        <v>87</v>
      </c>
      <c r="E355" t="s">
        <v>15</v>
      </c>
      <c r="F355">
        <v>5</v>
      </c>
      <c r="G355" t="str">
        <f t="shared" si="20"/>
        <v>Regular Order</v>
      </c>
      <c r="H355">
        <v>53.76</v>
      </c>
      <c r="I355">
        <v>268.8</v>
      </c>
      <c r="J355" t="s">
        <v>16</v>
      </c>
      <c r="K355" t="s">
        <v>69</v>
      </c>
      <c r="L355" t="s">
        <v>577</v>
      </c>
    </row>
    <row r="356" spans="1:12" x14ac:dyDescent="0.25">
      <c r="A356" t="s">
        <v>1092</v>
      </c>
      <c r="B356" t="s">
        <v>1053</v>
      </c>
      <c r="D356" t="s">
        <v>101</v>
      </c>
      <c r="E356" t="s">
        <v>15</v>
      </c>
      <c r="F356">
        <v>3</v>
      </c>
      <c r="G356" t="str">
        <f t="shared" si="20"/>
        <v>Regular Order</v>
      </c>
      <c r="H356">
        <v>27.46</v>
      </c>
      <c r="I356">
        <v>82.38</v>
      </c>
      <c r="J356" t="s">
        <v>16</v>
      </c>
      <c r="K356" t="s">
        <v>51</v>
      </c>
      <c r="L356" t="s">
        <v>1054</v>
      </c>
    </row>
    <row r="357" spans="1:12" x14ac:dyDescent="0.25">
      <c r="A357" t="s">
        <v>1093</v>
      </c>
      <c r="B357" t="s">
        <v>1094</v>
      </c>
      <c r="C357" s="3">
        <v>45202</v>
      </c>
      <c r="D357" t="s">
        <v>101</v>
      </c>
      <c r="E357" t="s">
        <v>15</v>
      </c>
      <c r="F357">
        <v>3</v>
      </c>
      <c r="G357" t="str">
        <f t="shared" si="20"/>
        <v>Regular Order</v>
      </c>
      <c r="H357">
        <v>26.74</v>
      </c>
      <c r="I357">
        <v>80.22</v>
      </c>
      <c r="J357" t="s">
        <v>35</v>
      </c>
      <c r="K357" t="s">
        <v>69</v>
      </c>
      <c r="L357" t="s">
        <v>1096</v>
      </c>
    </row>
    <row r="358" spans="1:12" x14ac:dyDescent="0.25">
      <c r="A358" t="s">
        <v>1097</v>
      </c>
      <c r="B358" t="s">
        <v>1098</v>
      </c>
      <c r="C358" s="3">
        <v>45179</v>
      </c>
      <c r="D358" t="s">
        <v>78</v>
      </c>
      <c r="E358" t="s">
        <v>46</v>
      </c>
      <c r="F358">
        <v>7</v>
      </c>
      <c r="G358" t="str">
        <f t="shared" si="20"/>
        <v>Regular Order</v>
      </c>
      <c r="H358">
        <v>95.91</v>
      </c>
      <c r="I358">
        <v>671.37</v>
      </c>
      <c r="J358" t="s">
        <v>16</v>
      </c>
      <c r="K358" t="s">
        <v>55</v>
      </c>
      <c r="L358" t="s">
        <v>1099</v>
      </c>
    </row>
    <row r="359" spans="1:12" x14ac:dyDescent="0.25">
      <c r="A359" t="s">
        <v>1100</v>
      </c>
      <c r="B359" t="s">
        <v>1101</v>
      </c>
      <c r="C359" s="3">
        <v>45537</v>
      </c>
      <c r="D359" t="s">
        <v>1396</v>
      </c>
      <c r="E359" t="s">
        <v>185</v>
      </c>
      <c r="F359">
        <v>4</v>
      </c>
      <c r="G359" t="str">
        <f t="shared" si="20"/>
        <v>Regular Order</v>
      </c>
      <c r="H359">
        <v>47.61</v>
      </c>
      <c r="I359">
        <f t="shared" ref="I359:I360" si="25">F359*H359</f>
        <v>190.44</v>
      </c>
      <c r="J359" t="s">
        <v>30</v>
      </c>
      <c r="K359" t="s">
        <v>55</v>
      </c>
      <c r="L359" t="s">
        <v>1103</v>
      </c>
    </row>
    <row r="360" spans="1:12" x14ac:dyDescent="0.25">
      <c r="A360" t="s">
        <v>1104</v>
      </c>
      <c r="B360" t="s">
        <v>1105</v>
      </c>
      <c r="C360" s="3">
        <v>45066</v>
      </c>
      <c r="D360" t="s">
        <v>29</v>
      </c>
      <c r="E360" t="s">
        <v>46</v>
      </c>
      <c r="F360">
        <v>5</v>
      </c>
      <c r="G360" t="str">
        <f t="shared" si="20"/>
        <v>Regular Order</v>
      </c>
      <c r="H360">
        <f>IF(H353&lt;=0, AVERAGEIF($D:$D,D353,$H:$H),H353)</f>
        <v>51.095208333333318</v>
      </c>
      <c r="I360">
        <f t="shared" si="25"/>
        <v>255.47604166666659</v>
      </c>
      <c r="J360" t="s">
        <v>16</v>
      </c>
      <c r="K360" t="s">
        <v>24</v>
      </c>
      <c r="L360" t="s">
        <v>1107</v>
      </c>
    </row>
    <row r="361" spans="1:12" x14ac:dyDescent="0.25">
      <c r="A361" t="s">
        <v>1108</v>
      </c>
      <c r="B361" t="s">
        <v>643</v>
      </c>
      <c r="C361" s="3">
        <v>45446</v>
      </c>
      <c r="D361" t="s">
        <v>22</v>
      </c>
      <c r="E361" t="s">
        <v>23</v>
      </c>
      <c r="F361">
        <v>3</v>
      </c>
      <c r="G361" t="str">
        <f t="shared" si="20"/>
        <v>Regular Order</v>
      </c>
      <c r="H361">
        <v>137.41</v>
      </c>
      <c r="I361">
        <v>412.23</v>
      </c>
      <c r="J361" t="s">
        <v>16</v>
      </c>
      <c r="K361" t="s">
        <v>17</v>
      </c>
      <c r="L361" t="s">
        <v>645</v>
      </c>
    </row>
    <row r="362" spans="1:12" x14ac:dyDescent="0.25">
      <c r="A362" t="s">
        <v>1110</v>
      </c>
      <c r="B362" t="s">
        <v>89</v>
      </c>
      <c r="C362" s="3">
        <v>45321</v>
      </c>
      <c r="D362" t="s">
        <v>29</v>
      </c>
      <c r="E362" t="s">
        <v>46</v>
      </c>
      <c r="F362">
        <v>2</v>
      </c>
      <c r="G362" t="str">
        <f t="shared" si="20"/>
        <v>Regular Order</v>
      </c>
      <c r="H362">
        <f>IF(H355&lt;=0, AVERAGEIF($D:$D,D355,$H:$H),H355)</f>
        <v>53.76</v>
      </c>
      <c r="I362">
        <f>F362*H362</f>
        <v>107.52</v>
      </c>
      <c r="J362" t="s">
        <v>102</v>
      </c>
      <c r="L362" t="s">
        <v>93</v>
      </c>
    </row>
    <row r="363" spans="1:12" x14ac:dyDescent="0.25">
      <c r="A363" t="s">
        <v>1111</v>
      </c>
      <c r="B363" t="s">
        <v>1112</v>
      </c>
      <c r="C363" s="3">
        <v>44993</v>
      </c>
      <c r="D363" t="s">
        <v>22</v>
      </c>
      <c r="E363" t="s">
        <v>23</v>
      </c>
      <c r="F363">
        <v>1</v>
      </c>
      <c r="G363" t="str">
        <f t="shared" si="20"/>
        <v>Regular Order</v>
      </c>
      <c r="H363">
        <v>156.08000000000001</v>
      </c>
      <c r="I363">
        <v>156.08000000000001</v>
      </c>
      <c r="J363" t="s">
        <v>30</v>
      </c>
      <c r="L363" t="s">
        <v>1114</v>
      </c>
    </row>
    <row r="364" spans="1:12" x14ac:dyDescent="0.25">
      <c r="A364" t="s">
        <v>1115</v>
      </c>
      <c r="B364" t="s">
        <v>860</v>
      </c>
      <c r="C364" s="3">
        <v>45376</v>
      </c>
      <c r="D364" t="s">
        <v>101</v>
      </c>
      <c r="E364" t="s">
        <v>15</v>
      </c>
      <c r="F364">
        <v>2</v>
      </c>
      <c r="G364" t="str">
        <f t="shared" si="20"/>
        <v>Regular Order</v>
      </c>
      <c r="H364">
        <v>24.49</v>
      </c>
      <c r="I364">
        <v>48.98</v>
      </c>
      <c r="J364" t="s">
        <v>16</v>
      </c>
      <c r="K364" t="s">
        <v>17</v>
      </c>
      <c r="L364" t="s">
        <v>862</v>
      </c>
    </row>
    <row r="365" spans="1:12" x14ac:dyDescent="0.25">
      <c r="A365" t="s">
        <v>1116</v>
      </c>
      <c r="B365" t="s">
        <v>968</v>
      </c>
      <c r="C365" s="3">
        <v>45464</v>
      </c>
      <c r="D365" t="s">
        <v>87</v>
      </c>
      <c r="E365" t="s">
        <v>15</v>
      </c>
      <c r="F365">
        <v>5</v>
      </c>
      <c r="G365" t="str">
        <f t="shared" si="20"/>
        <v>Regular Order</v>
      </c>
      <c r="H365">
        <v>51.04</v>
      </c>
      <c r="I365">
        <v>255.2</v>
      </c>
      <c r="J365" t="s">
        <v>35</v>
      </c>
      <c r="K365" t="s">
        <v>51</v>
      </c>
      <c r="L365" t="s">
        <v>970</v>
      </c>
    </row>
    <row r="366" spans="1:12" x14ac:dyDescent="0.25">
      <c r="A366" t="s">
        <v>1117</v>
      </c>
      <c r="B366" t="s">
        <v>1118</v>
      </c>
      <c r="C366" s="3">
        <v>45079</v>
      </c>
      <c r="D366" t="s">
        <v>1396</v>
      </c>
      <c r="E366" t="s">
        <v>185</v>
      </c>
      <c r="F366">
        <v>9</v>
      </c>
      <c r="G366" t="str">
        <f t="shared" si="20"/>
        <v>Regular Order</v>
      </c>
      <c r="H366">
        <v>45.58</v>
      </c>
      <c r="I366">
        <v>410.22</v>
      </c>
      <c r="J366" t="s">
        <v>35</v>
      </c>
      <c r="K366" t="s">
        <v>17</v>
      </c>
      <c r="L366" t="s">
        <v>1119</v>
      </c>
    </row>
    <row r="367" spans="1:12" x14ac:dyDescent="0.25">
      <c r="A367" t="s">
        <v>1120</v>
      </c>
      <c r="B367" t="s">
        <v>99</v>
      </c>
      <c r="C367" s="3">
        <v>45345</v>
      </c>
      <c r="D367" t="s">
        <v>78</v>
      </c>
      <c r="E367" t="s">
        <v>46</v>
      </c>
      <c r="F367">
        <v>1</v>
      </c>
      <c r="G367" t="str">
        <f t="shared" si="20"/>
        <v>Regular Order</v>
      </c>
      <c r="H367">
        <v>83.51</v>
      </c>
      <c r="I367">
        <v>83.51</v>
      </c>
      <c r="J367" t="s">
        <v>16</v>
      </c>
      <c r="K367" t="s">
        <v>17</v>
      </c>
      <c r="L367" t="s">
        <v>103</v>
      </c>
    </row>
    <row r="368" spans="1:12" x14ac:dyDescent="0.25">
      <c r="A368" t="s">
        <v>1121</v>
      </c>
      <c r="B368" t="s">
        <v>39</v>
      </c>
      <c r="C368" s="3">
        <v>45346</v>
      </c>
      <c r="D368" t="s">
        <v>22</v>
      </c>
      <c r="E368" t="s">
        <v>23</v>
      </c>
      <c r="F368">
        <v>5</v>
      </c>
      <c r="G368" t="str">
        <f t="shared" si="20"/>
        <v>Regular Order</v>
      </c>
      <c r="H368">
        <v>145.63999999999999</v>
      </c>
      <c r="I368">
        <v>728.2</v>
      </c>
      <c r="J368" t="s">
        <v>35</v>
      </c>
      <c r="K368" t="s">
        <v>24</v>
      </c>
      <c r="L368" t="s">
        <v>42</v>
      </c>
    </row>
    <row r="369" spans="1:12" x14ac:dyDescent="0.25">
      <c r="A369" t="s">
        <v>1122</v>
      </c>
      <c r="B369" t="s">
        <v>1123</v>
      </c>
      <c r="C369" s="3">
        <v>45144</v>
      </c>
      <c r="D369" t="s">
        <v>41</v>
      </c>
      <c r="E369" t="s">
        <v>15</v>
      </c>
      <c r="F369">
        <v>2</v>
      </c>
      <c r="G369" t="str">
        <f t="shared" si="20"/>
        <v>Regular Order</v>
      </c>
      <c r="H369">
        <v>85.63</v>
      </c>
      <c r="I369">
        <v>171.26</v>
      </c>
      <c r="J369" t="s">
        <v>30</v>
      </c>
      <c r="K369" t="s">
        <v>51</v>
      </c>
      <c r="L369" t="s">
        <v>1124</v>
      </c>
    </row>
    <row r="370" spans="1:12" x14ac:dyDescent="0.25">
      <c r="A370" t="s">
        <v>1125</v>
      </c>
      <c r="B370" t="s">
        <v>844</v>
      </c>
      <c r="D370" t="s">
        <v>29</v>
      </c>
      <c r="E370" t="s">
        <v>46</v>
      </c>
      <c r="F370">
        <v>6</v>
      </c>
      <c r="G370" t="str">
        <f t="shared" si="20"/>
        <v>Regular Order</v>
      </c>
      <c r="H370">
        <v>822.54</v>
      </c>
      <c r="I370">
        <v>4935.24</v>
      </c>
      <c r="J370" t="s">
        <v>102</v>
      </c>
      <c r="K370" t="s">
        <v>51</v>
      </c>
      <c r="L370" t="s">
        <v>1126</v>
      </c>
    </row>
    <row r="371" spans="1:12" x14ac:dyDescent="0.25">
      <c r="A371" t="s">
        <v>1127</v>
      </c>
      <c r="B371" t="s">
        <v>1128</v>
      </c>
      <c r="C371" s="3">
        <v>45654</v>
      </c>
      <c r="D371" t="s">
        <v>87</v>
      </c>
      <c r="E371" t="s">
        <v>15</v>
      </c>
      <c r="F371">
        <v>9</v>
      </c>
      <c r="G371" t="str">
        <f t="shared" si="20"/>
        <v>Regular Order</v>
      </c>
      <c r="H371">
        <v>46.55</v>
      </c>
      <c r="I371">
        <v>418.95</v>
      </c>
      <c r="J371" t="s">
        <v>16</v>
      </c>
      <c r="K371" t="s">
        <v>17</v>
      </c>
      <c r="L371" t="s">
        <v>1130</v>
      </c>
    </row>
    <row r="372" spans="1:12" x14ac:dyDescent="0.25">
      <c r="A372" t="s">
        <v>1131</v>
      </c>
      <c r="B372" t="s">
        <v>1399</v>
      </c>
      <c r="C372" s="3">
        <v>45300</v>
      </c>
      <c r="D372" t="s">
        <v>87</v>
      </c>
      <c r="E372" t="s">
        <v>15</v>
      </c>
      <c r="F372">
        <v>3</v>
      </c>
      <c r="G372" t="str">
        <f t="shared" si="20"/>
        <v>Regular Order</v>
      </c>
      <c r="H372">
        <v>45.31</v>
      </c>
      <c r="I372">
        <v>135.93</v>
      </c>
      <c r="J372" t="s">
        <v>35</v>
      </c>
      <c r="K372" t="s">
        <v>69</v>
      </c>
    </row>
    <row r="373" spans="1:12" x14ac:dyDescent="0.25">
      <c r="A373" t="s">
        <v>1132</v>
      </c>
      <c r="B373" t="s">
        <v>1133</v>
      </c>
      <c r="C373" s="3">
        <v>45547</v>
      </c>
      <c r="D373" t="s">
        <v>147</v>
      </c>
      <c r="E373" t="s">
        <v>46</v>
      </c>
      <c r="F373">
        <v>3</v>
      </c>
      <c r="G373" t="str">
        <f t="shared" si="20"/>
        <v>Regular Order</v>
      </c>
      <c r="H373">
        <v>274.77999999999997</v>
      </c>
      <c r="I373">
        <v>824.34</v>
      </c>
      <c r="J373" t="s">
        <v>16</v>
      </c>
      <c r="K373" t="s">
        <v>55</v>
      </c>
      <c r="L373" t="s">
        <v>1135</v>
      </c>
    </row>
    <row r="374" spans="1:12" x14ac:dyDescent="0.25">
      <c r="A374" t="s">
        <v>1136</v>
      </c>
      <c r="B374" t="s">
        <v>1137</v>
      </c>
      <c r="C374" s="3">
        <v>45601</v>
      </c>
      <c r="D374" t="s">
        <v>1396</v>
      </c>
      <c r="E374" t="s">
        <v>185</v>
      </c>
      <c r="F374">
        <v>5</v>
      </c>
      <c r="G374" t="str">
        <f t="shared" si="20"/>
        <v>Regular Order</v>
      </c>
      <c r="H374">
        <v>46.74</v>
      </c>
      <c r="I374">
        <v>233.7</v>
      </c>
      <c r="J374" t="s">
        <v>35</v>
      </c>
      <c r="K374" t="s">
        <v>17</v>
      </c>
      <c r="L374" t="s">
        <v>1140</v>
      </c>
    </row>
    <row r="375" spans="1:12" x14ac:dyDescent="0.25">
      <c r="A375" t="s">
        <v>1141</v>
      </c>
      <c r="B375" t="s">
        <v>311</v>
      </c>
      <c r="C375" s="3">
        <v>45067</v>
      </c>
      <c r="D375" t="s">
        <v>29</v>
      </c>
      <c r="E375" t="s">
        <v>46</v>
      </c>
      <c r="F375">
        <v>1</v>
      </c>
      <c r="G375" t="str">
        <f t="shared" si="20"/>
        <v>Regular Order</v>
      </c>
      <c r="H375">
        <v>848.2</v>
      </c>
      <c r="I375">
        <v>848.2</v>
      </c>
      <c r="J375" t="s">
        <v>16</v>
      </c>
      <c r="K375" t="s">
        <v>55</v>
      </c>
      <c r="L375" t="s">
        <v>313</v>
      </c>
    </row>
    <row r="376" spans="1:12" x14ac:dyDescent="0.25">
      <c r="A376" t="s">
        <v>1143</v>
      </c>
      <c r="B376" t="s">
        <v>1144</v>
      </c>
      <c r="C376" s="3">
        <v>45279</v>
      </c>
      <c r="D376" t="s">
        <v>87</v>
      </c>
      <c r="E376" t="s">
        <v>15</v>
      </c>
      <c r="F376">
        <v>6</v>
      </c>
      <c r="G376" t="str">
        <f t="shared" si="20"/>
        <v>Regular Order</v>
      </c>
      <c r="H376">
        <v>45.38</v>
      </c>
      <c r="I376">
        <v>272.27999999999997</v>
      </c>
      <c r="J376" t="s">
        <v>16</v>
      </c>
      <c r="K376" t="s">
        <v>51</v>
      </c>
      <c r="L376" t="s">
        <v>1146</v>
      </c>
    </row>
    <row r="377" spans="1:12" x14ac:dyDescent="0.25">
      <c r="A377" t="s">
        <v>1147</v>
      </c>
      <c r="B377" t="s">
        <v>162</v>
      </c>
      <c r="C377" s="3">
        <v>45563</v>
      </c>
      <c r="D377" t="s">
        <v>87</v>
      </c>
      <c r="E377" t="s">
        <v>15</v>
      </c>
      <c r="F377">
        <v>3</v>
      </c>
      <c r="G377" t="str">
        <f t="shared" si="20"/>
        <v>Regular Order</v>
      </c>
      <c r="H377">
        <v>46.88</v>
      </c>
      <c r="I377">
        <v>140.63999999999999</v>
      </c>
      <c r="J377" t="s">
        <v>30</v>
      </c>
      <c r="K377" t="s">
        <v>51</v>
      </c>
      <c r="L377" t="s">
        <v>165</v>
      </c>
    </row>
    <row r="378" spans="1:12" x14ac:dyDescent="0.25">
      <c r="A378" t="s">
        <v>1149</v>
      </c>
      <c r="B378" t="s">
        <v>1150</v>
      </c>
      <c r="C378" s="3">
        <v>45014</v>
      </c>
      <c r="D378" t="s">
        <v>29</v>
      </c>
      <c r="E378" t="s">
        <v>46</v>
      </c>
      <c r="F378">
        <v>5</v>
      </c>
      <c r="G378" t="str">
        <f t="shared" si="20"/>
        <v>Regular Order</v>
      </c>
      <c r="H378">
        <v>828.5</v>
      </c>
      <c r="I378">
        <f>F378*H378</f>
        <v>4142.5</v>
      </c>
      <c r="J378" t="s">
        <v>102</v>
      </c>
      <c r="K378" t="s">
        <v>17</v>
      </c>
      <c r="L378" t="s">
        <v>1152</v>
      </c>
    </row>
    <row r="379" spans="1:12" x14ac:dyDescent="0.25">
      <c r="A379" t="s">
        <v>1153</v>
      </c>
      <c r="B379" t="s">
        <v>1094</v>
      </c>
      <c r="C379" s="3">
        <v>45347</v>
      </c>
      <c r="D379" t="s">
        <v>87</v>
      </c>
      <c r="E379" t="s">
        <v>15</v>
      </c>
      <c r="F379">
        <v>1</v>
      </c>
      <c r="G379" t="str">
        <f t="shared" si="20"/>
        <v>Regular Order</v>
      </c>
      <c r="H379">
        <v>52.76</v>
      </c>
      <c r="I379">
        <v>52.76</v>
      </c>
      <c r="J379" t="s">
        <v>102</v>
      </c>
      <c r="K379" t="s">
        <v>69</v>
      </c>
      <c r="L379" t="s">
        <v>1096</v>
      </c>
    </row>
    <row r="380" spans="1:12" x14ac:dyDescent="0.25">
      <c r="A380" t="s">
        <v>1155</v>
      </c>
      <c r="B380" t="s">
        <v>394</v>
      </c>
      <c r="C380" s="3">
        <v>45309</v>
      </c>
      <c r="D380" t="s">
        <v>41</v>
      </c>
      <c r="E380" t="s">
        <v>15</v>
      </c>
      <c r="F380">
        <v>5</v>
      </c>
      <c r="G380" t="str">
        <f t="shared" si="20"/>
        <v>Regular Order</v>
      </c>
      <c r="H380">
        <v>79.900000000000006</v>
      </c>
      <c r="I380">
        <v>399.5</v>
      </c>
      <c r="J380" t="s">
        <v>16</v>
      </c>
      <c r="K380" t="s">
        <v>17</v>
      </c>
      <c r="L380" t="s">
        <v>396</v>
      </c>
    </row>
    <row r="381" spans="1:12" x14ac:dyDescent="0.25">
      <c r="A381" t="s">
        <v>1157</v>
      </c>
      <c r="B381" t="s">
        <v>711</v>
      </c>
      <c r="C381" s="3">
        <v>45323</v>
      </c>
      <c r="D381" t="s">
        <v>29</v>
      </c>
      <c r="E381" t="s">
        <v>46</v>
      </c>
      <c r="F381">
        <v>5</v>
      </c>
      <c r="G381" t="str">
        <f t="shared" si="20"/>
        <v>Regular Order</v>
      </c>
      <c r="H381">
        <v>908.21</v>
      </c>
      <c r="I381">
        <v>4541.05</v>
      </c>
      <c r="J381" t="s">
        <v>16</v>
      </c>
      <c r="K381" t="s">
        <v>69</v>
      </c>
      <c r="L381" t="s">
        <v>713</v>
      </c>
    </row>
    <row r="382" spans="1:12" x14ac:dyDescent="0.25">
      <c r="A382" t="s">
        <v>1159</v>
      </c>
      <c r="B382" t="s">
        <v>297</v>
      </c>
      <c r="C382" s="3">
        <v>45104</v>
      </c>
      <c r="D382" t="s">
        <v>147</v>
      </c>
      <c r="E382" t="s">
        <v>46</v>
      </c>
      <c r="F382">
        <v>1</v>
      </c>
      <c r="G382" t="str">
        <f t="shared" si="20"/>
        <v>Regular Order</v>
      </c>
      <c r="H382">
        <v>286.7</v>
      </c>
      <c r="I382">
        <v>286.7</v>
      </c>
      <c r="J382" t="s">
        <v>102</v>
      </c>
      <c r="K382" t="s">
        <v>55</v>
      </c>
      <c r="L382" t="s">
        <v>299</v>
      </c>
    </row>
    <row r="383" spans="1:12" x14ac:dyDescent="0.25">
      <c r="A383" t="s">
        <v>1161</v>
      </c>
      <c r="B383" t="s">
        <v>1053</v>
      </c>
      <c r="C383" s="3">
        <v>45229</v>
      </c>
      <c r="D383" t="s">
        <v>147</v>
      </c>
      <c r="E383" t="s">
        <v>46</v>
      </c>
      <c r="F383">
        <v>4</v>
      </c>
      <c r="G383" t="str">
        <f t="shared" si="20"/>
        <v>Regular Order</v>
      </c>
      <c r="H383">
        <v>318.55</v>
      </c>
      <c r="I383">
        <v>1274.2</v>
      </c>
      <c r="J383" t="s">
        <v>16</v>
      </c>
      <c r="K383" t="s">
        <v>24</v>
      </c>
      <c r="L383" t="s">
        <v>1054</v>
      </c>
    </row>
    <row r="384" spans="1:12" x14ac:dyDescent="0.25">
      <c r="A384" t="s">
        <v>1162</v>
      </c>
      <c r="B384" t="s">
        <v>1163</v>
      </c>
      <c r="C384" s="3">
        <v>45375</v>
      </c>
      <c r="D384" t="s">
        <v>147</v>
      </c>
      <c r="E384" t="s">
        <v>46</v>
      </c>
      <c r="F384">
        <v>9</v>
      </c>
      <c r="G384" t="str">
        <f t="shared" si="20"/>
        <v>Regular Order</v>
      </c>
      <c r="H384">
        <v>287.2</v>
      </c>
      <c r="I384">
        <v>2584.8000000000002</v>
      </c>
      <c r="J384" t="s">
        <v>30</v>
      </c>
      <c r="K384" t="s">
        <v>69</v>
      </c>
      <c r="L384" t="s">
        <v>1164</v>
      </c>
    </row>
    <row r="385" spans="1:12" x14ac:dyDescent="0.25">
      <c r="A385" t="s">
        <v>1165</v>
      </c>
      <c r="B385" t="s">
        <v>1399</v>
      </c>
      <c r="C385" s="3">
        <v>45637</v>
      </c>
      <c r="D385" t="s">
        <v>147</v>
      </c>
      <c r="E385" t="s">
        <v>46</v>
      </c>
      <c r="F385">
        <v>3</v>
      </c>
      <c r="G385" t="str">
        <f t="shared" si="20"/>
        <v>Regular Order</v>
      </c>
      <c r="H385">
        <v>300.99</v>
      </c>
      <c r="I385">
        <v>902.97</v>
      </c>
      <c r="J385" t="s">
        <v>35</v>
      </c>
      <c r="K385" t="s">
        <v>17</v>
      </c>
    </row>
    <row r="386" spans="1:12" x14ac:dyDescent="0.25">
      <c r="A386" t="s">
        <v>1167</v>
      </c>
      <c r="B386" t="s">
        <v>1168</v>
      </c>
      <c r="C386" s="3">
        <v>45579</v>
      </c>
      <c r="D386" t="s">
        <v>101</v>
      </c>
      <c r="E386" t="s">
        <v>15</v>
      </c>
      <c r="F386">
        <v>8</v>
      </c>
      <c r="G386" t="str">
        <f t="shared" si="20"/>
        <v>Regular Order</v>
      </c>
      <c r="H386">
        <v>27.68</v>
      </c>
      <c r="I386">
        <f>F386*H386</f>
        <v>221.44</v>
      </c>
      <c r="J386" t="s">
        <v>30</v>
      </c>
      <c r="K386" t="s">
        <v>51</v>
      </c>
      <c r="L386" t="s">
        <v>1169</v>
      </c>
    </row>
    <row r="387" spans="1:12" x14ac:dyDescent="0.25">
      <c r="A387" t="s">
        <v>1170</v>
      </c>
      <c r="B387" t="s">
        <v>1105</v>
      </c>
      <c r="C387" s="3">
        <v>45204</v>
      </c>
      <c r="D387" t="s">
        <v>78</v>
      </c>
      <c r="E387" t="s">
        <v>46</v>
      </c>
      <c r="F387">
        <v>1</v>
      </c>
      <c r="G387" t="str">
        <f t="shared" ref="G387:G450" si="26">IF(F387&gt; 100, "Bulk Order", "Regular Order")</f>
        <v>Regular Order</v>
      </c>
      <c r="J387" t="s">
        <v>16</v>
      </c>
      <c r="K387" t="s">
        <v>69</v>
      </c>
      <c r="L387" t="s">
        <v>1107</v>
      </c>
    </row>
    <row r="388" spans="1:12" x14ac:dyDescent="0.25">
      <c r="A388" t="s">
        <v>1172</v>
      </c>
      <c r="B388" t="s">
        <v>124</v>
      </c>
      <c r="C388" s="3">
        <v>45595</v>
      </c>
      <c r="D388" t="s">
        <v>1396</v>
      </c>
      <c r="E388" t="s">
        <v>185</v>
      </c>
      <c r="F388">
        <v>7</v>
      </c>
      <c r="G388" t="str">
        <f t="shared" si="26"/>
        <v>Regular Order</v>
      </c>
      <c r="H388">
        <v>52.09</v>
      </c>
      <c r="I388">
        <f>F388*H388</f>
        <v>364.63</v>
      </c>
      <c r="J388" t="s">
        <v>16</v>
      </c>
      <c r="K388" t="s">
        <v>24</v>
      </c>
      <c r="L388" t="s">
        <v>1174</v>
      </c>
    </row>
    <row r="389" spans="1:12" x14ac:dyDescent="0.25">
      <c r="A389" t="s">
        <v>1175</v>
      </c>
      <c r="B389" t="s">
        <v>1176</v>
      </c>
      <c r="D389" t="s">
        <v>147</v>
      </c>
      <c r="E389" t="s">
        <v>46</v>
      </c>
      <c r="F389">
        <v>3</v>
      </c>
      <c r="G389" t="str">
        <f t="shared" si="26"/>
        <v>Regular Order</v>
      </c>
      <c r="J389" t="s">
        <v>16</v>
      </c>
      <c r="K389" t="s">
        <v>69</v>
      </c>
      <c r="L389" t="s">
        <v>1177</v>
      </c>
    </row>
    <row r="390" spans="1:12" x14ac:dyDescent="0.25">
      <c r="A390" t="s">
        <v>1178</v>
      </c>
      <c r="B390" t="s">
        <v>1399</v>
      </c>
      <c r="C390" s="3">
        <v>45562</v>
      </c>
      <c r="D390" t="s">
        <v>101</v>
      </c>
      <c r="E390" t="s">
        <v>15</v>
      </c>
      <c r="F390">
        <v>9</v>
      </c>
      <c r="G390" t="str">
        <f t="shared" si="26"/>
        <v>Regular Order</v>
      </c>
      <c r="H390">
        <v>25.69</v>
      </c>
      <c r="I390">
        <v>231.21</v>
      </c>
      <c r="J390" t="s">
        <v>16</v>
      </c>
      <c r="K390" t="s">
        <v>51</v>
      </c>
    </row>
    <row r="391" spans="1:12" x14ac:dyDescent="0.25">
      <c r="A391" t="s">
        <v>1180</v>
      </c>
      <c r="B391" t="s">
        <v>878</v>
      </c>
      <c r="C391" s="3">
        <v>45536</v>
      </c>
      <c r="D391" t="s">
        <v>41</v>
      </c>
      <c r="E391" t="s">
        <v>15</v>
      </c>
      <c r="F391">
        <v>2</v>
      </c>
      <c r="G391" t="str">
        <f t="shared" si="26"/>
        <v>Regular Order</v>
      </c>
      <c r="H391">
        <v>86.41</v>
      </c>
      <c r="I391">
        <v>172.82</v>
      </c>
      <c r="K391" t="s">
        <v>24</v>
      </c>
      <c r="L391" t="s">
        <v>880</v>
      </c>
    </row>
    <row r="392" spans="1:12" x14ac:dyDescent="0.25">
      <c r="A392" t="s">
        <v>1181</v>
      </c>
      <c r="B392" t="s">
        <v>566</v>
      </c>
      <c r="D392" t="s">
        <v>1396</v>
      </c>
      <c r="E392" t="s">
        <v>185</v>
      </c>
      <c r="F392">
        <v>8</v>
      </c>
      <c r="G392" t="str">
        <f t="shared" si="26"/>
        <v>Regular Order</v>
      </c>
      <c r="H392">
        <v>49.71</v>
      </c>
      <c r="I392">
        <v>397.68</v>
      </c>
      <c r="J392" t="s">
        <v>16</v>
      </c>
      <c r="K392" t="s">
        <v>51</v>
      </c>
      <c r="L392" t="s">
        <v>568</v>
      </c>
    </row>
    <row r="393" spans="1:12" x14ac:dyDescent="0.25">
      <c r="A393" t="s">
        <v>1182</v>
      </c>
      <c r="B393" t="s">
        <v>1029</v>
      </c>
      <c r="C393" s="3">
        <v>45613</v>
      </c>
      <c r="D393" t="s">
        <v>147</v>
      </c>
      <c r="E393" t="s">
        <v>46</v>
      </c>
      <c r="F393">
        <v>2</v>
      </c>
      <c r="G393" t="str">
        <f t="shared" si="26"/>
        <v>Regular Order</v>
      </c>
      <c r="H393">
        <f>IF(H386&lt;=0, AVERAGEIF($D:$D,D386,$H:$H),H386)</f>
        <v>27.68</v>
      </c>
      <c r="I393">
        <f>F393*H393</f>
        <v>55.36</v>
      </c>
      <c r="J393" t="s">
        <v>102</v>
      </c>
      <c r="K393" t="s">
        <v>51</v>
      </c>
      <c r="L393" t="s">
        <v>1031</v>
      </c>
    </row>
    <row r="394" spans="1:12" x14ac:dyDescent="0.25">
      <c r="A394" t="s">
        <v>1183</v>
      </c>
      <c r="B394" t="s">
        <v>1133</v>
      </c>
      <c r="C394" s="3">
        <v>45619</v>
      </c>
      <c r="D394" t="s">
        <v>87</v>
      </c>
      <c r="E394" t="s">
        <v>15</v>
      </c>
      <c r="F394">
        <v>1</v>
      </c>
      <c r="G394" t="str">
        <f t="shared" si="26"/>
        <v>Regular Order</v>
      </c>
      <c r="H394">
        <v>49.51</v>
      </c>
      <c r="I394">
        <v>49.51</v>
      </c>
      <c r="J394" t="s">
        <v>35</v>
      </c>
      <c r="K394" t="s">
        <v>24</v>
      </c>
      <c r="L394" t="s">
        <v>1135</v>
      </c>
    </row>
    <row r="395" spans="1:12" x14ac:dyDescent="0.25">
      <c r="A395" t="s">
        <v>1184</v>
      </c>
      <c r="B395" t="s">
        <v>1185</v>
      </c>
      <c r="C395" s="3">
        <v>45271</v>
      </c>
      <c r="D395" t="s">
        <v>41</v>
      </c>
      <c r="E395" t="s">
        <v>15</v>
      </c>
      <c r="F395">
        <v>2</v>
      </c>
      <c r="G395" t="str">
        <f t="shared" si="26"/>
        <v>Regular Order</v>
      </c>
      <c r="H395">
        <v>76.86</v>
      </c>
      <c r="I395">
        <v>153.72</v>
      </c>
      <c r="J395" t="s">
        <v>30</v>
      </c>
      <c r="K395" t="s">
        <v>24</v>
      </c>
      <c r="L395" t="s">
        <v>1187</v>
      </c>
    </row>
    <row r="396" spans="1:12" x14ac:dyDescent="0.25">
      <c r="A396" t="s">
        <v>1188</v>
      </c>
      <c r="B396" t="s">
        <v>1189</v>
      </c>
      <c r="C396" s="3">
        <v>45064</v>
      </c>
      <c r="D396" t="s">
        <v>1396</v>
      </c>
      <c r="E396" t="s">
        <v>185</v>
      </c>
      <c r="F396">
        <v>8</v>
      </c>
      <c r="G396" t="str">
        <f t="shared" si="26"/>
        <v>Regular Order</v>
      </c>
      <c r="H396">
        <v>45.68</v>
      </c>
      <c r="I396">
        <v>365.44</v>
      </c>
      <c r="J396" t="s">
        <v>102</v>
      </c>
      <c r="K396" t="s">
        <v>51</v>
      </c>
    </row>
    <row r="397" spans="1:12" x14ac:dyDescent="0.25">
      <c r="A397" t="s">
        <v>1190</v>
      </c>
      <c r="B397" t="s">
        <v>686</v>
      </c>
      <c r="C397" s="3">
        <v>45118</v>
      </c>
      <c r="D397" t="s">
        <v>87</v>
      </c>
      <c r="E397" t="s">
        <v>15</v>
      </c>
      <c r="F397">
        <v>9</v>
      </c>
      <c r="G397" t="str">
        <f t="shared" si="26"/>
        <v>Regular Order</v>
      </c>
      <c r="H397">
        <v>48.56</v>
      </c>
      <c r="I397">
        <v>437.04</v>
      </c>
      <c r="J397" t="s">
        <v>16</v>
      </c>
      <c r="K397" t="s">
        <v>55</v>
      </c>
      <c r="L397" t="s">
        <v>688</v>
      </c>
    </row>
    <row r="398" spans="1:12" x14ac:dyDescent="0.25">
      <c r="A398" t="s">
        <v>1192</v>
      </c>
      <c r="B398" t="s">
        <v>433</v>
      </c>
      <c r="C398" s="3">
        <v>44958</v>
      </c>
      <c r="D398" t="s">
        <v>1396</v>
      </c>
      <c r="E398" t="s">
        <v>185</v>
      </c>
      <c r="F398">
        <v>4</v>
      </c>
      <c r="G398" t="str">
        <f t="shared" si="26"/>
        <v>Regular Order</v>
      </c>
      <c r="H398">
        <v>47.79</v>
      </c>
      <c r="I398">
        <v>191.16</v>
      </c>
      <c r="J398" t="s">
        <v>35</v>
      </c>
      <c r="K398" t="s">
        <v>17</v>
      </c>
      <c r="L398" t="s">
        <v>435</v>
      </c>
    </row>
    <row r="399" spans="1:12" x14ac:dyDescent="0.25">
      <c r="A399" t="s">
        <v>1193</v>
      </c>
      <c r="B399" t="s">
        <v>551</v>
      </c>
      <c r="C399" s="3">
        <v>44988</v>
      </c>
      <c r="D399" t="s">
        <v>101</v>
      </c>
      <c r="E399" t="s">
        <v>15</v>
      </c>
      <c r="F399">
        <v>1</v>
      </c>
      <c r="G399" t="str">
        <f t="shared" si="26"/>
        <v>Regular Order</v>
      </c>
      <c r="H399">
        <v>27.06</v>
      </c>
      <c r="I399">
        <v>27.06</v>
      </c>
      <c r="J399" t="s">
        <v>35</v>
      </c>
      <c r="K399" t="s">
        <v>24</v>
      </c>
      <c r="L399" t="s">
        <v>553</v>
      </c>
    </row>
    <row r="400" spans="1:12" x14ac:dyDescent="0.25">
      <c r="A400" t="s">
        <v>1195</v>
      </c>
      <c r="B400" t="s">
        <v>1196</v>
      </c>
      <c r="C400" s="3">
        <v>45619</v>
      </c>
      <c r="D400" t="s">
        <v>1396</v>
      </c>
      <c r="E400" t="s">
        <v>185</v>
      </c>
      <c r="F400">
        <v>9</v>
      </c>
      <c r="G400" t="str">
        <f t="shared" si="26"/>
        <v>Regular Order</v>
      </c>
      <c r="H400">
        <v>46.06</v>
      </c>
      <c r="I400">
        <v>414.54</v>
      </c>
      <c r="J400" t="s">
        <v>30</v>
      </c>
      <c r="K400" t="s">
        <v>51</v>
      </c>
      <c r="L400" t="s">
        <v>1197</v>
      </c>
    </row>
    <row r="401" spans="1:12" x14ac:dyDescent="0.25">
      <c r="A401" t="s">
        <v>1198</v>
      </c>
      <c r="B401" t="s">
        <v>1199</v>
      </c>
      <c r="C401" s="3">
        <v>45565</v>
      </c>
      <c r="D401" t="s">
        <v>41</v>
      </c>
      <c r="E401" t="s">
        <v>15</v>
      </c>
      <c r="F401">
        <v>5</v>
      </c>
      <c r="G401" t="str">
        <f t="shared" si="26"/>
        <v>Regular Order</v>
      </c>
      <c r="J401" t="s">
        <v>35</v>
      </c>
      <c r="K401" t="s">
        <v>51</v>
      </c>
    </row>
    <row r="402" spans="1:12" x14ac:dyDescent="0.25">
      <c r="A402" t="s">
        <v>1201</v>
      </c>
      <c r="B402" t="s">
        <v>584</v>
      </c>
      <c r="C402" s="3">
        <v>45554</v>
      </c>
      <c r="D402" t="s">
        <v>22</v>
      </c>
      <c r="E402" t="s">
        <v>23</v>
      </c>
      <c r="F402">
        <v>1</v>
      </c>
      <c r="G402" t="str">
        <f t="shared" si="26"/>
        <v>Regular Order</v>
      </c>
      <c r="H402">
        <v>143.46</v>
      </c>
      <c r="I402">
        <v>143.46</v>
      </c>
      <c r="J402" t="s">
        <v>1203</v>
      </c>
      <c r="K402" t="s">
        <v>17</v>
      </c>
      <c r="L402" t="s">
        <v>585</v>
      </c>
    </row>
    <row r="403" spans="1:12" x14ac:dyDescent="0.25">
      <c r="A403" t="s">
        <v>1204</v>
      </c>
      <c r="B403" t="s">
        <v>1013</v>
      </c>
      <c r="C403" s="3">
        <v>45629</v>
      </c>
      <c r="D403" t="s">
        <v>101</v>
      </c>
      <c r="E403" t="s">
        <v>15</v>
      </c>
      <c r="F403">
        <v>5</v>
      </c>
      <c r="G403" t="str">
        <f t="shared" si="26"/>
        <v>Regular Order</v>
      </c>
      <c r="H403">
        <v>23.9</v>
      </c>
      <c r="I403">
        <f>F403*H403</f>
        <v>119.5</v>
      </c>
      <c r="J403" t="s">
        <v>16</v>
      </c>
      <c r="K403" t="s">
        <v>17</v>
      </c>
      <c r="L403" t="s">
        <v>1205</v>
      </c>
    </row>
    <row r="404" spans="1:12" x14ac:dyDescent="0.25">
      <c r="A404" t="s">
        <v>1206</v>
      </c>
      <c r="B404" t="s">
        <v>596</v>
      </c>
      <c r="C404" s="3">
        <v>45238</v>
      </c>
      <c r="D404" t="s">
        <v>22</v>
      </c>
      <c r="E404" t="s">
        <v>23</v>
      </c>
      <c r="F404">
        <v>2</v>
      </c>
      <c r="G404" t="str">
        <f t="shared" si="26"/>
        <v>Regular Order</v>
      </c>
      <c r="H404">
        <v>161.5</v>
      </c>
      <c r="I404">
        <v>323</v>
      </c>
      <c r="J404" t="s">
        <v>30</v>
      </c>
      <c r="K404" t="s">
        <v>69</v>
      </c>
      <c r="L404" t="s">
        <v>597</v>
      </c>
    </row>
    <row r="405" spans="1:12" x14ac:dyDescent="0.25">
      <c r="A405" t="s">
        <v>1208</v>
      </c>
      <c r="B405" t="s">
        <v>593</v>
      </c>
      <c r="C405" s="3">
        <v>45628</v>
      </c>
      <c r="D405" t="s">
        <v>101</v>
      </c>
      <c r="E405" t="s">
        <v>15</v>
      </c>
      <c r="F405">
        <v>5</v>
      </c>
      <c r="G405" t="str">
        <f t="shared" si="26"/>
        <v>Regular Order</v>
      </c>
      <c r="H405">
        <v>26.75</v>
      </c>
      <c r="I405">
        <f>F405*H405</f>
        <v>133.75</v>
      </c>
      <c r="J405" t="s">
        <v>16</v>
      </c>
      <c r="K405" t="s">
        <v>24</v>
      </c>
      <c r="L405" t="s">
        <v>1210</v>
      </c>
    </row>
    <row r="406" spans="1:12" x14ac:dyDescent="0.25">
      <c r="A406" t="s">
        <v>1211</v>
      </c>
      <c r="B406" t="s">
        <v>1212</v>
      </c>
      <c r="C406" s="3">
        <v>45566</v>
      </c>
      <c r="D406" t="s">
        <v>41</v>
      </c>
      <c r="E406" t="s">
        <v>15</v>
      </c>
      <c r="F406">
        <v>8</v>
      </c>
      <c r="G406" t="str">
        <f t="shared" si="26"/>
        <v>Regular Order</v>
      </c>
      <c r="H406">
        <v>76.099999999999994</v>
      </c>
      <c r="I406">
        <v>608.79999999999995</v>
      </c>
      <c r="J406" t="s">
        <v>102</v>
      </c>
      <c r="K406" t="s">
        <v>55</v>
      </c>
      <c r="L406" t="s">
        <v>1214</v>
      </c>
    </row>
    <row r="407" spans="1:12" x14ac:dyDescent="0.25">
      <c r="A407" t="s">
        <v>1215</v>
      </c>
      <c r="B407" t="s">
        <v>167</v>
      </c>
      <c r="C407" s="3">
        <v>45526</v>
      </c>
      <c r="D407" t="s">
        <v>78</v>
      </c>
      <c r="E407" t="s">
        <v>46</v>
      </c>
      <c r="F407">
        <v>3</v>
      </c>
      <c r="G407" t="str">
        <f t="shared" si="26"/>
        <v>Regular Order</v>
      </c>
      <c r="H407">
        <v>94.41</v>
      </c>
      <c r="I407">
        <v>283.23</v>
      </c>
      <c r="J407" t="s">
        <v>102</v>
      </c>
      <c r="K407" t="s">
        <v>17</v>
      </c>
      <c r="L407" t="s">
        <v>1216</v>
      </c>
    </row>
    <row r="408" spans="1:12" x14ac:dyDescent="0.25">
      <c r="A408" t="s">
        <v>1217</v>
      </c>
      <c r="B408" t="s">
        <v>256</v>
      </c>
      <c r="C408" s="3">
        <v>45646</v>
      </c>
      <c r="D408" t="s">
        <v>147</v>
      </c>
      <c r="E408" t="s">
        <v>46</v>
      </c>
      <c r="F408">
        <v>6</v>
      </c>
      <c r="G408" t="str">
        <f t="shared" si="26"/>
        <v>Regular Order</v>
      </c>
      <c r="H408">
        <v>272</v>
      </c>
      <c r="I408">
        <v>1632</v>
      </c>
      <c r="J408" t="s">
        <v>30</v>
      </c>
      <c r="K408" t="s">
        <v>17</v>
      </c>
      <c r="L408" t="s">
        <v>258</v>
      </c>
    </row>
    <row r="409" spans="1:12" x14ac:dyDescent="0.25">
      <c r="A409" t="s">
        <v>1219</v>
      </c>
      <c r="B409" t="s">
        <v>67</v>
      </c>
      <c r="D409" t="s">
        <v>78</v>
      </c>
      <c r="E409" t="s">
        <v>46</v>
      </c>
      <c r="F409">
        <v>4</v>
      </c>
      <c r="G409" t="str">
        <f t="shared" si="26"/>
        <v>Regular Order</v>
      </c>
      <c r="H409">
        <v>86.63</v>
      </c>
      <c r="I409">
        <v>346.52</v>
      </c>
      <c r="J409" t="s">
        <v>30</v>
      </c>
      <c r="K409" t="s">
        <v>51</v>
      </c>
      <c r="L409" t="s">
        <v>70</v>
      </c>
    </row>
    <row r="410" spans="1:12" x14ac:dyDescent="0.25">
      <c r="A410" t="s">
        <v>1220</v>
      </c>
      <c r="B410" t="s">
        <v>1221</v>
      </c>
      <c r="C410" s="3">
        <v>45141</v>
      </c>
      <c r="D410" t="s">
        <v>147</v>
      </c>
      <c r="E410" t="s">
        <v>46</v>
      </c>
      <c r="F410">
        <v>5</v>
      </c>
      <c r="G410" t="str">
        <f t="shared" si="26"/>
        <v>Regular Order</v>
      </c>
      <c r="H410">
        <v>289.38</v>
      </c>
      <c r="I410">
        <v>1446.9</v>
      </c>
      <c r="J410" t="s">
        <v>35</v>
      </c>
      <c r="K410" t="s">
        <v>51</v>
      </c>
      <c r="L410" t="s">
        <v>1222</v>
      </c>
    </row>
    <row r="411" spans="1:12" x14ac:dyDescent="0.25">
      <c r="A411" t="s">
        <v>1223</v>
      </c>
      <c r="B411" t="s">
        <v>968</v>
      </c>
      <c r="C411" s="3">
        <v>44977</v>
      </c>
      <c r="D411" t="s">
        <v>101</v>
      </c>
      <c r="E411" t="s">
        <v>15</v>
      </c>
      <c r="F411">
        <v>2</v>
      </c>
      <c r="G411" t="str">
        <f t="shared" si="26"/>
        <v>Regular Order</v>
      </c>
      <c r="H411">
        <v>24.64</v>
      </c>
      <c r="I411">
        <v>49.28</v>
      </c>
      <c r="J411" t="s">
        <v>16</v>
      </c>
      <c r="K411" t="s">
        <v>24</v>
      </c>
      <c r="L411" t="s">
        <v>970</v>
      </c>
    </row>
    <row r="412" spans="1:12" x14ac:dyDescent="0.25">
      <c r="A412" t="s">
        <v>1225</v>
      </c>
      <c r="B412" t="s">
        <v>136</v>
      </c>
      <c r="C412" s="3">
        <v>45314</v>
      </c>
      <c r="D412" t="s">
        <v>101</v>
      </c>
      <c r="E412" t="s">
        <v>15</v>
      </c>
      <c r="F412">
        <v>7</v>
      </c>
      <c r="G412" t="str">
        <f t="shared" si="26"/>
        <v>Regular Order</v>
      </c>
      <c r="H412">
        <v>27.35</v>
      </c>
      <c r="I412">
        <v>191.45</v>
      </c>
      <c r="J412" t="s">
        <v>102</v>
      </c>
      <c r="K412" t="s">
        <v>55</v>
      </c>
      <c r="L412" t="s">
        <v>139</v>
      </c>
    </row>
    <row r="413" spans="1:12" x14ac:dyDescent="0.25">
      <c r="A413" t="s">
        <v>1227</v>
      </c>
      <c r="B413" t="s">
        <v>407</v>
      </c>
      <c r="C413" s="3">
        <v>44968</v>
      </c>
      <c r="D413" t="s">
        <v>29</v>
      </c>
      <c r="E413" t="s">
        <v>46</v>
      </c>
      <c r="F413">
        <v>1</v>
      </c>
      <c r="G413" t="str">
        <f t="shared" si="26"/>
        <v>Regular Order</v>
      </c>
      <c r="H413">
        <v>843.31</v>
      </c>
      <c r="I413">
        <v>843.31</v>
      </c>
      <c r="J413" t="s">
        <v>30</v>
      </c>
      <c r="K413" t="s">
        <v>51</v>
      </c>
      <c r="L413" t="s">
        <v>409</v>
      </c>
    </row>
    <row r="414" spans="1:12" x14ac:dyDescent="0.25">
      <c r="A414" t="s">
        <v>1229</v>
      </c>
      <c r="B414" t="s">
        <v>514</v>
      </c>
      <c r="C414" s="3">
        <v>44992</v>
      </c>
      <c r="D414" t="s">
        <v>147</v>
      </c>
      <c r="E414" t="s">
        <v>46</v>
      </c>
      <c r="F414">
        <v>7</v>
      </c>
      <c r="G414" t="str">
        <f t="shared" si="26"/>
        <v>Regular Order</v>
      </c>
      <c r="H414">
        <v>306.57</v>
      </c>
      <c r="I414">
        <v>2145.9899999999998</v>
      </c>
      <c r="J414" t="s">
        <v>35</v>
      </c>
      <c r="K414" t="s">
        <v>17</v>
      </c>
      <c r="L414" t="s">
        <v>515</v>
      </c>
    </row>
    <row r="415" spans="1:12" x14ac:dyDescent="0.25">
      <c r="A415" t="s">
        <v>1231</v>
      </c>
      <c r="B415" t="s">
        <v>225</v>
      </c>
      <c r="C415" s="3">
        <v>45171</v>
      </c>
      <c r="D415" t="s">
        <v>147</v>
      </c>
      <c r="E415" t="s">
        <v>46</v>
      </c>
      <c r="F415">
        <v>7</v>
      </c>
      <c r="G415" t="str">
        <f t="shared" si="26"/>
        <v>Regular Order</v>
      </c>
      <c r="H415">
        <v>275.3</v>
      </c>
      <c r="I415">
        <v>1927.1</v>
      </c>
      <c r="J415" t="s">
        <v>35</v>
      </c>
      <c r="K415" t="s">
        <v>55</v>
      </c>
      <c r="L415" t="s">
        <v>227</v>
      </c>
    </row>
    <row r="416" spans="1:12" x14ac:dyDescent="0.25">
      <c r="A416" t="s">
        <v>1233</v>
      </c>
      <c r="B416" t="s">
        <v>1234</v>
      </c>
      <c r="C416" s="3">
        <v>45212</v>
      </c>
      <c r="D416" t="s">
        <v>22</v>
      </c>
      <c r="E416" t="s">
        <v>23</v>
      </c>
      <c r="F416">
        <v>1</v>
      </c>
      <c r="G416" t="str">
        <f t="shared" si="26"/>
        <v>Regular Order</v>
      </c>
      <c r="H416">
        <v>162.46</v>
      </c>
      <c r="I416">
        <v>162.46</v>
      </c>
      <c r="J416" t="s">
        <v>102</v>
      </c>
      <c r="K416" t="s">
        <v>51</v>
      </c>
      <c r="L416" t="s">
        <v>1235</v>
      </c>
    </row>
    <row r="417" spans="1:12" x14ac:dyDescent="0.25">
      <c r="A417" t="s">
        <v>1236</v>
      </c>
      <c r="B417" t="s">
        <v>446</v>
      </c>
      <c r="C417" s="3">
        <v>45518</v>
      </c>
      <c r="D417" t="s">
        <v>101</v>
      </c>
      <c r="E417" t="s">
        <v>15</v>
      </c>
      <c r="F417">
        <v>999</v>
      </c>
      <c r="G417" t="str">
        <f t="shared" si="26"/>
        <v>Bulk Order</v>
      </c>
      <c r="H417">
        <v>28.03</v>
      </c>
      <c r="I417">
        <v>28001.97</v>
      </c>
      <c r="J417" t="s">
        <v>16</v>
      </c>
      <c r="K417" t="s">
        <v>24</v>
      </c>
      <c r="L417" t="s">
        <v>448</v>
      </c>
    </row>
    <row r="418" spans="1:12" x14ac:dyDescent="0.25">
      <c r="A418" t="s">
        <v>1238</v>
      </c>
      <c r="B418" t="s">
        <v>968</v>
      </c>
      <c r="C418" s="3">
        <v>45524</v>
      </c>
      <c r="D418" t="s">
        <v>22</v>
      </c>
      <c r="E418" t="s">
        <v>23</v>
      </c>
      <c r="F418">
        <v>7</v>
      </c>
      <c r="G418" t="str">
        <f t="shared" si="26"/>
        <v>Regular Order</v>
      </c>
      <c r="H418">
        <v>154.09</v>
      </c>
      <c r="I418">
        <v>1078.6300000000001</v>
      </c>
      <c r="J418" t="s">
        <v>16</v>
      </c>
      <c r="K418" t="s">
        <v>17</v>
      </c>
      <c r="L418" t="s">
        <v>970</v>
      </c>
    </row>
    <row r="419" spans="1:12" x14ac:dyDescent="0.25">
      <c r="A419" t="s">
        <v>1240</v>
      </c>
      <c r="B419" t="s">
        <v>683</v>
      </c>
      <c r="C419" s="3">
        <v>45263</v>
      </c>
      <c r="D419" t="s">
        <v>1396</v>
      </c>
      <c r="E419" t="s">
        <v>185</v>
      </c>
      <c r="F419">
        <v>4</v>
      </c>
      <c r="G419" t="str">
        <f t="shared" si="26"/>
        <v>Regular Order</v>
      </c>
      <c r="H419">
        <v>46.2</v>
      </c>
      <c r="I419">
        <v>184.8</v>
      </c>
      <c r="J419" t="s">
        <v>30</v>
      </c>
      <c r="K419" t="s">
        <v>69</v>
      </c>
      <c r="L419" t="s">
        <v>684</v>
      </c>
    </row>
    <row r="420" spans="1:12" x14ac:dyDescent="0.25">
      <c r="A420" t="s">
        <v>1242</v>
      </c>
      <c r="B420" t="s">
        <v>105</v>
      </c>
      <c r="C420" s="3">
        <v>45488</v>
      </c>
      <c r="D420" t="s">
        <v>147</v>
      </c>
      <c r="E420" t="s">
        <v>46</v>
      </c>
      <c r="F420">
        <v>999</v>
      </c>
      <c r="G420" t="str">
        <f t="shared" si="26"/>
        <v>Bulk Order</v>
      </c>
      <c r="H420">
        <v>303.49</v>
      </c>
      <c r="I420">
        <v>303186.51</v>
      </c>
      <c r="J420" t="s">
        <v>30</v>
      </c>
      <c r="K420" t="s">
        <v>17</v>
      </c>
      <c r="L420" t="s">
        <v>107</v>
      </c>
    </row>
    <row r="421" spans="1:12" x14ac:dyDescent="0.25">
      <c r="A421" t="s">
        <v>1243</v>
      </c>
      <c r="B421" t="s">
        <v>1244</v>
      </c>
      <c r="C421" s="3">
        <v>44956</v>
      </c>
      <c r="D421" t="s">
        <v>29</v>
      </c>
      <c r="E421" t="s">
        <v>46</v>
      </c>
      <c r="F421">
        <v>5</v>
      </c>
      <c r="G421" t="str">
        <f t="shared" si="26"/>
        <v>Regular Order</v>
      </c>
      <c r="H421">
        <v>834.25</v>
      </c>
      <c r="I421">
        <f>F421*H421</f>
        <v>4171.25</v>
      </c>
      <c r="J421" t="s">
        <v>16</v>
      </c>
      <c r="K421" t="s">
        <v>69</v>
      </c>
      <c r="L421" t="s">
        <v>1245</v>
      </c>
    </row>
    <row r="422" spans="1:12" x14ac:dyDescent="0.25">
      <c r="A422" t="s">
        <v>1246</v>
      </c>
      <c r="B422" t="s">
        <v>1399</v>
      </c>
      <c r="C422" s="3">
        <v>45626</v>
      </c>
      <c r="D422" t="s">
        <v>87</v>
      </c>
      <c r="E422" t="s">
        <v>15</v>
      </c>
      <c r="F422">
        <v>9</v>
      </c>
      <c r="G422" t="str">
        <f t="shared" si="26"/>
        <v>Regular Order</v>
      </c>
      <c r="H422">
        <v>53.07</v>
      </c>
      <c r="I422">
        <v>477.63</v>
      </c>
      <c r="J422" t="s">
        <v>35</v>
      </c>
      <c r="K422" t="s">
        <v>55</v>
      </c>
    </row>
    <row r="423" spans="1:12" x14ac:dyDescent="0.25">
      <c r="A423" t="s">
        <v>1247</v>
      </c>
      <c r="B423" t="s">
        <v>99</v>
      </c>
      <c r="C423" s="3">
        <v>45628</v>
      </c>
      <c r="D423" t="s">
        <v>22</v>
      </c>
      <c r="E423" t="s">
        <v>23</v>
      </c>
      <c r="F423">
        <v>8</v>
      </c>
      <c r="G423" t="str">
        <f t="shared" si="26"/>
        <v>Regular Order</v>
      </c>
      <c r="K423" t="s">
        <v>17</v>
      </c>
      <c r="L423" t="s">
        <v>103</v>
      </c>
    </row>
    <row r="424" spans="1:12" x14ac:dyDescent="0.25">
      <c r="A424" t="s">
        <v>1248</v>
      </c>
      <c r="B424" t="s">
        <v>1163</v>
      </c>
      <c r="C424" s="3">
        <v>45160</v>
      </c>
      <c r="D424" t="s">
        <v>22</v>
      </c>
      <c r="E424" t="s">
        <v>23</v>
      </c>
      <c r="F424">
        <v>5</v>
      </c>
      <c r="G424" t="str">
        <f t="shared" si="26"/>
        <v>Regular Order</v>
      </c>
      <c r="H424">
        <v>164.51</v>
      </c>
      <c r="I424">
        <f>F424*H424</f>
        <v>822.55</v>
      </c>
      <c r="J424" t="s">
        <v>30</v>
      </c>
      <c r="K424" t="s">
        <v>51</v>
      </c>
      <c r="L424" t="s">
        <v>1164</v>
      </c>
    </row>
    <row r="425" spans="1:12" x14ac:dyDescent="0.25">
      <c r="A425" t="s">
        <v>1250</v>
      </c>
      <c r="B425" t="s">
        <v>307</v>
      </c>
      <c r="C425" s="3">
        <v>45624</v>
      </c>
      <c r="D425" t="s">
        <v>41</v>
      </c>
      <c r="E425" t="s">
        <v>15</v>
      </c>
      <c r="F425">
        <v>9</v>
      </c>
      <c r="G425" t="str">
        <f t="shared" si="26"/>
        <v>Regular Order</v>
      </c>
      <c r="H425">
        <v>73.680000000000007</v>
      </c>
      <c r="I425">
        <v>663.12</v>
      </c>
      <c r="J425" t="s">
        <v>30</v>
      </c>
      <c r="K425" t="s">
        <v>17</v>
      </c>
    </row>
    <row r="426" spans="1:12" x14ac:dyDescent="0.25">
      <c r="A426" t="s">
        <v>1252</v>
      </c>
      <c r="B426" t="s">
        <v>651</v>
      </c>
      <c r="C426" s="3">
        <v>45008</v>
      </c>
      <c r="D426" t="s">
        <v>78</v>
      </c>
      <c r="E426" t="s">
        <v>46</v>
      </c>
      <c r="F426">
        <v>1</v>
      </c>
      <c r="G426" t="str">
        <f t="shared" si="26"/>
        <v>Regular Order</v>
      </c>
      <c r="H426">
        <v>94.61</v>
      </c>
      <c r="I426">
        <v>94.61</v>
      </c>
      <c r="J426" t="s">
        <v>35</v>
      </c>
      <c r="K426" t="s">
        <v>55</v>
      </c>
      <c r="L426" t="s">
        <v>653</v>
      </c>
    </row>
    <row r="427" spans="1:12" x14ac:dyDescent="0.25">
      <c r="A427" t="s">
        <v>1254</v>
      </c>
      <c r="B427" t="s">
        <v>178</v>
      </c>
      <c r="D427" t="s">
        <v>78</v>
      </c>
      <c r="E427" t="s">
        <v>46</v>
      </c>
      <c r="F427">
        <v>6</v>
      </c>
      <c r="G427" t="str">
        <f t="shared" si="26"/>
        <v>Regular Order</v>
      </c>
      <c r="H427">
        <v>87.71</v>
      </c>
      <c r="I427">
        <f>F427*H427</f>
        <v>526.26</v>
      </c>
      <c r="J427" t="s">
        <v>35</v>
      </c>
      <c r="K427" t="s">
        <v>17</v>
      </c>
      <c r="L427" t="s">
        <v>180</v>
      </c>
    </row>
    <row r="428" spans="1:12" x14ac:dyDescent="0.25">
      <c r="A428" t="s">
        <v>1255</v>
      </c>
      <c r="B428" t="s">
        <v>1256</v>
      </c>
      <c r="C428" s="3">
        <v>45181</v>
      </c>
      <c r="D428" t="s">
        <v>147</v>
      </c>
      <c r="E428" t="s">
        <v>46</v>
      </c>
      <c r="F428">
        <v>5</v>
      </c>
      <c r="G428" t="str">
        <f t="shared" si="26"/>
        <v>Regular Order</v>
      </c>
      <c r="H428">
        <v>278.01</v>
      </c>
      <c r="I428">
        <v>1390.05</v>
      </c>
      <c r="J428" t="s">
        <v>35</v>
      </c>
      <c r="K428" t="s">
        <v>17</v>
      </c>
      <c r="L428" t="s">
        <v>1257</v>
      </c>
    </row>
    <row r="429" spans="1:12" x14ac:dyDescent="0.25">
      <c r="A429" t="s">
        <v>1258</v>
      </c>
      <c r="B429" t="s">
        <v>99</v>
      </c>
      <c r="C429" s="3">
        <v>45215</v>
      </c>
      <c r="D429" t="s">
        <v>78</v>
      </c>
      <c r="E429" t="s">
        <v>46</v>
      </c>
      <c r="F429">
        <v>4</v>
      </c>
      <c r="G429" t="str">
        <f t="shared" si="26"/>
        <v>Regular Order</v>
      </c>
      <c r="H429">
        <v>85.12</v>
      </c>
      <c r="I429">
        <v>340.48</v>
      </c>
      <c r="J429" t="s">
        <v>16</v>
      </c>
      <c r="K429" t="s">
        <v>69</v>
      </c>
      <c r="L429" t="s">
        <v>103</v>
      </c>
    </row>
    <row r="430" spans="1:12" x14ac:dyDescent="0.25">
      <c r="A430" t="s">
        <v>1259</v>
      </c>
      <c r="B430" t="s">
        <v>1234</v>
      </c>
      <c r="C430" s="3">
        <v>45313</v>
      </c>
      <c r="D430" t="s">
        <v>101</v>
      </c>
      <c r="E430" t="s">
        <v>15</v>
      </c>
      <c r="F430">
        <v>7</v>
      </c>
      <c r="G430" t="str">
        <f t="shared" si="26"/>
        <v>Regular Order</v>
      </c>
      <c r="H430">
        <v>25.91</v>
      </c>
      <c r="I430">
        <v>181.37</v>
      </c>
      <c r="J430" t="s">
        <v>16</v>
      </c>
      <c r="L430" t="s">
        <v>1235</v>
      </c>
    </row>
    <row r="431" spans="1:12" x14ac:dyDescent="0.25">
      <c r="A431" t="s">
        <v>1261</v>
      </c>
      <c r="B431" t="s">
        <v>535</v>
      </c>
      <c r="C431" s="3">
        <v>45330</v>
      </c>
      <c r="D431" t="s">
        <v>101</v>
      </c>
      <c r="E431" t="s">
        <v>15</v>
      </c>
      <c r="F431">
        <v>8</v>
      </c>
      <c r="G431" t="str">
        <f t="shared" si="26"/>
        <v>Regular Order</v>
      </c>
      <c r="H431">
        <v>27.94</v>
      </c>
      <c r="I431">
        <v>223.52</v>
      </c>
      <c r="K431" t="s">
        <v>69</v>
      </c>
      <c r="L431" t="s">
        <v>537</v>
      </c>
    </row>
    <row r="432" spans="1:12" x14ac:dyDescent="0.25">
      <c r="A432" t="s">
        <v>1262</v>
      </c>
      <c r="B432" t="s">
        <v>440</v>
      </c>
      <c r="C432" s="3">
        <v>45297</v>
      </c>
      <c r="D432" t="s">
        <v>147</v>
      </c>
      <c r="E432" t="s">
        <v>46</v>
      </c>
      <c r="F432">
        <v>4</v>
      </c>
      <c r="G432" t="str">
        <f t="shared" si="26"/>
        <v>Regular Order</v>
      </c>
      <c r="J432" t="s">
        <v>16</v>
      </c>
      <c r="K432" t="s">
        <v>17</v>
      </c>
      <c r="L432" t="s">
        <v>442</v>
      </c>
    </row>
    <row r="433" spans="1:12" x14ac:dyDescent="0.25">
      <c r="A433" t="s">
        <v>1264</v>
      </c>
      <c r="B433" t="s">
        <v>601</v>
      </c>
      <c r="C433" s="3">
        <v>45144</v>
      </c>
      <c r="D433" t="s">
        <v>87</v>
      </c>
      <c r="E433" t="s">
        <v>15</v>
      </c>
      <c r="F433">
        <v>1</v>
      </c>
      <c r="G433" t="str">
        <f t="shared" si="26"/>
        <v>Regular Order</v>
      </c>
      <c r="H433">
        <v>50.85</v>
      </c>
      <c r="I433">
        <v>50.85</v>
      </c>
      <c r="J433" t="s">
        <v>16</v>
      </c>
      <c r="K433" t="s">
        <v>51</v>
      </c>
      <c r="L433" t="s">
        <v>603</v>
      </c>
    </row>
    <row r="434" spans="1:12" x14ac:dyDescent="0.25">
      <c r="A434" t="s">
        <v>1265</v>
      </c>
      <c r="B434" t="s">
        <v>1221</v>
      </c>
      <c r="C434" s="3">
        <v>45246</v>
      </c>
      <c r="D434" t="s">
        <v>29</v>
      </c>
      <c r="E434" t="s">
        <v>46</v>
      </c>
      <c r="F434">
        <v>8</v>
      </c>
      <c r="G434" t="str">
        <f t="shared" si="26"/>
        <v>Regular Order</v>
      </c>
      <c r="H434">
        <v>988.01</v>
      </c>
      <c r="I434">
        <v>7904.08</v>
      </c>
      <c r="J434" t="s">
        <v>30</v>
      </c>
      <c r="K434" t="s">
        <v>17</v>
      </c>
      <c r="L434" t="s">
        <v>1222</v>
      </c>
    </row>
    <row r="435" spans="1:12" x14ac:dyDescent="0.25">
      <c r="A435" t="s">
        <v>1266</v>
      </c>
      <c r="B435" t="s">
        <v>95</v>
      </c>
      <c r="C435" s="3">
        <v>45546</v>
      </c>
      <c r="D435" t="s">
        <v>147</v>
      </c>
      <c r="E435" t="s">
        <v>46</v>
      </c>
      <c r="F435">
        <v>6</v>
      </c>
      <c r="G435" t="str">
        <f t="shared" si="26"/>
        <v>Regular Order</v>
      </c>
      <c r="J435" t="s">
        <v>35</v>
      </c>
      <c r="K435" t="s">
        <v>51</v>
      </c>
      <c r="L435" t="s">
        <v>97</v>
      </c>
    </row>
    <row r="436" spans="1:12" x14ac:dyDescent="0.25">
      <c r="A436" t="s">
        <v>1267</v>
      </c>
      <c r="B436" t="s">
        <v>1056</v>
      </c>
      <c r="C436" s="3">
        <v>45297</v>
      </c>
      <c r="D436" t="s">
        <v>78</v>
      </c>
      <c r="E436" t="s">
        <v>46</v>
      </c>
      <c r="F436">
        <v>1</v>
      </c>
      <c r="G436" t="str">
        <f t="shared" si="26"/>
        <v>Regular Order</v>
      </c>
      <c r="H436">
        <v>88.26</v>
      </c>
      <c r="I436">
        <f>F436*H436</f>
        <v>88.26</v>
      </c>
      <c r="J436" t="s">
        <v>102</v>
      </c>
      <c r="K436" t="s">
        <v>24</v>
      </c>
      <c r="L436" t="s">
        <v>1058</v>
      </c>
    </row>
    <row r="437" spans="1:12" x14ac:dyDescent="0.25">
      <c r="A437" t="s">
        <v>1268</v>
      </c>
      <c r="B437" t="s">
        <v>12</v>
      </c>
      <c r="C437" s="3">
        <v>45385</v>
      </c>
      <c r="D437" t="s">
        <v>41</v>
      </c>
      <c r="E437" t="s">
        <v>15</v>
      </c>
      <c r="F437">
        <v>5</v>
      </c>
      <c r="G437" t="str">
        <f t="shared" si="26"/>
        <v>Regular Order</v>
      </c>
      <c r="H437">
        <v>75.67</v>
      </c>
      <c r="I437">
        <v>378.35</v>
      </c>
      <c r="J437" t="s">
        <v>30</v>
      </c>
      <c r="K437" t="s">
        <v>55</v>
      </c>
      <c r="L437" t="s">
        <v>18</v>
      </c>
    </row>
    <row r="438" spans="1:12" x14ac:dyDescent="0.25">
      <c r="A438" t="s">
        <v>1269</v>
      </c>
      <c r="B438" t="s">
        <v>857</v>
      </c>
      <c r="C438" s="3">
        <v>45136</v>
      </c>
      <c r="D438" t="s">
        <v>29</v>
      </c>
      <c r="E438" t="s">
        <v>46</v>
      </c>
      <c r="F438">
        <v>5</v>
      </c>
      <c r="G438" t="str">
        <f t="shared" si="26"/>
        <v>Regular Order</v>
      </c>
      <c r="H438">
        <v>918.95</v>
      </c>
      <c r="I438">
        <f t="shared" ref="I438:I439" si="27">F438*H438</f>
        <v>4594.75</v>
      </c>
      <c r="J438" t="s">
        <v>30</v>
      </c>
      <c r="K438" t="s">
        <v>55</v>
      </c>
      <c r="L438" t="s">
        <v>1271</v>
      </c>
    </row>
    <row r="439" spans="1:12" x14ac:dyDescent="0.25">
      <c r="A439" t="s">
        <v>1272</v>
      </c>
      <c r="B439" t="s">
        <v>136</v>
      </c>
      <c r="C439" s="3">
        <v>45352</v>
      </c>
      <c r="D439" t="s">
        <v>87</v>
      </c>
      <c r="E439" t="s">
        <v>15</v>
      </c>
      <c r="F439">
        <v>5</v>
      </c>
      <c r="G439" t="str">
        <f t="shared" si="26"/>
        <v>Regular Order</v>
      </c>
      <c r="H439">
        <v>52.97</v>
      </c>
      <c r="I439">
        <f t="shared" si="27"/>
        <v>264.85000000000002</v>
      </c>
      <c r="J439" t="s">
        <v>102</v>
      </c>
      <c r="K439" t="s">
        <v>24</v>
      </c>
      <c r="L439" t="s">
        <v>1273</v>
      </c>
    </row>
    <row r="440" spans="1:12" x14ac:dyDescent="0.25">
      <c r="A440" t="s">
        <v>1274</v>
      </c>
      <c r="B440" t="s">
        <v>278</v>
      </c>
      <c r="C440" s="3">
        <v>45029</v>
      </c>
      <c r="D440" t="s">
        <v>29</v>
      </c>
      <c r="E440" t="s">
        <v>46</v>
      </c>
      <c r="F440">
        <v>8</v>
      </c>
      <c r="G440" t="str">
        <f t="shared" si="26"/>
        <v>Regular Order</v>
      </c>
      <c r="H440">
        <v>903.45</v>
      </c>
      <c r="I440">
        <v>7227.6</v>
      </c>
      <c r="J440" t="s">
        <v>16</v>
      </c>
      <c r="K440" t="s">
        <v>24</v>
      </c>
      <c r="L440" t="s">
        <v>280</v>
      </c>
    </row>
    <row r="441" spans="1:12" x14ac:dyDescent="0.25">
      <c r="A441" t="s">
        <v>1276</v>
      </c>
      <c r="B441" t="s">
        <v>1399</v>
      </c>
      <c r="C441" s="3">
        <v>45653</v>
      </c>
      <c r="D441" t="s">
        <v>1396</v>
      </c>
      <c r="E441" t="s">
        <v>185</v>
      </c>
      <c r="F441">
        <v>6</v>
      </c>
      <c r="G441" t="str">
        <f t="shared" si="26"/>
        <v>Regular Order</v>
      </c>
      <c r="H441">
        <v>47.72</v>
      </c>
      <c r="I441">
        <v>286.32</v>
      </c>
      <c r="J441" t="s">
        <v>102</v>
      </c>
      <c r="K441" t="s">
        <v>17</v>
      </c>
    </row>
    <row r="442" spans="1:12" x14ac:dyDescent="0.25">
      <c r="A442" t="s">
        <v>1277</v>
      </c>
      <c r="B442" t="s">
        <v>1081</v>
      </c>
      <c r="C442" s="3">
        <v>45418</v>
      </c>
      <c r="D442" t="s">
        <v>22</v>
      </c>
      <c r="E442" t="s">
        <v>23</v>
      </c>
      <c r="F442">
        <v>999</v>
      </c>
      <c r="G442" t="str">
        <f t="shared" si="26"/>
        <v>Bulk Order</v>
      </c>
      <c r="H442">
        <v>153.32</v>
      </c>
      <c r="I442">
        <v>153166.68</v>
      </c>
      <c r="J442" t="s">
        <v>35</v>
      </c>
      <c r="K442" t="s">
        <v>69</v>
      </c>
      <c r="L442" t="s">
        <v>1083</v>
      </c>
    </row>
    <row r="443" spans="1:12" x14ac:dyDescent="0.25">
      <c r="A443" t="s">
        <v>1279</v>
      </c>
      <c r="B443" t="s">
        <v>1280</v>
      </c>
      <c r="C443" s="3">
        <v>45654</v>
      </c>
      <c r="D443" t="s">
        <v>101</v>
      </c>
      <c r="E443" t="s">
        <v>15</v>
      </c>
      <c r="F443">
        <v>2</v>
      </c>
      <c r="G443" t="str">
        <f t="shared" si="26"/>
        <v>Regular Order</v>
      </c>
      <c r="H443">
        <v>26.78</v>
      </c>
      <c r="I443">
        <v>53.56</v>
      </c>
      <c r="J443" t="s">
        <v>16</v>
      </c>
      <c r="K443" t="s">
        <v>17</v>
      </c>
      <c r="L443" t="s">
        <v>1281</v>
      </c>
    </row>
    <row r="444" spans="1:12" x14ac:dyDescent="0.25">
      <c r="A444" t="s">
        <v>1282</v>
      </c>
      <c r="B444" t="s">
        <v>1050</v>
      </c>
      <c r="C444" s="3">
        <v>45028</v>
      </c>
      <c r="D444" t="s">
        <v>1396</v>
      </c>
      <c r="E444" t="s">
        <v>185</v>
      </c>
      <c r="F444">
        <v>8</v>
      </c>
      <c r="G444" t="str">
        <f t="shared" si="26"/>
        <v>Regular Order</v>
      </c>
      <c r="H444">
        <v>46</v>
      </c>
      <c r="I444">
        <v>368</v>
      </c>
      <c r="J444" t="s">
        <v>35</v>
      </c>
      <c r="K444" t="s">
        <v>24</v>
      </c>
      <c r="L444" t="s">
        <v>1283</v>
      </c>
    </row>
    <row r="445" spans="1:12" x14ac:dyDescent="0.25">
      <c r="A445" t="s">
        <v>1284</v>
      </c>
      <c r="B445" t="s">
        <v>1285</v>
      </c>
      <c r="C445" s="3">
        <v>45131</v>
      </c>
      <c r="D445" t="s">
        <v>22</v>
      </c>
      <c r="E445" t="s">
        <v>23</v>
      </c>
      <c r="F445">
        <v>3</v>
      </c>
      <c r="G445" t="str">
        <f t="shared" si="26"/>
        <v>Regular Order</v>
      </c>
      <c r="H445">
        <v>146.47</v>
      </c>
      <c r="I445">
        <v>439.41</v>
      </c>
      <c r="J445" t="s">
        <v>35</v>
      </c>
      <c r="K445" t="s">
        <v>55</v>
      </c>
      <c r="L445" t="s">
        <v>1287</v>
      </c>
    </row>
    <row r="446" spans="1:12" x14ac:dyDescent="0.25">
      <c r="A446" t="s">
        <v>1288</v>
      </c>
      <c r="B446" t="s">
        <v>136</v>
      </c>
      <c r="C446" s="3">
        <v>45177</v>
      </c>
      <c r="D446" t="s">
        <v>147</v>
      </c>
      <c r="E446" t="s">
        <v>46</v>
      </c>
      <c r="F446">
        <v>7</v>
      </c>
      <c r="G446" t="str">
        <f t="shared" si="26"/>
        <v>Regular Order</v>
      </c>
      <c r="H446">
        <v>319.77</v>
      </c>
      <c r="I446">
        <v>2238.39</v>
      </c>
      <c r="J446" t="s">
        <v>102</v>
      </c>
      <c r="K446" t="s">
        <v>17</v>
      </c>
      <c r="L446" t="s">
        <v>139</v>
      </c>
    </row>
    <row r="447" spans="1:12" x14ac:dyDescent="0.25">
      <c r="A447" t="s">
        <v>1290</v>
      </c>
      <c r="B447" t="s">
        <v>1280</v>
      </c>
      <c r="C447" s="3">
        <v>45408</v>
      </c>
      <c r="D447" t="s">
        <v>147</v>
      </c>
      <c r="E447" t="s">
        <v>46</v>
      </c>
      <c r="F447">
        <v>3</v>
      </c>
      <c r="G447" t="str">
        <f t="shared" si="26"/>
        <v>Regular Order</v>
      </c>
      <c r="H447">
        <v>300</v>
      </c>
      <c r="I447">
        <v>900</v>
      </c>
      <c r="J447" t="s">
        <v>102</v>
      </c>
      <c r="K447" t="s">
        <v>55</v>
      </c>
      <c r="L447" t="s">
        <v>1281</v>
      </c>
    </row>
    <row r="448" spans="1:12" x14ac:dyDescent="0.25">
      <c r="A448" t="s">
        <v>1292</v>
      </c>
      <c r="B448" t="s">
        <v>460</v>
      </c>
      <c r="C448" s="3">
        <v>45630</v>
      </c>
      <c r="D448" t="s">
        <v>147</v>
      </c>
      <c r="E448" t="s">
        <v>46</v>
      </c>
      <c r="F448">
        <v>4</v>
      </c>
      <c r="G448" t="str">
        <f t="shared" si="26"/>
        <v>Regular Order</v>
      </c>
      <c r="H448">
        <v>288.39999999999998</v>
      </c>
      <c r="I448">
        <v>1153.5999999999999</v>
      </c>
      <c r="J448" t="s">
        <v>102</v>
      </c>
      <c r="K448" t="s">
        <v>51</v>
      </c>
      <c r="L448" t="s">
        <v>462</v>
      </c>
    </row>
    <row r="449" spans="1:12" x14ac:dyDescent="0.25">
      <c r="A449" t="s">
        <v>1294</v>
      </c>
      <c r="B449" t="s">
        <v>260</v>
      </c>
      <c r="C449" s="3">
        <v>45611</v>
      </c>
      <c r="D449" t="s">
        <v>22</v>
      </c>
      <c r="E449" t="s">
        <v>23</v>
      </c>
      <c r="F449">
        <v>5</v>
      </c>
      <c r="G449" t="str">
        <f t="shared" si="26"/>
        <v>Regular Order</v>
      </c>
      <c r="H449">
        <v>147.86000000000001</v>
      </c>
      <c r="I449">
        <v>739.3</v>
      </c>
      <c r="J449" t="s">
        <v>30</v>
      </c>
      <c r="L449" t="s">
        <v>263</v>
      </c>
    </row>
    <row r="450" spans="1:12" x14ac:dyDescent="0.25">
      <c r="A450" t="s">
        <v>1295</v>
      </c>
      <c r="B450" t="s">
        <v>1189</v>
      </c>
      <c r="C450" s="3">
        <v>45418</v>
      </c>
      <c r="D450" t="s">
        <v>87</v>
      </c>
      <c r="E450" t="s">
        <v>15</v>
      </c>
      <c r="F450">
        <v>7</v>
      </c>
      <c r="G450" t="str">
        <f t="shared" si="26"/>
        <v>Regular Order</v>
      </c>
      <c r="H450">
        <v>49.67</v>
      </c>
      <c r="I450">
        <v>347.69</v>
      </c>
      <c r="K450" t="s">
        <v>51</v>
      </c>
      <c r="L450" t="s">
        <v>1296</v>
      </c>
    </row>
    <row r="451" spans="1:12" x14ac:dyDescent="0.25">
      <c r="A451" t="s">
        <v>1297</v>
      </c>
      <c r="B451" t="s">
        <v>72</v>
      </c>
      <c r="C451" s="3">
        <v>45538</v>
      </c>
      <c r="D451" t="s">
        <v>41</v>
      </c>
      <c r="E451" t="s">
        <v>15</v>
      </c>
      <c r="F451">
        <v>6</v>
      </c>
      <c r="G451" t="str">
        <f t="shared" ref="G451:G501" si="28">IF(F451&gt; 100, "Bulk Order", "Regular Order")</f>
        <v>Regular Order</v>
      </c>
      <c r="H451">
        <v>78.430000000000007</v>
      </c>
      <c r="I451">
        <f>F451*H451</f>
        <v>470.58000000000004</v>
      </c>
      <c r="J451" t="s">
        <v>35</v>
      </c>
      <c r="K451" t="s">
        <v>24</v>
      </c>
      <c r="L451" t="s">
        <v>74</v>
      </c>
    </row>
    <row r="452" spans="1:12" x14ac:dyDescent="0.25">
      <c r="A452" t="s">
        <v>1298</v>
      </c>
      <c r="B452" t="s">
        <v>1176</v>
      </c>
      <c r="C452" s="3">
        <v>45044</v>
      </c>
      <c r="D452" t="s">
        <v>101</v>
      </c>
      <c r="E452" t="s">
        <v>15</v>
      </c>
      <c r="F452">
        <v>5</v>
      </c>
      <c r="G452" t="str">
        <f t="shared" si="28"/>
        <v>Regular Order</v>
      </c>
      <c r="H452">
        <v>25.96</v>
      </c>
      <c r="I452">
        <v>129.80000000000001</v>
      </c>
      <c r="J452" t="s">
        <v>30</v>
      </c>
      <c r="K452" t="s">
        <v>24</v>
      </c>
      <c r="L452" t="s">
        <v>1177</v>
      </c>
    </row>
    <row r="453" spans="1:12" x14ac:dyDescent="0.25">
      <c r="A453" t="s">
        <v>1300</v>
      </c>
      <c r="B453" t="s">
        <v>505</v>
      </c>
      <c r="C453" s="3">
        <v>45470</v>
      </c>
      <c r="D453" t="s">
        <v>41</v>
      </c>
      <c r="E453" t="s">
        <v>15</v>
      </c>
      <c r="F453">
        <v>6</v>
      </c>
      <c r="G453" t="str">
        <f t="shared" si="28"/>
        <v>Regular Order</v>
      </c>
      <c r="H453">
        <v>72.150000000000006</v>
      </c>
      <c r="I453">
        <v>432.9</v>
      </c>
      <c r="J453" t="s">
        <v>16</v>
      </c>
      <c r="K453" t="s">
        <v>51</v>
      </c>
      <c r="L453" t="s">
        <v>508</v>
      </c>
    </row>
    <row r="454" spans="1:12" x14ac:dyDescent="0.25">
      <c r="A454" t="s">
        <v>1302</v>
      </c>
      <c r="B454" t="s">
        <v>803</v>
      </c>
      <c r="C454" s="3">
        <v>45614</v>
      </c>
      <c r="D454" t="s">
        <v>22</v>
      </c>
      <c r="E454" t="s">
        <v>23</v>
      </c>
      <c r="F454">
        <v>4</v>
      </c>
      <c r="G454" t="str">
        <f t="shared" si="28"/>
        <v>Regular Order</v>
      </c>
      <c r="H454">
        <v>137.38</v>
      </c>
      <c r="I454">
        <v>549.52</v>
      </c>
      <c r="J454" t="s">
        <v>16</v>
      </c>
      <c r="K454" t="s">
        <v>24</v>
      </c>
      <c r="L454" t="s">
        <v>805</v>
      </c>
    </row>
    <row r="455" spans="1:12" x14ac:dyDescent="0.25">
      <c r="A455" t="s">
        <v>1303</v>
      </c>
      <c r="B455" t="s">
        <v>1304</v>
      </c>
      <c r="D455" t="s">
        <v>22</v>
      </c>
      <c r="E455" t="s">
        <v>23</v>
      </c>
      <c r="F455">
        <v>8</v>
      </c>
      <c r="G455" t="str">
        <f t="shared" si="28"/>
        <v>Regular Order</v>
      </c>
      <c r="H455">
        <v>135.54</v>
      </c>
      <c r="I455">
        <v>1084.32</v>
      </c>
      <c r="J455" t="s">
        <v>16</v>
      </c>
      <c r="K455" t="s">
        <v>51</v>
      </c>
      <c r="L455" t="s">
        <v>1305</v>
      </c>
    </row>
    <row r="456" spans="1:12" x14ac:dyDescent="0.25">
      <c r="A456" t="s">
        <v>1306</v>
      </c>
      <c r="B456" t="s">
        <v>1101</v>
      </c>
      <c r="C456" s="3">
        <v>45060</v>
      </c>
      <c r="D456" t="s">
        <v>41</v>
      </c>
      <c r="E456" t="s">
        <v>15</v>
      </c>
      <c r="F456">
        <v>5</v>
      </c>
      <c r="G456" t="str">
        <f t="shared" si="28"/>
        <v>Regular Order</v>
      </c>
      <c r="H456">
        <v>85.61</v>
      </c>
      <c r="I456">
        <v>428.05</v>
      </c>
      <c r="J456" t="s">
        <v>16</v>
      </c>
      <c r="K456" t="s">
        <v>17</v>
      </c>
      <c r="L456" t="s">
        <v>1103</v>
      </c>
    </row>
    <row r="457" spans="1:12" x14ac:dyDescent="0.25">
      <c r="A457" t="s">
        <v>1308</v>
      </c>
      <c r="B457" t="s">
        <v>1309</v>
      </c>
      <c r="C457" s="3">
        <v>45049</v>
      </c>
      <c r="D457" t="s">
        <v>1396</v>
      </c>
      <c r="E457" t="s">
        <v>185</v>
      </c>
      <c r="F457">
        <v>8</v>
      </c>
      <c r="G457" t="str">
        <f t="shared" si="28"/>
        <v>Regular Order</v>
      </c>
      <c r="H457">
        <v>45.62</v>
      </c>
      <c r="I457">
        <f t="shared" ref="I457:I460" si="29">F457*H457</f>
        <v>364.96</v>
      </c>
      <c r="J457" t="s">
        <v>35</v>
      </c>
      <c r="K457" t="s">
        <v>51</v>
      </c>
      <c r="L457" t="s">
        <v>1310</v>
      </c>
    </row>
    <row r="458" spans="1:12" x14ac:dyDescent="0.25">
      <c r="A458" t="s">
        <v>1311</v>
      </c>
      <c r="B458" t="s">
        <v>1053</v>
      </c>
      <c r="C458" s="3">
        <v>45478</v>
      </c>
      <c r="D458" t="s">
        <v>29</v>
      </c>
      <c r="E458" t="s">
        <v>46</v>
      </c>
      <c r="F458">
        <v>9</v>
      </c>
      <c r="G458" t="str">
        <f t="shared" si="28"/>
        <v>Regular Order</v>
      </c>
      <c r="H458">
        <v>823.09</v>
      </c>
      <c r="I458">
        <f t="shared" si="29"/>
        <v>7407.81</v>
      </c>
      <c r="J458" t="s">
        <v>30</v>
      </c>
      <c r="K458" t="s">
        <v>55</v>
      </c>
      <c r="L458" t="s">
        <v>1054</v>
      </c>
    </row>
    <row r="459" spans="1:12" x14ac:dyDescent="0.25">
      <c r="A459" t="s">
        <v>1313</v>
      </c>
      <c r="B459" t="s">
        <v>323</v>
      </c>
      <c r="C459" s="3">
        <v>45634</v>
      </c>
      <c r="D459" t="s">
        <v>41</v>
      </c>
      <c r="E459" t="s">
        <v>15</v>
      </c>
      <c r="F459">
        <v>5</v>
      </c>
      <c r="G459" t="str">
        <f t="shared" si="28"/>
        <v>Regular Order</v>
      </c>
      <c r="H459">
        <v>87.25</v>
      </c>
      <c r="I459">
        <f t="shared" si="29"/>
        <v>436.25</v>
      </c>
      <c r="J459" t="s">
        <v>30</v>
      </c>
      <c r="K459" t="s">
        <v>24</v>
      </c>
      <c r="L459" t="s">
        <v>325</v>
      </c>
    </row>
    <row r="460" spans="1:12" x14ac:dyDescent="0.25">
      <c r="A460" t="s">
        <v>1315</v>
      </c>
      <c r="B460" t="s">
        <v>256</v>
      </c>
      <c r="C460" s="3">
        <v>45074</v>
      </c>
      <c r="D460" t="s">
        <v>87</v>
      </c>
      <c r="E460" t="s">
        <v>15</v>
      </c>
      <c r="F460">
        <v>1</v>
      </c>
      <c r="G460" t="str">
        <f t="shared" si="28"/>
        <v>Regular Order</v>
      </c>
      <c r="H460">
        <f>IF(H453&lt;=0, AVERAGEIF($D:$D,D453,$H:$H),H453)</f>
        <v>72.150000000000006</v>
      </c>
      <c r="I460">
        <f t="shared" si="29"/>
        <v>72.150000000000006</v>
      </c>
      <c r="J460" t="s">
        <v>16</v>
      </c>
      <c r="K460" t="s">
        <v>55</v>
      </c>
      <c r="L460" t="s">
        <v>258</v>
      </c>
    </row>
    <row r="461" spans="1:12" x14ac:dyDescent="0.25">
      <c r="A461" t="s">
        <v>1316</v>
      </c>
      <c r="B461" t="s">
        <v>158</v>
      </c>
      <c r="C461" s="3">
        <v>44948</v>
      </c>
      <c r="D461" t="s">
        <v>41</v>
      </c>
      <c r="E461" t="s">
        <v>15</v>
      </c>
      <c r="F461">
        <v>6</v>
      </c>
      <c r="G461" t="str">
        <f t="shared" si="28"/>
        <v>Regular Order</v>
      </c>
      <c r="H461">
        <v>72.02</v>
      </c>
      <c r="I461">
        <v>432.12</v>
      </c>
      <c r="J461" t="s">
        <v>35</v>
      </c>
      <c r="K461" t="s">
        <v>24</v>
      </c>
      <c r="L461" t="s">
        <v>160</v>
      </c>
    </row>
    <row r="462" spans="1:12" x14ac:dyDescent="0.25">
      <c r="A462" t="s">
        <v>1317</v>
      </c>
      <c r="B462" t="s">
        <v>1318</v>
      </c>
      <c r="C462" s="3">
        <v>45646</v>
      </c>
      <c r="D462" t="s">
        <v>29</v>
      </c>
      <c r="E462" t="s">
        <v>46</v>
      </c>
      <c r="F462">
        <v>6</v>
      </c>
      <c r="G462" t="str">
        <f t="shared" si="28"/>
        <v>Regular Order</v>
      </c>
      <c r="H462">
        <v>914.34</v>
      </c>
      <c r="I462">
        <v>5486.04</v>
      </c>
      <c r="J462" t="s">
        <v>35</v>
      </c>
      <c r="K462" t="s">
        <v>17</v>
      </c>
      <c r="L462" t="s">
        <v>1319</v>
      </c>
    </row>
    <row r="463" spans="1:12" x14ac:dyDescent="0.25">
      <c r="A463" t="s">
        <v>1320</v>
      </c>
      <c r="B463" t="s">
        <v>857</v>
      </c>
      <c r="C463" s="3">
        <v>44940</v>
      </c>
      <c r="D463" t="s">
        <v>87</v>
      </c>
      <c r="E463" t="s">
        <v>15</v>
      </c>
      <c r="F463">
        <v>999</v>
      </c>
      <c r="G463" t="str">
        <f t="shared" si="28"/>
        <v>Bulk Order</v>
      </c>
      <c r="H463">
        <v>47.36</v>
      </c>
      <c r="I463">
        <v>47312.639999999999</v>
      </c>
      <c r="J463" t="s">
        <v>16</v>
      </c>
      <c r="K463" t="s">
        <v>69</v>
      </c>
      <c r="L463" t="s">
        <v>1271</v>
      </c>
    </row>
    <row r="464" spans="1:12" x14ac:dyDescent="0.25">
      <c r="A464" t="s">
        <v>1322</v>
      </c>
      <c r="B464" t="s">
        <v>1163</v>
      </c>
      <c r="C464" s="3">
        <v>45209</v>
      </c>
      <c r="D464" t="s">
        <v>87</v>
      </c>
      <c r="E464" t="s">
        <v>15</v>
      </c>
      <c r="F464">
        <v>4</v>
      </c>
      <c r="G464" t="str">
        <f t="shared" si="28"/>
        <v>Regular Order</v>
      </c>
      <c r="H464">
        <v>50.52</v>
      </c>
      <c r="I464">
        <v>202.08</v>
      </c>
      <c r="J464" t="s">
        <v>16</v>
      </c>
      <c r="L464" t="s">
        <v>1164</v>
      </c>
    </row>
    <row r="465" spans="1:12" x14ac:dyDescent="0.25">
      <c r="A465" t="s">
        <v>1325</v>
      </c>
      <c r="B465" t="s">
        <v>887</v>
      </c>
      <c r="C465" s="3">
        <v>45015</v>
      </c>
      <c r="D465" t="s">
        <v>29</v>
      </c>
      <c r="E465" t="s">
        <v>46</v>
      </c>
      <c r="F465">
        <v>9</v>
      </c>
      <c r="G465" t="str">
        <f t="shared" si="28"/>
        <v>Regular Order</v>
      </c>
      <c r="H465">
        <v>860.64</v>
      </c>
      <c r="I465">
        <v>7745.76</v>
      </c>
      <c r="J465" t="s">
        <v>16</v>
      </c>
      <c r="K465" t="s">
        <v>51</v>
      </c>
      <c r="L465" t="s">
        <v>888</v>
      </c>
    </row>
    <row r="466" spans="1:12" x14ac:dyDescent="0.25">
      <c r="A466" t="s">
        <v>1326</v>
      </c>
      <c r="B466" t="s">
        <v>800</v>
      </c>
      <c r="C466" s="3">
        <v>45492</v>
      </c>
      <c r="D466" t="s">
        <v>78</v>
      </c>
      <c r="E466" t="s">
        <v>46</v>
      </c>
      <c r="F466">
        <v>4</v>
      </c>
      <c r="G466" t="str">
        <f t="shared" si="28"/>
        <v>Regular Order</v>
      </c>
      <c r="H466">
        <v>89.13</v>
      </c>
      <c r="I466">
        <f>F466*H466</f>
        <v>356.52</v>
      </c>
      <c r="J466" t="s">
        <v>102</v>
      </c>
      <c r="K466" t="s">
        <v>24</v>
      </c>
      <c r="L466" t="s">
        <v>1328</v>
      </c>
    </row>
    <row r="467" spans="1:12" x14ac:dyDescent="0.25">
      <c r="A467" t="s">
        <v>1329</v>
      </c>
      <c r="B467" t="s">
        <v>1330</v>
      </c>
      <c r="C467" s="3">
        <v>45646</v>
      </c>
      <c r="D467" t="s">
        <v>101</v>
      </c>
      <c r="E467" t="s">
        <v>15</v>
      </c>
      <c r="F467">
        <v>9</v>
      </c>
      <c r="G467" t="str">
        <f t="shared" si="28"/>
        <v>Regular Order</v>
      </c>
      <c r="J467" t="s">
        <v>35</v>
      </c>
      <c r="K467" t="s">
        <v>51</v>
      </c>
      <c r="L467" t="s">
        <v>1331</v>
      </c>
    </row>
    <row r="468" spans="1:12" x14ac:dyDescent="0.25">
      <c r="A468" t="s">
        <v>1332</v>
      </c>
      <c r="B468" t="s">
        <v>1053</v>
      </c>
      <c r="C468" s="3">
        <v>44957</v>
      </c>
      <c r="D468" t="s">
        <v>22</v>
      </c>
      <c r="E468" t="s">
        <v>23</v>
      </c>
      <c r="F468">
        <v>3</v>
      </c>
      <c r="G468" t="str">
        <f t="shared" si="28"/>
        <v>Regular Order</v>
      </c>
      <c r="H468">
        <v>147.79</v>
      </c>
      <c r="I468">
        <v>443.37</v>
      </c>
      <c r="J468" t="s">
        <v>30</v>
      </c>
      <c r="K468" t="s">
        <v>17</v>
      </c>
      <c r="L468" t="s">
        <v>1054</v>
      </c>
    </row>
    <row r="469" spans="1:12" x14ac:dyDescent="0.25">
      <c r="A469" t="s">
        <v>1334</v>
      </c>
      <c r="B469" t="s">
        <v>1399</v>
      </c>
      <c r="C469" s="3">
        <v>45287</v>
      </c>
      <c r="D469" t="s">
        <v>1396</v>
      </c>
      <c r="E469" t="s">
        <v>185</v>
      </c>
      <c r="F469">
        <v>5</v>
      </c>
      <c r="G469" t="str">
        <f t="shared" si="28"/>
        <v>Regular Order</v>
      </c>
      <c r="J469" t="s">
        <v>35</v>
      </c>
      <c r="K469" t="s">
        <v>55</v>
      </c>
    </row>
    <row r="470" spans="1:12" x14ac:dyDescent="0.25">
      <c r="A470" t="s">
        <v>1335</v>
      </c>
      <c r="B470" t="s">
        <v>44</v>
      </c>
      <c r="C470" s="3">
        <v>45531</v>
      </c>
      <c r="D470" t="s">
        <v>147</v>
      </c>
      <c r="E470" t="s">
        <v>46</v>
      </c>
      <c r="F470">
        <v>7</v>
      </c>
      <c r="G470" t="str">
        <f t="shared" si="28"/>
        <v>Regular Order</v>
      </c>
      <c r="H470">
        <v>313.89</v>
      </c>
      <c r="I470">
        <v>2197.23</v>
      </c>
      <c r="J470" t="s">
        <v>102</v>
      </c>
      <c r="K470" t="s">
        <v>55</v>
      </c>
      <c r="L470" t="s">
        <v>47</v>
      </c>
    </row>
    <row r="471" spans="1:12" x14ac:dyDescent="0.25">
      <c r="A471" t="s">
        <v>1337</v>
      </c>
      <c r="B471" t="s">
        <v>414</v>
      </c>
      <c r="C471" s="3">
        <v>45289</v>
      </c>
      <c r="D471" t="s">
        <v>22</v>
      </c>
      <c r="E471" t="s">
        <v>23</v>
      </c>
      <c r="F471">
        <v>2</v>
      </c>
      <c r="G471" t="str">
        <f t="shared" si="28"/>
        <v>Regular Order</v>
      </c>
      <c r="H471">
        <v>138.81</v>
      </c>
      <c r="I471">
        <v>277.62</v>
      </c>
      <c r="J471" t="s">
        <v>16</v>
      </c>
      <c r="K471" t="s">
        <v>24</v>
      </c>
      <c r="L471" t="s">
        <v>416</v>
      </c>
    </row>
    <row r="472" spans="1:12" x14ac:dyDescent="0.25">
      <c r="A472" t="s">
        <v>1338</v>
      </c>
      <c r="B472" t="s">
        <v>1072</v>
      </c>
      <c r="D472" t="s">
        <v>101</v>
      </c>
      <c r="E472" t="s">
        <v>15</v>
      </c>
      <c r="F472">
        <v>2</v>
      </c>
      <c r="G472" t="str">
        <f t="shared" si="28"/>
        <v>Regular Order</v>
      </c>
      <c r="H472">
        <v>27.01</v>
      </c>
      <c r="I472">
        <v>54.02</v>
      </c>
      <c r="J472" t="s">
        <v>16</v>
      </c>
      <c r="K472" t="s">
        <v>55</v>
      </c>
      <c r="L472" t="s">
        <v>1074</v>
      </c>
    </row>
    <row r="473" spans="1:12" x14ac:dyDescent="0.25">
      <c r="A473" t="s">
        <v>1339</v>
      </c>
      <c r="B473" t="s">
        <v>1340</v>
      </c>
      <c r="C473" s="3">
        <v>45509</v>
      </c>
      <c r="D473" t="s">
        <v>41</v>
      </c>
      <c r="E473" t="s">
        <v>15</v>
      </c>
      <c r="F473">
        <v>7</v>
      </c>
      <c r="G473" t="str">
        <f t="shared" si="28"/>
        <v>Regular Order</v>
      </c>
      <c r="H473">
        <v>72.569999999999993</v>
      </c>
      <c r="I473">
        <v>507.99</v>
      </c>
      <c r="J473" t="s">
        <v>102</v>
      </c>
      <c r="K473" t="s">
        <v>24</v>
      </c>
      <c r="L473" t="s">
        <v>1341</v>
      </c>
    </row>
    <row r="474" spans="1:12" x14ac:dyDescent="0.25">
      <c r="A474" t="s">
        <v>1342</v>
      </c>
      <c r="B474" t="s">
        <v>717</v>
      </c>
      <c r="C474" s="3">
        <v>45631</v>
      </c>
      <c r="D474" t="s">
        <v>101</v>
      </c>
      <c r="E474" t="s">
        <v>15</v>
      </c>
      <c r="F474">
        <v>7</v>
      </c>
      <c r="G474" t="str">
        <f t="shared" si="28"/>
        <v>Regular Order</v>
      </c>
      <c r="H474">
        <f ca="1">IF(H467&lt;=0, AVERAGEIF($D:$D,D467,$H:$H),H467)</f>
        <v>33.641712716850449</v>
      </c>
      <c r="I474">
        <v>0</v>
      </c>
      <c r="J474" t="s">
        <v>102</v>
      </c>
      <c r="K474" t="s">
        <v>24</v>
      </c>
      <c r="L474" t="s">
        <v>719</v>
      </c>
    </row>
    <row r="475" spans="1:12" x14ac:dyDescent="0.25">
      <c r="A475" t="s">
        <v>1343</v>
      </c>
      <c r="B475" t="s">
        <v>638</v>
      </c>
      <c r="C475" s="3">
        <v>45418</v>
      </c>
      <c r="D475" t="s">
        <v>41</v>
      </c>
      <c r="E475" t="s">
        <v>15</v>
      </c>
      <c r="F475">
        <v>5</v>
      </c>
      <c r="G475" t="str">
        <f t="shared" si="28"/>
        <v>Regular Order</v>
      </c>
      <c r="H475">
        <v>78.28</v>
      </c>
      <c r="I475">
        <v>391.4</v>
      </c>
      <c r="J475" t="s">
        <v>102</v>
      </c>
      <c r="K475" t="s">
        <v>24</v>
      </c>
      <c r="L475" t="s">
        <v>1344</v>
      </c>
    </row>
    <row r="476" spans="1:12" x14ac:dyDescent="0.25">
      <c r="A476" t="s">
        <v>1345</v>
      </c>
      <c r="B476" t="s">
        <v>1346</v>
      </c>
      <c r="C476" s="3">
        <v>45029</v>
      </c>
      <c r="D476" t="s">
        <v>147</v>
      </c>
      <c r="E476" t="s">
        <v>46</v>
      </c>
      <c r="F476">
        <v>3</v>
      </c>
      <c r="G476" t="str">
        <f t="shared" si="28"/>
        <v>Regular Order</v>
      </c>
      <c r="H476">
        <v>310.83</v>
      </c>
      <c r="I476">
        <v>932.49</v>
      </c>
      <c r="J476" t="s">
        <v>35</v>
      </c>
      <c r="K476" t="s">
        <v>69</v>
      </c>
      <c r="L476" t="s">
        <v>1347</v>
      </c>
    </row>
    <row r="477" spans="1:12" x14ac:dyDescent="0.25">
      <c r="A477" t="s">
        <v>1348</v>
      </c>
      <c r="B477" t="s">
        <v>983</v>
      </c>
      <c r="C477" s="3">
        <v>45343</v>
      </c>
      <c r="D477" t="s">
        <v>78</v>
      </c>
      <c r="E477" t="s">
        <v>46</v>
      </c>
      <c r="F477">
        <v>6</v>
      </c>
      <c r="G477" t="str">
        <f t="shared" si="28"/>
        <v>Regular Order</v>
      </c>
      <c r="H477">
        <v>91.93</v>
      </c>
      <c r="I477">
        <v>551.58000000000004</v>
      </c>
      <c r="J477" t="s">
        <v>35</v>
      </c>
      <c r="K477" t="s">
        <v>24</v>
      </c>
      <c r="L477" t="s">
        <v>985</v>
      </c>
    </row>
    <row r="478" spans="1:12" x14ac:dyDescent="0.25">
      <c r="A478" t="s">
        <v>1349</v>
      </c>
      <c r="B478" t="s">
        <v>1350</v>
      </c>
      <c r="C478" s="3">
        <v>45005</v>
      </c>
      <c r="D478" t="s">
        <v>22</v>
      </c>
      <c r="E478" t="s">
        <v>23</v>
      </c>
      <c r="F478">
        <v>8</v>
      </c>
      <c r="G478" t="str">
        <f t="shared" si="28"/>
        <v>Regular Order</v>
      </c>
      <c r="H478">
        <v>140.5</v>
      </c>
      <c r="I478">
        <v>1124</v>
      </c>
      <c r="J478" t="s">
        <v>30</v>
      </c>
      <c r="K478" t="s">
        <v>69</v>
      </c>
      <c r="L478" t="s">
        <v>1352</v>
      </c>
    </row>
    <row r="479" spans="1:12" x14ac:dyDescent="0.25">
      <c r="A479" t="s">
        <v>1353</v>
      </c>
      <c r="B479" t="s">
        <v>519</v>
      </c>
      <c r="C479" s="3">
        <v>45096</v>
      </c>
      <c r="D479" t="s">
        <v>1396</v>
      </c>
      <c r="E479" t="s">
        <v>185</v>
      </c>
      <c r="F479">
        <v>8</v>
      </c>
      <c r="G479" t="str">
        <f t="shared" si="28"/>
        <v>Regular Order</v>
      </c>
      <c r="H479">
        <v>46.27</v>
      </c>
      <c r="I479">
        <v>370.16</v>
      </c>
      <c r="J479" t="s">
        <v>102</v>
      </c>
      <c r="K479" t="s">
        <v>55</v>
      </c>
      <c r="L479" t="s">
        <v>521</v>
      </c>
    </row>
    <row r="480" spans="1:12" x14ac:dyDescent="0.25">
      <c r="A480" t="s">
        <v>1355</v>
      </c>
      <c r="B480" t="s">
        <v>297</v>
      </c>
      <c r="C480" s="3">
        <v>45098</v>
      </c>
      <c r="D480" t="s">
        <v>22</v>
      </c>
      <c r="E480" t="s">
        <v>23</v>
      </c>
      <c r="F480">
        <v>7</v>
      </c>
      <c r="G480" t="str">
        <f t="shared" si="28"/>
        <v>Regular Order</v>
      </c>
      <c r="J480" t="s">
        <v>35</v>
      </c>
      <c r="K480" t="s">
        <v>17</v>
      </c>
      <c r="L480" t="s">
        <v>299</v>
      </c>
    </row>
    <row r="481" spans="1:12" x14ac:dyDescent="0.25">
      <c r="A481" t="s">
        <v>1356</v>
      </c>
      <c r="B481" t="s">
        <v>1357</v>
      </c>
      <c r="C481" s="3">
        <v>44961</v>
      </c>
      <c r="D481" t="s">
        <v>1396</v>
      </c>
      <c r="E481" t="s">
        <v>185</v>
      </c>
      <c r="F481">
        <v>2</v>
      </c>
      <c r="G481" t="str">
        <f t="shared" si="28"/>
        <v>Regular Order</v>
      </c>
      <c r="H481">
        <v>51.27</v>
      </c>
      <c r="I481">
        <v>102.54</v>
      </c>
      <c r="J481" t="s">
        <v>35</v>
      </c>
      <c r="K481" t="s">
        <v>55</v>
      </c>
      <c r="L481" t="s">
        <v>1359</v>
      </c>
    </row>
    <row r="482" spans="1:12" x14ac:dyDescent="0.25">
      <c r="A482" t="s">
        <v>1360</v>
      </c>
      <c r="B482" t="s">
        <v>505</v>
      </c>
      <c r="C482" s="3">
        <v>45629</v>
      </c>
      <c r="D482" t="s">
        <v>1396</v>
      </c>
      <c r="E482" t="s">
        <v>185</v>
      </c>
      <c r="F482">
        <v>2</v>
      </c>
      <c r="G482" t="str">
        <f t="shared" si="28"/>
        <v>Regular Order</v>
      </c>
      <c r="H482">
        <v>53.66</v>
      </c>
      <c r="I482">
        <f>F482*H482</f>
        <v>107.32</v>
      </c>
      <c r="J482" t="s">
        <v>35</v>
      </c>
      <c r="K482" t="s">
        <v>17</v>
      </c>
      <c r="L482" t="s">
        <v>508</v>
      </c>
    </row>
    <row r="483" spans="1:12" x14ac:dyDescent="0.25">
      <c r="A483" t="s">
        <v>1361</v>
      </c>
      <c r="B483" t="s">
        <v>212</v>
      </c>
      <c r="C483" s="3">
        <v>45622</v>
      </c>
      <c r="D483" t="s">
        <v>41</v>
      </c>
      <c r="E483" t="s">
        <v>15</v>
      </c>
      <c r="F483">
        <v>9</v>
      </c>
      <c r="G483" t="str">
        <f t="shared" si="28"/>
        <v>Regular Order</v>
      </c>
      <c r="H483">
        <v>77.45</v>
      </c>
      <c r="I483">
        <v>697.05</v>
      </c>
      <c r="J483" t="s">
        <v>102</v>
      </c>
      <c r="K483" t="s">
        <v>69</v>
      </c>
      <c r="L483" t="s">
        <v>215</v>
      </c>
    </row>
    <row r="484" spans="1:12" x14ac:dyDescent="0.25">
      <c r="A484" t="s">
        <v>1363</v>
      </c>
      <c r="B484" t="s">
        <v>532</v>
      </c>
      <c r="C484" s="3">
        <v>45639</v>
      </c>
      <c r="D484" t="s">
        <v>101</v>
      </c>
      <c r="E484" t="s">
        <v>15</v>
      </c>
      <c r="F484">
        <v>9</v>
      </c>
      <c r="G484" t="str">
        <f t="shared" si="28"/>
        <v>Regular Order</v>
      </c>
      <c r="H484">
        <v>27.01</v>
      </c>
      <c r="I484">
        <v>243.09</v>
      </c>
      <c r="J484" t="s">
        <v>35</v>
      </c>
      <c r="K484" t="s">
        <v>24</v>
      </c>
      <c r="L484" t="s">
        <v>533</v>
      </c>
    </row>
    <row r="485" spans="1:12" x14ac:dyDescent="0.25">
      <c r="A485" t="s">
        <v>1365</v>
      </c>
      <c r="B485" t="s">
        <v>751</v>
      </c>
      <c r="C485" s="3">
        <v>44996</v>
      </c>
      <c r="D485" t="s">
        <v>29</v>
      </c>
      <c r="E485" t="s">
        <v>46</v>
      </c>
      <c r="F485">
        <v>8</v>
      </c>
      <c r="G485" t="str">
        <f t="shared" si="28"/>
        <v>Regular Order</v>
      </c>
      <c r="H485">
        <f>IF(H478&lt;=0, AVERAGEIF($D:$D,D478,$H:$H),H478)</f>
        <v>140.5</v>
      </c>
      <c r="I485">
        <f>F485*H485</f>
        <v>1124</v>
      </c>
      <c r="J485" t="s">
        <v>35</v>
      </c>
      <c r="K485" t="s">
        <v>51</v>
      </c>
      <c r="L485" t="s">
        <v>753</v>
      </c>
    </row>
    <row r="486" spans="1:12" x14ac:dyDescent="0.25">
      <c r="A486" t="s">
        <v>1367</v>
      </c>
      <c r="B486" t="s">
        <v>532</v>
      </c>
      <c r="C486" s="3">
        <v>45127</v>
      </c>
      <c r="D486" t="s">
        <v>78</v>
      </c>
      <c r="E486" t="s">
        <v>46</v>
      </c>
      <c r="F486">
        <v>5</v>
      </c>
      <c r="G486" t="str">
        <f t="shared" si="28"/>
        <v>Regular Order</v>
      </c>
      <c r="H486">
        <v>94.86</v>
      </c>
      <c r="I486">
        <v>474.3</v>
      </c>
      <c r="J486" t="s">
        <v>30</v>
      </c>
      <c r="K486" t="s">
        <v>51</v>
      </c>
      <c r="L486" t="s">
        <v>533</v>
      </c>
    </row>
    <row r="487" spans="1:12" x14ac:dyDescent="0.25">
      <c r="A487" t="s">
        <v>1368</v>
      </c>
      <c r="B487" t="s">
        <v>884</v>
      </c>
      <c r="C487" s="3">
        <v>45051</v>
      </c>
      <c r="D487" t="s">
        <v>22</v>
      </c>
      <c r="E487" t="s">
        <v>23</v>
      </c>
      <c r="F487">
        <v>4</v>
      </c>
      <c r="G487" t="str">
        <f t="shared" si="28"/>
        <v>Regular Order</v>
      </c>
      <c r="J487" t="s">
        <v>30</v>
      </c>
      <c r="K487" t="s">
        <v>24</v>
      </c>
      <c r="L487" t="s">
        <v>885</v>
      </c>
    </row>
    <row r="488" spans="1:12" x14ac:dyDescent="0.25">
      <c r="A488" t="s">
        <v>1370</v>
      </c>
      <c r="B488" t="s">
        <v>233</v>
      </c>
      <c r="C488" s="3">
        <v>45227</v>
      </c>
      <c r="D488" t="s">
        <v>78</v>
      </c>
      <c r="E488" t="s">
        <v>46</v>
      </c>
      <c r="F488">
        <v>6</v>
      </c>
      <c r="G488" t="str">
        <f t="shared" si="28"/>
        <v>Regular Order</v>
      </c>
      <c r="H488">
        <v>89.34</v>
      </c>
      <c r="I488">
        <f>F488*H488</f>
        <v>536.04</v>
      </c>
      <c r="J488" t="s">
        <v>16</v>
      </c>
      <c r="K488" t="s">
        <v>69</v>
      </c>
      <c r="L488" t="s">
        <v>235</v>
      </c>
    </row>
    <row r="489" spans="1:12" x14ac:dyDescent="0.25">
      <c r="A489" t="s">
        <v>1372</v>
      </c>
      <c r="B489" t="s">
        <v>319</v>
      </c>
      <c r="C489" s="3">
        <v>45450</v>
      </c>
      <c r="D489" t="s">
        <v>41</v>
      </c>
      <c r="E489" t="s">
        <v>15</v>
      </c>
      <c r="F489">
        <v>7</v>
      </c>
      <c r="G489" t="str">
        <f t="shared" si="28"/>
        <v>Regular Order</v>
      </c>
      <c r="H489">
        <v>72.459999999999994</v>
      </c>
      <c r="I489">
        <v>507.22</v>
      </c>
      <c r="J489" t="s">
        <v>16</v>
      </c>
      <c r="K489" t="s">
        <v>51</v>
      </c>
      <c r="L489" t="s">
        <v>321</v>
      </c>
    </row>
    <row r="490" spans="1:12" x14ac:dyDescent="0.25">
      <c r="A490" t="s">
        <v>1374</v>
      </c>
      <c r="B490" t="s">
        <v>237</v>
      </c>
      <c r="C490" s="3">
        <v>45201</v>
      </c>
      <c r="D490" t="s">
        <v>147</v>
      </c>
      <c r="E490" t="s">
        <v>46</v>
      </c>
      <c r="F490">
        <v>4</v>
      </c>
      <c r="G490" t="str">
        <f t="shared" si="28"/>
        <v>Regular Order</v>
      </c>
      <c r="H490">
        <f>IF(H483&lt;=0, AVERAGEIF($D:$D,D483,$H:$H),H483)</f>
        <v>77.45</v>
      </c>
      <c r="I490">
        <f>F490*H490</f>
        <v>309.8</v>
      </c>
      <c r="J490" t="s">
        <v>30</v>
      </c>
      <c r="K490" t="s">
        <v>51</v>
      </c>
      <c r="L490" t="s">
        <v>240</v>
      </c>
    </row>
    <row r="491" spans="1:12" x14ac:dyDescent="0.25">
      <c r="A491" t="s">
        <v>1376</v>
      </c>
      <c r="B491" t="s">
        <v>1377</v>
      </c>
      <c r="C491" s="3">
        <v>45139</v>
      </c>
      <c r="D491" t="s">
        <v>87</v>
      </c>
      <c r="E491" t="s">
        <v>15</v>
      </c>
      <c r="F491">
        <v>8</v>
      </c>
      <c r="G491" t="str">
        <f t="shared" si="28"/>
        <v>Regular Order</v>
      </c>
      <c r="H491">
        <v>46.29</v>
      </c>
      <c r="I491">
        <v>370.32</v>
      </c>
      <c r="J491" t="s">
        <v>1203</v>
      </c>
      <c r="L491" t="s">
        <v>1379</v>
      </c>
    </row>
    <row r="492" spans="1:12" x14ac:dyDescent="0.25">
      <c r="A492" t="s">
        <v>1380</v>
      </c>
      <c r="B492" t="s">
        <v>378</v>
      </c>
      <c r="C492" s="3">
        <v>45437</v>
      </c>
      <c r="D492" t="s">
        <v>29</v>
      </c>
      <c r="E492" t="s">
        <v>46</v>
      </c>
      <c r="F492">
        <v>9</v>
      </c>
      <c r="G492" t="str">
        <f t="shared" si="28"/>
        <v>Regular Order</v>
      </c>
      <c r="H492">
        <v>858.01</v>
      </c>
      <c r="I492">
        <f>F492*H492</f>
        <v>7722.09</v>
      </c>
      <c r="J492" t="s">
        <v>1203</v>
      </c>
      <c r="K492" t="s">
        <v>24</v>
      </c>
      <c r="L492" t="s">
        <v>1381</v>
      </c>
    </row>
    <row r="493" spans="1:12" x14ac:dyDescent="0.25">
      <c r="A493" t="s">
        <v>1382</v>
      </c>
      <c r="B493" t="s">
        <v>742</v>
      </c>
      <c r="C493" s="3">
        <v>45131</v>
      </c>
      <c r="D493" t="s">
        <v>78</v>
      </c>
      <c r="E493" t="s">
        <v>15</v>
      </c>
      <c r="F493">
        <v>5</v>
      </c>
      <c r="G493" t="str">
        <f t="shared" si="28"/>
        <v>Regular Order</v>
      </c>
      <c r="H493">
        <v>81.81</v>
      </c>
      <c r="I493">
        <v>409.05</v>
      </c>
      <c r="J493" t="s">
        <v>102</v>
      </c>
      <c r="K493" t="s">
        <v>55</v>
      </c>
      <c r="L493" t="s">
        <v>1383</v>
      </c>
    </row>
    <row r="494" spans="1:12" x14ac:dyDescent="0.25">
      <c r="A494" t="s">
        <v>1384</v>
      </c>
      <c r="B494" t="s">
        <v>690</v>
      </c>
      <c r="C494" s="3">
        <v>45378</v>
      </c>
      <c r="D494" t="s">
        <v>147</v>
      </c>
      <c r="E494" t="s">
        <v>46</v>
      </c>
      <c r="F494">
        <v>3</v>
      </c>
      <c r="G494" t="str">
        <f t="shared" si="28"/>
        <v>Regular Order</v>
      </c>
      <c r="H494">
        <v>281.20999999999998</v>
      </c>
      <c r="I494">
        <f>F494*H494</f>
        <v>843.62999999999988</v>
      </c>
      <c r="J494" t="s">
        <v>35</v>
      </c>
      <c r="K494" t="s">
        <v>24</v>
      </c>
      <c r="L494" t="s">
        <v>692</v>
      </c>
    </row>
    <row r="495" spans="1:12" x14ac:dyDescent="0.25">
      <c r="A495" t="s">
        <v>1385</v>
      </c>
      <c r="B495" t="s">
        <v>1399</v>
      </c>
      <c r="C495" s="3">
        <v>45120</v>
      </c>
      <c r="D495" t="s">
        <v>22</v>
      </c>
      <c r="E495" t="s">
        <v>23</v>
      </c>
      <c r="F495">
        <v>4</v>
      </c>
      <c r="G495" t="str">
        <f t="shared" si="28"/>
        <v>Regular Order</v>
      </c>
      <c r="H495">
        <v>151.74</v>
      </c>
      <c r="I495">
        <v>606.96</v>
      </c>
      <c r="J495" t="s">
        <v>16</v>
      </c>
      <c r="K495" t="s">
        <v>69</v>
      </c>
    </row>
    <row r="496" spans="1:12" x14ac:dyDescent="0.25">
      <c r="A496" t="s">
        <v>1387</v>
      </c>
      <c r="B496" t="s">
        <v>20</v>
      </c>
      <c r="C496" s="3">
        <v>45456</v>
      </c>
      <c r="D496" t="s">
        <v>1396</v>
      </c>
      <c r="E496" t="s">
        <v>185</v>
      </c>
      <c r="F496">
        <v>9</v>
      </c>
      <c r="G496" t="str">
        <f t="shared" si="28"/>
        <v>Regular Order</v>
      </c>
      <c r="H496">
        <v>47.33</v>
      </c>
      <c r="I496">
        <v>425.97</v>
      </c>
      <c r="J496" t="s">
        <v>239</v>
      </c>
      <c r="K496" t="s">
        <v>51</v>
      </c>
      <c r="L496" t="s">
        <v>25</v>
      </c>
    </row>
    <row r="497" spans="1:12" x14ac:dyDescent="0.25">
      <c r="A497" t="s">
        <v>1388</v>
      </c>
      <c r="B497" t="s">
        <v>49</v>
      </c>
      <c r="C497" s="3">
        <v>45056</v>
      </c>
      <c r="D497" t="s">
        <v>147</v>
      </c>
      <c r="E497" t="s">
        <v>46</v>
      </c>
      <c r="F497">
        <v>9</v>
      </c>
      <c r="G497" t="str">
        <f t="shared" si="28"/>
        <v>Regular Order</v>
      </c>
      <c r="H497">
        <v>316.95</v>
      </c>
      <c r="I497">
        <v>2852.55</v>
      </c>
      <c r="J497" t="s">
        <v>102</v>
      </c>
      <c r="K497" t="s">
        <v>24</v>
      </c>
      <c r="L497" t="s">
        <v>52</v>
      </c>
    </row>
    <row r="498" spans="1:12" x14ac:dyDescent="0.25">
      <c r="A498" t="s">
        <v>1389</v>
      </c>
      <c r="B498" t="s">
        <v>1168</v>
      </c>
      <c r="C498" s="3">
        <v>45022</v>
      </c>
      <c r="D498" t="s">
        <v>78</v>
      </c>
      <c r="E498" t="s">
        <v>46</v>
      </c>
      <c r="F498">
        <v>1</v>
      </c>
      <c r="G498" t="str">
        <f t="shared" si="28"/>
        <v>Regular Order</v>
      </c>
      <c r="H498">
        <v>91.28</v>
      </c>
      <c r="I498">
        <v>91.28</v>
      </c>
      <c r="J498" t="s">
        <v>102</v>
      </c>
      <c r="K498" t="s">
        <v>55</v>
      </c>
      <c r="L498" t="s">
        <v>1169</v>
      </c>
    </row>
    <row r="499" spans="1:12" x14ac:dyDescent="0.25">
      <c r="A499" t="s">
        <v>1390</v>
      </c>
      <c r="B499" t="s">
        <v>307</v>
      </c>
      <c r="C499" s="3">
        <v>45302</v>
      </c>
      <c r="D499" t="s">
        <v>101</v>
      </c>
      <c r="E499" t="s">
        <v>15</v>
      </c>
      <c r="F499">
        <v>6</v>
      </c>
      <c r="G499" t="str">
        <f t="shared" si="28"/>
        <v>Regular Order</v>
      </c>
      <c r="H499">
        <v>28.12</v>
      </c>
      <c r="I499">
        <v>168.72</v>
      </c>
      <c r="J499" t="s">
        <v>16</v>
      </c>
      <c r="K499" t="s">
        <v>69</v>
      </c>
      <c r="L499" t="s">
        <v>309</v>
      </c>
    </row>
    <row r="500" spans="1:12" x14ac:dyDescent="0.25">
      <c r="A500" t="s">
        <v>1392</v>
      </c>
      <c r="B500" t="s">
        <v>1304</v>
      </c>
      <c r="C500" s="3">
        <v>45656</v>
      </c>
      <c r="D500" t="s">
        <v>1396</v>
      </c>
      <c r="E500" t="s">
        <v>185</v>
      </c>
      <c r="F500">
        <v>1</v>
      </c>
      <c r="G500" t="str">
        <f t="shared" si="28"/>
        <v>Regular Order</v>
      </c>
      <c r="H500">
        <v>53.54</v>
      </c>
      <c r="I500">
        <f>F500*H500</f>
        <v>53.54</v>
      </c>
      <c r="J500" t="s">
        <v>30</v>
      </c>
      <c r="K500" t="s">
        <v>51</v>
      </c>
      <c r="L500" t="s">
        <v>1305</v>
      </c>
    </row>
    <row r="501" spans="1:12" x14ac:dyDescent="0.25">
      <c r="A501" t="s">
        <v>1394</v>
      </c>
      <c r="B501" t="s">
        <v>647</v>
      </c>
      <c r="C501" s="3">
        <v>45291</v>
      </c>
      <c r="D501" t="s">
        <v>41</v>
      </c>
      <c r="E501" t="s">
        <v>15</v>
      </c>
      <c r="F501">
        <v>5</v>
      </c>
      <c r="G501" t="str">
        <f t="shared" si="28"/>
        <v>Regular Order</v>
      </c>
      <c r="H501">
        <v>72.3</v>
      </c>
      <c r="I501">
        <v>361.5</v>
      </c>
      <c r="J501" t="s">
        <v>35</v>
      </c>
      <c r="K501" t="s">
        <v>51</v>
      </c>
    </row>
  </sheetData>
  <autoFilter ref="A1:L501" xr:uid="{29E8EC05-5B90-44A0-9929-B738B0F04953}"/>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6"/>
  <sheetViews>
    <sheetView workbookViewId="0">
      <pane ySplit="1" topLeftCell="A47" activePane="bottomLeft" state="frozen"/>
      <selection pane="bottomLeft" activeCell="E85" sqref="E85"/>
    </sheetView>
  </sheetViews>
  <sheetFormatPr defaultRowHeight="15" x14ac:dyDescent="0.25"/>
  <cols>
    <col min="1" max="1" width="22" customWidth="1"/>
    <col min="2" max="2" width="16.5703125" customWidth="1"/>
    <col min="3" max="3" width="17.5703125" customWidth="1"/>
    <col min="4" max="4" width="18" customWidth="1"/>
    <col min="5" max="5" width="18.28515625" customWidth="1"/>
    <col min="6" max="6" width="15.7109375" customWidth="1"/>
    <col min="7" max="7" width="20.28515625" customWidth="1"/>
    <col min="8" max="8" width="14.7109375" customWidth="1"/>
    <col min="9" max="9" width="11" customWidth="1"/>
    <col min="10" max="10" width="16" customWidth="1"/>
    <col min="11" max="11" width="26" customWidth="1"/>
    <col min="13" max="13" width="14.28515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v>2</v>
      </c>
      <c r="G2">
        <v>47.08</v>
      </c>
      <c r="H2">
        <v>94.16</v>
      </c>
      <c r="I2" t="s">
        <v>16</v>
      </c>
      <c r="J2" t="s">
        <v>17</v>
      </c>
      <c r="K2" t="s">
        <v>18</v>
      </c>
    </row>
    <row r="3" spans="1:11" x14ac:dyDescent="0.25">
      <c r="A3" t="s">
        <v>19</v>
      </c>
      <c r="B3" t="s">
        <v>20</v>
      </c>
      <c r="C3" t="s">
        <v>21</v>
      </c>
      <c r="D3" t="s">
        <v>22</v>
      </c>
      <c r="E3" t="s">
        <v>23</v>
      </c>
      <c r="F3">
        <v>2</v>
      </c>
      <c r="G3">
        <v>164.86</v>
      </c>
      <c r="H3">
        <v>329.72</v>
      </c>
      <c r="I3" t="s">
        <v>16</v>
      </c>
      <c r="J3" t="s">
        <v>24</v>
      </c>
      <c r="K3" t="s">
        <v>25</v>
      </c>
    </row>
    <row r="4" spans="1:11" x14ac:dyDescent="0.25">
      <c r="A4" t="s">
        <v>26</v>
      </c>
      <c r="B4" t="s">
        <v>27</v>
      </c>
      <c r="C4" t="s">
        <v>28</v>
      </c>
      <c r="D4" t="s">
        <v>29</v>
      </c>
      <c r="F4">
        <v>9</v>
      </c>
      <c r="G4">
        <v>822.22</v>
      </c>
      <c r="H4">
        <v>7465.66</v>
      </c>
      <c r="I4" t="s">
        <v>30</v>
      </c>
      <c r="J4" t="s">
        <v>17</v>
      </c>
      <c r="K4" t="s">
        <v>31</v>
      </c>
    </row>
    <row r="5" spans="1:11" x14ac:dyDescent="0.25">
      <c r="A5" t="s">
        <v>32</v>
      </c>
      <c r="B5" t="s">
        <v>33</v>
      </c>
      <c r="C5" t="s">
        <v>34</v>
      </c>
      <c r="D5" t="s">
        <v>22</v>
      </c>
      <c r="E5" t="s">
        <v>23</v>
      </c>
      <c r="F5">
        <v>6</v>
      </c>
      <c r="G5">
        <v>141.63</v>
      </c>
      <c r="H5">
        <v>849.78</v>
      </c>
      <c r="I5" t="s">
        <v>35</v>
      </c>
      <c r="J5" t="s">
        <v>36</v>
      </c>
      <c r="K5" t="s">
        <v>37</v>
      </c>
    </row>
    <row r="6" spans="1:11" x14ac:dyDescent="0.25">
      <c r="A6" t="s">
        <v>38</v>
      </c>
      <c r="B6" t="s">
        <v>39</v>
      </c>
      <c r="C6" t="s">
        <v>40</v>
      </c>
      <c r="D6" t="s">
        <v>41</v>
      </c>
      <c r="E6" t="s">
        <v>15</v>
      </c>
      <c r="F6">
        <v>2</v>
      </c>
      <c r="G6">
        <v>79.34</v>
      </c>
      <c r="H6">
        <v>158.68</v>
      </c>
      <c r="I6" t="s">
        <v>35</v>
      </c>
      <c r="J6" t="s">
        <v>24</v>
      </c>
      <c r="K6" t="s">
        <v>42</v>
      </c>
    </row>
    <row r="7" spans="1:11" x14ac:dyDescent="0.25">
      <c r="A7" t="s">
        <v>43</v>
      </c>
      <c r="B7" t="s">
        <v>44</v>
      </c>
      <c r="C7" t="s">
        <v>45</v>
      </c>
      <c r="D7" t="s">
        <v>29</v>
      </c>
      <c r="E7" t="s">
        <v>46</v>
      </c>
      <c r="F7">
        <v>0</v>
      </c>
      <c r="G7">
        <v>910.91</v>
      </c>
      <c r="H7">
        <v>0</v>
      </c>
      <c r="I7" t="s">
        <v>30</v>
      </c>
      <c r="J7" t="s">
        <v>24</v>
      </c>
      <c r="K7" t="s">
        <v>47</v>
      </c>
    </row>
    <row r="8" spans="1:11" x14ac:dyDescent="0.25">
      <c r="A8" t="s">
        <v>48</v>
      </c>
      <c r="B8" t="s">
        <v>49</v>
      </c>
      <c r="C8" t="s">
        <v>50</v>
      </c>
      <c r="D8" t="s">
        <v>29</v>
      </c>
      <c r="E8" t="s">
        <v>46</v>
      </c>
      <c r="F8">
        <v>7</v>
      </c>
      <c r="G8">
        <v>843.12</v>
      </c>
      <c r="H8">
        <v>5901.84</v>
      </c>
      <c r="I8" t="s">
        <v>35</v>
      </c>
      <c r="J8" t="s">
        <v>51</v>
      </c>
      <c r="K8" t="s">
        <v>52</v>
      </c>
    </row>
    <row r="9" spans="1:11" x14ac:dyDescent="0.25">
      <c r="A9" t="s">
        <v>53</v>
      </c>
      <c r="C9" t="s">
        <v>54</v>
      </c>
      <c r="D9" t="s">
        <v>41</v>
      </c>
      <c r="E9" t="s">
        <v>15</v>
      </c>
      <c r="F9">
        <v>9</v>
      </c>
      <c r="G9">
        <v>0</v>
      </c>
      <c r="H9">
        <v>0</v>
      </c>
      <c r="I9" t="s">
        <v>16</v>
      </c>
      <c r="J9" t="s">
        <v>55</v>
      </c>
    </row>
    <row r="10" spans="1:11" x14ac:dyDescent="0.25">
      <c r="A10" t="s">
        <v>56</v>
      </c>
      <c r="B10" t="s">
        <v>57</v>
      </c>
      <c r="C10" t="s">
        <v>58</v>
      </c>
      <c r="D10" t="s">
        <v>59</v>
      </c>
      <c r="E10" t="s">
        <v>23</v>
      </c>
      <c r="F10">
        <v>3</v>
      </c>
      <c r="G10">
        <v>135.6</v>
      </c>
      <c r="H10">
        <v>406.8</v>
      </c>
      <c r="I10" t="s">
        <v>16</v>
      </c>
      <c r="J10" t="s">
        <v>55</v>
      </c>
      <c r="K10" t="s">
        <v>60</v>
      </c>
    </row>
    <row r="11" spans="1:11" x14ac:dyDescent="0.25">
      <c r="A11" t="s">
        <v>61</v>
      </c>
      <c r="B11" t="s">
        <v>62</v>
      </c>
      <c r="C11" t="s">
        <v>63</v>
      </c>
      <c r="D11" t="s">
        <v>29</v>
      </c>
      <c r="E11" t="s">
        <v>64</v>
      </c>
      <c r="F11">
        <v>1</v>
      </c>
      <c r="G11">
        <v>844.29</v>
      </c>
      <c r="H11">
        <v>844.29</v>
      </c>
      <c r="I11" t="s">
        <v>30</v>
      </c>
      <c r="J11" t="s">
        <v>55</v>
      </c>
      <c r="K11" t="s">
        <v>65</v>
      </c>
    </row>
    <row r="12" spans="1:11" x14ac:dyDescent="0.25">
      <c r="A12" t="s">
        <v>66</v>
      </c>
      <c r="B12" t="s">
        <v>67</v>
      </c>
      <c r="C12" t="s">
        <v>68</v>
      </c>
      <c r="D12" t="s">
        <v>29</v>
      </c>
      <c r="E12" t="s">
        <v>46</v>
      </c>
      <c r="F12">
        <v>9</v>
      </c>
      <c r="G12">
        <v>879.84</v>
      </c>
      <c r="H12">
        <v>7918.56</v>
      </c>
      <c r="I12" t="s">
        <v>30</v>
      </c>
      <c r="J12" t="s">
        <v>69</v>
      </c>
      <c r="K12" t="s">
        <v>70</v>
      </c>
    </row>
    <row r="13" spans="1:11" x14ac:dyDescent="0.25">
      <c r="A13" t="s">
        <v>71</v>
      </c>
      <c r="B13" t="s">
        <v>72</v>
      </c>
      <c r="C13" t="s">
        <v>73</v>
      </c>
      <c r="D13" t="s">
        <v>29</v>
      </c>
      <c r="E13" t="s">
        <v>46</v>
      </c>
      <c r="F13">
        <v>1</v>
      </c>
      <c r="G13">
        <v>823.36</v>
      </c>
      <c r="H13">
        <v>1081.01</v>
      </c>
      <c r="I13" t="s">
        <v>16</v>
      </c>
      <c r="J13" t="s">
        <v>55</v>
      </c>
      <c r="K13" t="s">
        <v>74</v>
      </c>
    </row>
    <row r="14" spans="1:11" x14ac:dyDescent="0.25">
      <c r="A14" t="s">
        <v>75</v>
      </c>
      <c r="B14" t="s">
        <v>76</v>
      </c>
      <c r="C14" t="s">
        <v>77</v>
      </c>
      <c r="D14" t="s">
        <v>78</v>
      </c>
      <c r="E14" t="s">
        <v>46</v>
      </c>
      <c r="F14">
        <v>5</v>
      </c>
      <c r="G14">
        <v>0</v>
      </c>
      <c r="H14">
        <v>0</v>
      </c>
      <c r="I14" t="s">
        <v>35</v>
      </c>
      <c r="J14" t="s">
        <v>51</v>
      </c>
      <c r="K14" t="s">
        <v>79</v>
      </c>
    </row>
    <row r="15" spans="1:11" x14ac:dyDescent="0.25">
      <c r="A15" t="s">
        <v>80</v>
      </c>
      <c r="B15" t="s">
        <v>81</v>
      </c>
      <c r="C15" t="s">
        <v>82</v>
      </c>
      <c r="D15" t="s">
        <v>29</v>
      </c>
      <c r="E15" t="s">
        <v>46</v>
      </c>
      <c r="F15">
        <v>2</v>
      </c>
      <c r="G15">
        <v>962.98</v>
      </c>
      <c r="H15">
        <v>1925.96</v>
      </c>
      <c r="I15" t="s">
        <v>16</v>
      </c>
      <c r="J15" t="s">
        <v>83</v>
      </c>
      <c r="K15" t="s">
        <v>84</v>
      </c>
    </row>
    <row r="16" spans="1:11" x14ac:dyDescent="0.25">
      <c r="A16" t="s">
        <v>85</v>
      </c>
      <c r="C16" t="s">
        <v>86</v>
      </c>
      <c r="D16" t="s">
        <v>87</v>
      </c>
      <c r="E16" t="s">
        <v>15</v>
      </c>
      <c r="F16">
        <v>6</v>
      </c>
      <c r="G16">
        <v>52.94</v>
      </c>
      <c r="H16">
        <v>317.64</v>
      </c>
      <c r="I16" t="s">
        <v>30</v>
      </c>
      <c r="J16" t="s">
        <v>17</v>
      </c>
    </row>
    <row r="17" spans="1:11" x14ac:dyDescent="0.25">
      <c r="A17" t="s">
        <v>88</v>
      </c>
      <c r="B17" t="s">
        <v>89</v>
      </c>
      <c r="C17" t="s">
        <v>90</v>
      </c>
      <c r="D17" t="s">
        <v>91</v>
      </c>
      <c r="E17" t="s">
        <v>92</v>
      </c>
      <c r="F17">
        <v>6</v>
      </c>
      <c r="G17">
        <v>86.16</v>
      </c>
      <c r="H17">
        <v>516.96</v>
      </c>
      <c r="I17" t="s">
        <v>16</v>
      </c>
      <c r="K17" t="s">
        <v>93</v>
      </c>
    </row>
    <row r="18" spans="1:11" x14ac:dyDescent="0.25">
      <c r="A18" t="s">
        <v>94</v>
      </c>
      <c r="B18" t="s">
        <v>95</v>
      </c>
      <c r="C18" t="s">
        <v>96</v>
      </c>
      <c r="D18" t="s">
        <v>87</v>
      </c>
      <c r="E18" t="s">
        <v>92</v>
      </c>
      <c r="F18">
        <v>7</v>
      </c>
      <c r="G18">
        <v>50.38</v>
      </c>
      <c r="H18">
        <v>352.66</v>
      </c>
      <c r="I18" t="s">
        <v>16</v>
      </c>
      <c r="J18" t="s">
        <v>24</v>
      </c>
      <c r="K18" t="s">
        <v>97</v>
      </c>
    </row>
    <row r="19" spans="1:11" x14ac:dyDescent="0.25">
      <c r="A19" t="s">
        <v>98</v>
      </c>
      <c r="B19" t="s">
        <v>99</v>
      </c>
      <c r="C19" t="s">
        <v>100</v>
      </c>
      <c r="D19" t="s">
        <v>101</v>
      </c>
      <c r="F19">
        <v>8</v>
      </c>
      <c r="G19">
        <v>25.52</v>
      </c>
      <c r="H19">
        <v>204.16</v>
      </c>
      <c r="I19" t="s">
        <v>102</v>
      </c>
      <c r="J19" t="s">
        <v>24</v>
      </c>
      <c r="K19" t="s">
        <v>103</v>
      </c>
    </row>
    <row r="20" spans="1:11" x14ac:dyDescent="0.25">
      <c r="A20" t="s">
        <v>104</v>
      </c>
      <c r="B20" t="s">
        <v>105</v>
      </c>
      <c r="C20" t="s">
        <v>106</v>
      </c>
      <c r="D20" t="s">
        <v>41</v>
      </c>
      <c r="E20" t="s">
        <v>15</v>
      </c>
      <c r="F20">
        <v>8</v>
      </c>
      <c r="G20">
        <v>76.62</v>
      </c>
      <c r="H20">
        <v>612.96</v>
      </c>
      <c r="I20" t="s">
        <v>102</v>
      </c>
      <c r="J20" t="s">
        <v>55</v>
      </c>
      <c r="K20" t="s">
        <v>107</v>
      </c>
    </row>
    <row r="21" spans="1:11" x14ac:dyDescent="0.25">
      <c r="A21" t="s">
        <v>108</v>
      </c>
      <c r="B21" t="s">
        <v>109</v>
      </c>
      <c r="C21" t="s">
        <v>110</v>
      </c>
      <c r="D21" t="s">
        <v>101</v>
      </c>
      <c r="E21" t="s">
        <v>15</v>
      </c>
      <c r="F21">
        <v>8</v>
      </c>
      <c r="G21">
        <v>25.99</v>
      </c>
      <c r="H21">
        <v>207.92</v>
      </c>
      <c r="I21" t="s">
        <v>102</v>
      </c>
      <c r="J21" t="s">
        <v>69</v>
      </c>
      <c r="K21" t="s">
        <v>111</v>
      </c>
    </row>
    <row r="22" spans="1:11" x14ac:dyDescent="0.25">
      <c r="A22" t="s">
        <v>112</v>
      </c>
      <c r="B22" t="s">
        <v>113</v>
      </c>
      <c r="C22" t="s">
        <v>96</v>
      </c>
      <c r="D22" t="s">
        <v>22</v>
      </c>
      <c r="E22" t="s">
        <v>23</v>
      </c>
      <c r="F22">
        <v>6</v>
      </c>
      <c r="G22">
        <v>151.51</v>
      </c>
      <c r="H22">
        <v>909.06</v>
      </c>
      <c r="I22" t="s">
        <v>35</v>
      </c>
      <c r="J22" t="s">
        <v>55</v>
      </c>
      <c r="K22" t="s">
        <v>114</v>
      </c>
    </row>
    <row r="23" spans="1:11" x14ac:dyDescent="0.25">
      <c r="A23" t="s">
        <v>115</v>
      </c>
      <c r="B23" t="s">
        <v>116</v>
      </c>
      <c r="C23" t="s">
        <v>117</v>
      </c>
      <c r="D23" t="s">
        <v>78</v>
      </c>
      <c r="E23" t="s">
        <v>46</v>
      </c>
      <c r="F23">
        <v>5</v>
      </c>
      <c r="I23" t="s">
        <v>30</v>
      </c>
      <c r="J23" t="s">
        <v>69</v>
      </c>
      <c r="K23" t="s">
        <v>118</v>
      </c>
    </row>
    <row r="24" spans="1:11" x14ac:dyDescent="0.25">
      <c r="A24" t="s">
        <v>119</v>
      </c>
      <c r="B24" t="s">
        <v>120</v>
      </c>
      <c r="C24" t="s">
        <v>121</v>
      </c>
      <c r="D24" t="s">
        <v>87</v>
      </c>
      <c r="E24" t="s">
        <v>15</v>
      </c>
      <c r="F24">
        <v>3</v>
      </c>
      <c r="G24">
        <v>45.45</v>
      </c>
      <c r="H24">
        <v>136.35</v>
      </c>
      <c r="I24" t="s">
        <v>102</v>
      </c>
      <c r="J24" t="s">
        <v>24</v>
      </c>
      <c r="K24" t="s">
        <v>122</v>
      </c>
    </row>
    <row r="25" spans="1:11" x14ac:dyDescent="0.25">
      <c r="A25" t="s">
        <v>123</v>
      </c>
      <c r="B25" t="s">
        <v>124</v>
      </c>
      <c r="C25" t="s">
        <v>125</v>
      </c>
      <c r="D25" t="s">
        <v>87</v>
      </c>
      <c r="E25" t="s">
        <v>15</v>
      </c>
      <c r="F25">
        <v>7</v>
      </c>
      <c r="I25" t="s">
        <v>30</v>
      </c>
      <c r="J25" t="s">
        <v>126</v>
      </c>
      <c r="K25" t="s">
        <v>127</v>
      </c>
    </row>
    <row r="26" spans="1:11" x14ac:dyDescent="0.25">
      <c r="A26" t="s">
        <v>128</v>
      </c>
      <c r="B26" t="s">
        <v>129</v>
      </c>
      <c r="C26" t="s">
        <v>130</v>
      </c>
      <c r="D26" t="s">
        <v>101</v>
      </c>
      <c r="F26">
        <v>1</v>
      </c>
      <c r="I26" t="s">
        <v>30</v>
      </c>
      <c r="J26" t="s">
        <v>69</v>
      </c>
      <c r="K26" t="s">
        <v>131</v>
      </c>
    </row>
    <row r="27" spans="1:11" x14ac:dyDescent="0.25">
      <c r="A27" t="s">
        <v>132</v>
      </c>
      <c r="B27" t="s">
        <v>133</v>
      </c>
      <c r="D27" t="s">
        <v>41</v>
      </c>
      <c r="E27" t="s">
        <v>15</v>
      </c>
      <c r="F27">
        <v>8</v>
      </c>
      <c r="G27">
        <v>82.63</v>
      </c>
      <c r="H27">
        <v>774.75</v>
      </c>
      <c r="I27" t="s">
        <v>16</v>
      </c>
      <c r="J27" t="s">
        <v>51</v>
      </c>
      <c r="K27" t="s">
        <v>134</v>
      </c>
    </row>
    <row r="28" spans="1:11" x14ac:dyDescent="0.25">
      <c r="A28" t="s">
        <v>135</v>
      </c>
      <c r="B28" t="s">
        <v>136</v>
      </c>
      <c r="C28" t="s">
        <v>137</v>
      </c>
      <c r="D28" t="s">
        <v>138</v>
      </c>
      <c r="E28" t="s">
        <v>46</v>
      </c>
      <c r="F28">
        <v>2</v>
      </c>
      <c r="G28">
        <v>281.83999999999997</v>
      </c>
      <c r="H28">
        <v>563.67999999999995</v>
      </c>
      <c r="I28" t="s">
        <v>30</v>
      </c>
      <c r="J28" t="s">
        <v>24</v>
      </c>
      <c r="K28" t="s">
        <v>139</v>
      </c>
    </row>
    <row r="29" spans="1:11" x14ac:dyDescent="0.25">
      <c r="A29" t="s">
        <v>140</v>
      </c>
      <c r="B29" t="s">
        <v>141</v>
      </c>
      <c r="C29" t="s">
        <v>142</v>
      </c>
      <c r="D29" t="s">
        <v>78</v>
      </c>
      <c r="E29" t="s">
        <v>46</v>
      </c>
      <c r="F29">
        <v>8</v>
      </c>
      <c r="G29">
        <v>84.24</v>
      </c>
      <c r="H29">
        <v>673.92</v>
      </c>
      <c r="I29" t="s">
        <v>102</v>
      </c>
      <c r="J29" t="s">
        <v>69</v>
      </c>
      <c r="K29" t="s">
        <v>143</v>
      </c>
    </row>
    <row r="30" spans="1:11" x14ac:dyDescent="0.25">
      <c r="A30" t="s">
        <v>144</v>
      </c>
      <c r="B30" t="s">
        <v>145</v>
      </c>
      <c r="C30" t="s">
        <v>146</v>
      </c>
      <c r="D30" t="s">
        <v>147</v>
      </c>
      <c r="E30" t="s">
        <v>46</v>
      </c>
      <c r="F30">
        <v>8</v>
      </c>
      <c r="G30">
        <v>293.45999999999998</v>
      </c>
      <c r="H30">
        <v>1384.72</v>
      </c>
      <c r="I30" t="s">
        <v>35</v>
      </c>
      <c r="J30" t="s">
        <v>148</v>
      </c>
      <c r="K30" t="s">
        <v>149</v>
      </c>
    </row>
    <row r="31" spans="1:11" x14ac:dyDescent="0.25">
      <c r="A31" t="s">
        <v>150</v>
      </c>
      <c r="B31" t="s">
        <v>136</v>
      </c>
      <c r="C31" t="s">
        <v>151</v>
      </c>
      <c r="D31" t="s">
        <v>41</v>
      </c>
      <c r="E31" t="s">
        <v>92</v>
      </c>
      <c r="F31">
        <v>5</v>
      </c>
      <c r="G31">
        <v>78.239999999999995</v>
      </c>
      <c r="H31">
        <v>391.2</v>
      </c>
      <c r="I31" t="s">
        <v>30</v>
      </c>
      <c r="J31" t="s">
        <v>24</v>
      </c>
      <c r="K31" t="s">
        <v>139</v>
      </c>
    </row>
    <row r="32" spans="1:11" x14ac:dyDescent="0.25">
      <c r="A32" t="s">
        <v>152</v>
      </c>
      <c r="B32" t="s">
        <v>153</v>
      </c>
      <c r="C32" t="s">
        <v>154</v>
      </c>
      <c r="D32" t="s">
        <v>155</v>
      </c>
      <c r="E32" t="s">
        <v>15</v>
      </c>
      <c r="F32">
        <v>1</v>
      </c>
      <c r="I32" t="s">
        <v>16</v>
      </c>
      <c r="J32" t="s">
        <v>51</v>
      </c>
      <c r="K32" t="s">
        <v>156</v>
      </c>
    </row>
    <row r="33" spans="1:11" x14ac:dyDescent="0.25">
      <c r="A33" t="s">
        <v>157</v>
      </c>
      <c r="B33" t="s">
        <v>158</v>
      </c>
      <c r="C33" t="s">
        <v>159</v>
      </c>
      <c r="D33" t="s">
        <v>29</v>
      </c>
      <c r="E33" t="s">
        <v>46</v>
      </c>
      <c r="F33">
        <v>8</v>
      </c>
      <c r="G33">
        <v>974.13</v>
      </c>
      <c r="H33">
        <v>7793.04</v>
      </c>
      <c r="I33" t="s">
        <v>16</v>
      </c>
      <c r="J33" t="s">
        <v>51</v>
      </c>
      <c r="K33" t="s">
        <v>160</v>
      </c>
    </row>
    <row r="34" spans="1:11" x14ac:dyDescent="0.25">
      <c r="A34" t="s">
        <v>161</v>
      </c>
      <c r="B34" t="s">
        <v>162</v>
      </c>
      <c r="C34" t="s">
        <v>163</v>
      </c>
      <c r="D34" t="s">
        <v>101</v>
      </c>
      <c r="E34" t="s">
        <v>15</v>
      </c>
      <c r="F34">
        <v>7</v>
      </c>
      <c r="G34">
        <v>27.88</v>
      </c>
      <c r="H34">
        <v>195.16</v>
      </c>
      <c r="I34" t="s">
        <v>30</v>
      </c>
      <c r="J34" t="s">
        <v>164</v>
      </c>
      <c r="K34" t="s">
        <v>165</v>
      </c>
    </row>
    <row r="35" spans="1:11" x14ac:dyDescent="0.25">
      <c r="A35" t="s">
        <v>53</v>
      </c>
      <c r="C35" t="s">
        <v>54</v>
      </c>
      <c r="D35" t="s">
        <v>41</v>
      </c>
      <c r="E35" t="s">
        <v>15</v>
      </c>
      <c r="F35">
        <v>9</v>
      </c>
      <c r="G35">
        <v>0</v>
      </c>
      <c r="H35">
        <v>0</v>
      </c>
      <c r="I35" t="s">
        <v>16</v>
      </c>
      <c r="J35" t="s">
        <v>55</v>
      </c>
    </row>
    <row r="36" spans="1:11" x14ac:dyDescent="0.25">
      <c r="A36" t="s">
        <v>166</v>
      </c>
      <c r="B36" t="s">
        <v>167</v>
      </c>
      <c r="C36" t="s">
        <v>168</v>
      </c>
      <c r="D36" t="s">
        <v>78</v>
      </c>
      <c r="E36" t="s">
        <v>46</v>
      </c>
      <c r="F36">
        <v>5</v>
      </c>
      <c r="I36" t="s">
        <v>102</v>
      </c>
      <c r="J36" t="s">
        <v>36</v>
      </c>
      <c r="K36" t="s">
        <v>169</v>
      </c>
    </row>
    <row r="37" spans="1:11" x14ac:dyDescent="0.25">
      <c r="A37" t="s">
        <v>170</v>
      </c>
      <c r="B37" t="s">
        <v>171</v>
      </c>
      <c r="D37" t="s">
        <v>29</v>
      </c>
      <c r="E37" t="s">
        <v>46</v>
      </c>
      <c r="F37">
        <v>3</v>
      </c>
      <c r="G37">
        <v>-899.99</v>
      </c>
      <c r="H37">
        <v>-2699.97</v>
      </c>
      <c r="I37" t="s">
        <v>16</v>
      </c>
      <c r="J37" t="s">
        <v>24</v>
      </c>
      <c r="K37" t="s">
        <v>172</v>
      </c>
    </row>
    <row r="38" spans="1:11" x14ac:dyDescent="0.25">
      <c r="A38" t="s">
        <v>173</v>
      </c>
      <c r="B38" t="s">
        <v>174</v>
      </c>
      <c r="C38" t="s">
        <v>175</v>
      </c>
      <c r="D38" t="s">
        <v>138</v>
      </c>
      <c r="E38" t="s">
        <v>46</v>
      </c>
      <c r="F38">
        <v>2</v>
      </c>
      <c r="G38">
        <v>287.94</v>
      </c>
      <c r="H38">
        <v>575.88</v>
      </c>
      <c r="I38" t="s">
        <v>16</v>
      </c>
      <c r="J38" t="s">
        <v>55</v>
      </c>
      <c r="K38" t="s">
        <v>176</v>
      </c>
    </row>
    <row r="39" spans="1:11" x14ac:dyDescent="0.25">
      <c r="A39" t="s">
        <v>177</v>
      </c>
      <c r="B39" t="s">
        <v>178</v>
      </c>
      <c r="C39" t="s">
        <v>179</v>
      </c>
      <c r="D39" t="s">
        <v>101</v>
      </c>
      <c r="E39" t="s">
        <v>15</v>
      </c>
      <c r="F39">
        <v>1</v>
      </c>
      <c r="G39">
        <v>25.5</v>
      </c>
      <c r="H39">
        <v>25.5</v>
      </c>
      <c r="I39" t="s">
        <v>16</v>
      </c>
      <c r="J39" t="s">
        <v>17</v>
      </c>
      <c r="K39" t="s">
        <v>180</v>
      </c>
    </row>
    <row r="40" spans="1:11" x14ac:dyDescent="0.25">
      <c r="A40" t="s">
        <v>38</v>
      </c>
      <c r="B40" t="s">
        <v>39</v>
      </c>
      <c r="C40" t="s">
        <v>40</v>
      </c>
      <c r="D40" t="s">
        <v>41</v>
      </c>
      <c r="E40" t="s">
        <v>15</v>
      </c>
      <c r="F40">
        <v>2</v>
      </c>
      <c r="G40">
        <v>79.34</v>
      </c>
      <c r="H40">
        <v>158.68</v>
      </c>
      <c r="I40" t="s">
        <v>35</v>
      </c>
      <c r="J40" t="s">
        <v>24</v>
      </c>
      <c r="K40" t="s">
        <v>42</v>
      </c>
    </row>
    <row r="41" spans="1:11" x14ac:dyDescent="0.25">
      <c r="A41" t="s">
        <v>181</v>
      </c>
      <c r="B41" t="s">
        <v>182</v>
      </c>
      <c r="C41" t="s">
        <v>183</v>
      </c>
      <c r="D41" t="s">
        <v>184</v>
      </c>
      <c r="E41" t="s">
        <v>185</v>
      </c>
      <c r="F41">
        <v>1</v>
      </c>
      <c r="G41">
        <v>49.6</v>
      </c>
      <c r="H41">
        <v>49.6</v>
      </c>
      <c r="I41" t="s">
        <v>16</v>
      </c>
      <c r="J41" t="s">
        <v>17</v>
      </c>
      <c r="K41" t="s">
        <v>186</v>
      </c>
    </row>
    <row r="42" spans="1:11" x14ac:dyDescent="0.25">
      <c r="A42" t="s">
        <v>187</v>
      </c>
      <c r="B42" t="s">
        <v>188</v>
      </c>
      <c r="C42" t="s">
        <v>189</v>
      </c>
      <c r="D42" t="s">
        <v>190</v>
      </c>
      <c r="E42" t="s">
        <v>46</v>
      </c>
      <c r="F42">
        <v>5</v>
      </c>
      <c r="G42">
        <v>85.01</v>
      </c>
      <c r="H42">
        <v>425.05</v>
      </c>
      <c r="I42" t="s">
        <v>102</v>
      </c>
      <c r="J42" t="s">
        <v>24</v>
      </c>
      <c r="K42" t="s">
        <v>191</v>
      </c>
    </row>
    <row r="43" spans="1:11" x14ac:dyDescent="0.25">
      <c r="A43" t="s">
        <v>192</v>
      </c>
      <c r="B43" t="s">
        <v>193</v>
      </c>
      <c r="C43" t="s">
        <v>194</v>
      </c>
      <c r="D43" t="s">
        <v>29</v>
      </c>
      <c r="E43" t="s">
        <v>46</v>
      </c>
      <c r="F43">
        <v>0</v>
      </c>
      <c r="G43">
        <v>930.87</v>
      </c>
      <c r="H43">
        <v>0</v>
      </c>
      <c r="I43" t="s">
        <v>30</v>
      </c>
      <c r="J43" t="s">
        <v>195</v>
      </c>
      <c r="K43" t="s">
        <v>196</v>
      </c>
    </row>
    <row r="44" spans="1:11" x14ac:dyDescent="0.25">
      <c r="A44" t="s">
        <v>197</v>
      </c>
      <c r="B44" t="s">
        <v>44</v>
      </c>
      <c r="C44" t="s">
        <v>198</v>
      </c>
      <c r="D44" t="s">
        <v>59</v>
      </c>
      <c r="E44" t="s">
        <v>23</v>
      </c>
      <c r="F44">
        <v>2</v>
      </c>
      <c r="G44">
        <v>156.93</v>
      </c>
      <c r="H44">
        <v>313.86</v>
      </c>
      <c r="I44" t="s">
        <v>35</v>
      </c>
      <c r="J44" t="s">
        <v>69</v>
      </c>
      <c r="K44" t="s">
        <v>47</v>
      </c>
    </row>
    <row r="45" spans="1:11" x14ac:dyDescent="0.25">
      <c r="A45" t="s">
        <v>199</v>
      </c>
      <c r="B45" t="s">
        <v>200</v>
      </c>
      <c r="C45" t="s">
        <v>201</v>
      </c>
      <c r="D45" t="s">
        <v>29</v>
      </c>
      <c r="E45" t="s">
        <v>46</v>
      </c>
      <c r="F45">
        <v>8</v>
      </c>
      <c r="G45">
        <v>956.66</v>
      </c>
      <c r="H45">
        <v>10674.92</v>
      </c>
      <c r="I45" t="s">
        <v>30</v>
      </c>
      <c r="J45" t="s">
        <v>24</v>
      </c>
      <c r="K45" t="s">
        <v>202</v>
      </c>
    </row>
    <row r="46" spans="1:11" x14ac:dyDescent="0.25">
      <c r="A46" t="s">
        <v>203</v>
      </c>
      <c r="B46" t="s">
        <v>204</v>
      </c>
      <c r="C46" t="s">
        <v>205</v>
      </c>
      <c r="D46" t="s">
        <v>147</v>
      </c>
      <c r="E46" t="s">
        <v>46</v>
      </c>
      <c r="F46">
        <v>4</v>
      </c>
      <c r="G46">
        <v>324.26</v>
      </c>
      <c r="H46">
        <v>1297.04</v>
      </c>
      <c r="I46" t="s">
        <v>102</v>
      </c>
      <c r="J46" t="s">
        <v>69</v>
      </c>
      <c r="K46" t="s">
        <v>206</v>
      </c>
    </row>
    <row r="47" spans="1:11" x14ac:dyDescent="0.25">
      <c r="A47" t="s">
        <v>207</v>
      </c>
      <c r="B47" t="s">
        <v>208</v>
      </c>
      <c r="C47" t="s">
        <v>209</v>
      </c>
      <c r="D47" t="s">
        <v>78</v>
      </c>
      <c r="E47" t="s">
        <v>46</v>
      </c>
      <c r="F47">
        <v>1</v>
      </c>
      <c r="G47">
        <v>95.83</v>
      </c>
      <c r="H47">
        <v>95.83</v>
      </c>
      <c r="I47" t="s">
        <v>30</v>
      </c>
      <c r="J47" t="s">
        <v>69</v>
      </c>
      <c r="K47" t="s">
        <v>210</v>
      </c>
    </row>
    <row r="48" spans="1:11" x14ac:dyDescent="0.25">
      <c r="A48" t="s">
        <v>211</v>
      </c>
      <c r="B48" t="s">
        <v>212</v>
      </c>
      <c r="C48" t="s">
        <v>213</v>
      </c>
      <c r="D48" t="s">
        <v>214</v>
      </c>
      <c r="E48" t="s">
        <v>185</v>
      </c>
      <c r="F48">
        <v>4</v>
      </c>
      <c r="G48">
        <v>53.41</v>
      </c>
      <c r="H48">
        <v>213.64</v>
      </c>
      <c r="I48" t="s">
        <v>102</v>
      </c>
      <c r="J48" t="s">
        <v>17</v>
      </c>
      <c r="K48" t="s">
        <v>215</v>
      </c>
    </row>
    <row r="49" spans="1:13" x14ac:dyDescent="0.25">
      <c r="A49" t="s">
        <v>216</v>
      </c>
      <c r="B49" t="s">
        <v>217</v>
      </c>
      <c r="C49" t="s">
        <v>218</v>
      </c>
      <c r="D49" t="s">
        <v>78</v>
      </c>
      <c r="E49" t="s">
        <v>46</v>
      </c>
      <c r="F49">
        <v>2</v>
      </c>
      <c r="G49">
        <v>97.69</v>
      </c>
      <c r="H49">
        <v>195.38</v>
      </c>
      <c r="I49" t="s">
        <v>16</v>
      </c>
      <c r="J49" t="s">
        <v>17</v>
      </c>
      <c r="K49" t="s">
        <v>219</v>
      </c>
    </row>
    <row r="50" spans="1:13" x14ac:dyDescent="0.25">
      <c r="A50" t="s">
        <v>220</v>
      </c>
      <c r="B50" t="s">
        <v>221</v>
      </c>
      <c r="C50" t="s">
        <v>222</v>
      </c>
      <c r="D50" t="s">
        <v>22</v>
      </c>
      <c r="E50" t="s">
        <v>23</v>
      </c>
      <c r="F50">
        <v>9</v>
      </c>
      <c r="G50">
        <v>150.9</v>
      </c>
      <c r="H50">
        <v>1358.1</v>
      </c>
      <c r="I50" t="s">
        <v>16</v>
      </c>
      <c r="J50" t="s">
        <v>55</v>
      </c>
      <c r="K50" t="s">
        <v>223</v>
      </c>
    </row>
    <row r="51" spans="1:13" x14ac:dyDescent="0.25">
      <c r="A51" t="s">
        <v>224</v>
      </c>
      <c r="B51" t="s">
        <v>225</v>
      </c>
      <c r="C51" t="s">
        <v>226</v>
      </c>
      <c r="D51" t="s">
        <v>78</v>
      </c>
      <c r="E51" t="s">
        <v>46</v>
      </c>
      <c r="F51">
        <v>7</v>
      </c>
      <c r="G51">
        <v>98.37</v>
      </c>
      <c r="H51">
        <v>688.59</v>
      </c>
      <c r="I51" t="s">
        <v>30</v>
      </c>
      <c r="J51" t="s">
        <v>69</v>
      </c>
      <c r="K51" t="s">
        <v>227</v>
      </c>
    </row>
    <row r="52" spans="1:13" x14ac:dyDescent="0.25">
      <c r="A52" t="s">
        <v>228</v>
      </c>
      <c r="B52" t="s">
        <v>229</v>
      </c>
      <c r="C52" t="s">
        <v>230</v>
      </c>
      <c r="D52" t="s">
        <v>41</v>
      </c>
      <c r="E52" t="s">
        <v>92</v>
      </c>
      <c r="F52">
        <v>3</v>
      </c>
      <c r="G52">
        <v>85.42</v>
      </c>
      <c r="H52">
        <v>256.26</v>
      </c>
      <c r="I52" t="s">
        <v>16</v>
      </c>
      <c r="J52" t="s">
        <v>55</v>
      </c>
      <c r="K52" t="s">
        <v>231</v>
      </c>
    </row>
    <row r="53" spans="1:13" x14ac:dyDescent="0.25">
      <c r="A53" t="s">
        <v>232</v>
      </c>
      <c r="B53" t="s">
        <v>233</v>
      </c>
      <c r="C53" t="s">
        <v>234</v>
      </c>
      <c r="D53" t="s">
        <v>87</v>
      </c>
      <c r="E53" t="s">
        <v>15</v>
      </c>
      <c r="F53">
        <v>8</v>
      </c>
      <c r="G53">
        <v>45.15</v>
      </c>
      <c r="H53">
        <v>361.2</v>
      </c>
      <c r="I53" t="s">
        <v>30</v>
      </c>
      <c r="J53" t="s">
        <v>51</v>
      </c>
      <c r="K53" t="s">
        <v>235</v>
      </c>
    </row>
    <row r="54" spans="1:13" x14ac:dyDescent="0.25">
      <c r="A54" t="s">
        <v>236</v>
      </c>
      <c r="B54" t="s">
        <v>237</v>
      </c>
      <c r="C54" t="s">
        <v>238</v>
      </c>
      <c r="D54" t="s">
        <v>22</v>
      </c>
      <c r="E54" t="s">
        <v>23</v>
      </c>
      <c r="F54">
        <v>4</v>
      </c>
      <c r="G54">
        <v>135.16999999999999</v>
      </c>
      <c r="H54">
        <v>540.67999999999995</v>
      </c>
      <c r="I54" t="s">
        <v>239</v>
      </c>
      <c r="J54" t="s">
        <v>195</v>
      </c>
      <c r="K54" t="s">
        <v>240</v>
      </c>
    </row>
    <row r="55" spans="1:13" x14ac:dyDescent="0.25">
      <c r="A55" t="s">
        <v>241</v>
      </c>
      <c r="B55" t="s">
        <v>242</v>
      </c>
      <c r="C55" t="s">
        <v>243</v>
      </c>
      <c r="D55" t="s">
        <v>29</v>
      </c>
      <c r="E55" t="s">
        <v>46</v>
      </c>
      <c r="F55">
        <v>5</v>
      </c>
      <c r="G55">
        <v>0</v>
      </c>
      <c r="H55">
        <v>0</v>
      </c>
      <c r="I55" t="s">
        <v>30</v>
      </c>
      <c r="J55" t="s">
        <v>55</v>
      </c>
      <c r="K55" t="s">
        <v>244</v>
      </c>
    </row>
    <row r="56" spans="1:13" x14ac:dyDescent="0.25">
      <c r="A56" t="s">
        <v>245</v>
      </c>
      <c r="B56" t="s">
        <v>20</v>
      </c>
      <c r="C56" t="s">
        <v>246</v>
      </c>
      <c r="D56" t="s">
        <v>101</v>
      </c>
      <c r="E56" t="s">
        <v>15</v>
      </c>
      <c r="F56">
        <v>5</v>
      </c>
      <c r="G56">
        <v>25.96</v>
      </c>
      <c r="H56">
        <v>129.80000000000001</v>
      </c>
      <c r="I56" t="s">
        <v>16</v>
      </c>
      <c r="J56" t="s">
        <v>17</v>
      </c>
      <c r="K56" t="s">
        <v>25</v>
      </c>
    </row>
    <row r="57" spans="1:13" x14ac:dyDescent="0.25">
      <c r="A57" t="s">
        <v>247</v>
      </c>
      <c r="B57" t="s">
        <v>248</v>
      </c>
      <c r="C57" t="s">
        <v>249</v>
      </c>
      <c r="D57" t="s">
        <v>29</v>
      </c>
      <c r="E57" t="s">
        <v>46</v>
      </c>
      <c r="F57">
        <v>3</v>
      </c>
      <c r="G57">
        <v>822.26</v>
      </c>
      <c r="H57">
        <v>1566.82</v>
      </c>
      <c r="I57" t="s">
        <v>30</v>
      </c>
      <c r="J57" t="s">
        <v>55</v>
      </c>
      <c r="K57" t="s">
        <v>250</v>
      </c>
    </row>
    <row r="58" spans="1:13" x14ac:dyDescent="0.25">
      <c r="A58" t="s">
        <v>251</v>
      </c>
      <c r="C58" t="s">
        <v>252</v>
      </c>
      <c r="D58" t="s">
        <v>87</v>
      </c>
      <c r="F58">
        <v>4</v>
      </c>
      <c r="G58">
        <v>46.95</v>
      </c>
      <c r="H58">
        <v>155</v>
      </c>
      <c r="I58" t="s">
        <v>30</v>
      </c>
      <c r="J58" t="s">
        <v>24</v>
      </c>
    </row>
    <row r="59" spans="1:13" x14ac:dyDescent="0.25">
      <c r="A59" t="s">
        <v>253</v>
      </c>
      <c r="B59" t="s">
        <v>129</v>
      </c>
      <c r="C59" t="s">
        <v>254</v>
      </c>
      <c r="D59" t="s">
        <v>22</v>
      </c>
      <c r="E59" t="s">
        <v>23</v>
      </c>
      <c r="F59">
        <v>2</v>
      </c>
      <c r="G59">
        <v>143.22999999999999</v>
      </c>
      <c r="H59">
        <v>286.45999999999998</v>
      </c>
      <c r="I59" t="s">
        <v>30</v>
      </c>
      <c r="J59" t="s">
        <v>148</v>
      </c>
      <c r="K59" t="s">
        <v>131</v>
      </c>
      <c r="M59" s="5"/>
    </row>
    <row r="60" spans="1:13" x14ac:dyDescent="0.25">
      <c r="A60" t="s">
        <v>255</v>
      </c>
      <c r="B60" t="s">
        <v>256</v>
      </c>
      <c r="C60" t="s">
        <v>257</v>
      </c>
      <c r="D60" t="s">
        <v>214</v>
      </c>
      <c r="E60" t="s">
        <v>185</v>
      </c>
      <c r="F60">
        <v>5</v>
      </c>
      <c r="G60">
        <v>47.15</v>
      </c>
      <c r="H60">
        <v>235.75</v>
      </c>
      <c r="I60" t="s">
        <v>30</v>
      </c>
      <c r="K60" t="s">
        <v>258</v>
      </c>
    </row>
    <row r="61" spans="1:13" x14ac:dyDescent="0.25">
      <c r="A61" t="s">
        <v>259</v>
      </c>
      <c r="B61" t="s">
        <v>260</v>
      </c>
      <c r="C61" t="s">
        <v>261</v>
      </c>
      <c r="D61" t="s">
        <v>214</v>
      </c>
      <c r="E61" t="s">
        <v>185</v>
      </c>
      <c r="F61">
        <v>0</v>
      </c>
      <c r="G61">
        <v>-50</v>
      </c>
      <c r="H61">
        <v>0</v>
      </c>
      <c r="I61" t="s">
        <v>35</v>
      </c>
      <c r="J61" t="s">
        <v>262</v>
      </c>
      <c r="K61" t="s">
        <v>263</v>
      </c>
    </row>
    <row r="62" spans="1:13" x14ac:dyDescent="0.25">
      <c r="A62" t="s">
        <v>264</v>
      </c>
      <c r="B62" t="s">
        <v>265</v>
      </c>
      <c r="C62" t="s">
        <v>266</v>
      </c>
      <c r="D62" t="s">
        <v>214</v>
      </c>
      <c r="E62" t="s">
        <v>185</v>
      </c>
      <c r="F62">
        <v>1</v>
      </c>
      <c r="G62">
        <v>48.16</v>
      </c>
      <c r="H62">
        <v>48.16</v>
      </c>
      <c r="I62" t="s">
        <v>35</v>
      </c>
      <c r="J62" t="s">
        <v>69</v>
      </c>
      <c r="K62" t="s">
        <v>267</v>
      </c>
    </row>
    <row r="63" spans="1:13" x14ac:dyDescent="0.25">
      <c r="A63" t="s">
        <v>268</v>
      </c>
      <c r="B63" t="s">
        <v>269</v>
      </c>
      <c r="C63" t="s">
        <v>270</v>
      </c>
      <c r="D63" t="s">
        <v>271</v>
      </c>
      <c r="E63" t="s">
        <v>64</v>
      </c>
      <c r="F63">
        <v>8</v>
      </c>
      <c r="G63">
        <v>320.92</v>
      </c>
      <c r="H63">
        <v>2567.36</v>
      </c>
      <c r="I63" t="s">
        <v>30</v>
      </c>
      <c r="J63" t="s">
        <v>51</v>
      </c>
      <c r="K63" t="s">
        <v>272</v>
      </c>
    </row>
    <row r="64" spans="1:13" x14ac:dyDescent="0.25">
      <c r="A64" t="s">
        <v>273</v>
      </c>
      <c r="B64" t="s">
        <v>67</v>
      </c>
      <c r="C64" t="s">
        <v>274</v>
      </c>
      <c r="D64" t="s">
        <v>22</v>
      </c>
      <c r="E64" t="s">
        <v>23</v>
      </c>
      <c r="F64">
        <v>0</v>
      </c>
      <c r="G64">
        <v>153.53</v>
      </c>
      <c r="H64">
        <v>0</v>
      </c>
      <c r="I64" t="s">
        <v>16</v>
      </c>
      <c r="J64" t="s">
        <v>51</v>
      </c>
      <c r="K64" t="s">
        <v>70</v>
      </c>
    </row>
    <row r="65" spans="1:11" x14ac:dyDescent="0.25">
      <c r="A65" t="s">
        <v>275</v>
      </c>
      <c r="B65" t="s">
        <v>89</v>
      </c>
      <c r="C65" t="s">
        <v>276</v>
      </c>
      <c r="D65" t="s">
        <v>101</v>
      </c>
      <c r="E65" t="s">
        <v>92</v>
      </c>
      <c r="F65">
        <v>9</v>
      </c>
      <c r="G65">
        <v>24.86</v>
      </c>
      <c r="H65">
        <v>223.74</v>
      </c>
      <c r="I65" t="s">
        <v>102</v>
      </c>
      <c r="J65" t="s">
        <v>69</v>
      </c>
      <c r="K65" t="s">
        <v>93</v>
      </c>
    </row>
    <row r="66" spans="1:11" x14ac:dyDescent="0.25">
      <c r="A66" t="s">
        <v>277</v>
      </c>
      <c r="B66" t="s">
        <v>278</v>
      </c>
      <c r="C66" t="s">
        <v>279</v>
      </c>
      <c r="D66" t="s">
        <v>41</v>
      </c>
      <c r="F66">
        <v>2</v>
      </c>
      <c r="G66">
        <v>73.11</v>
      </c>
      <c r="H66">
        <v>146.22</v>
      </c>
      <c r="I66" t="s">
        <v>16</v>
      </c>
      <c r="J66" t="s">
        <v>24</v>
      </c>
      <c r="K66" t="s">
        <v>280</v>
      </c>
    </row>
    <row r="67" spans="1:11" x14ac:dyDescent="0.25">
      <c r="A67" t="s">
        <v>281</v>
      </c>
      <c r="B67" t="s">
        <v>49</v>
      </c>
      <c r="C67" t="s">
        <v>282</v>
      </c>
      <c r="D67" t="s">
        <v>78</v>
      </c>
      <c r="E67" t="s">
        <v>46</v>
      </c>
      <c r="F67">
        <v>6</v>
      </c>
      <c r="G67">
        <v>86.04</v>
      </c>
      <c r="H67">
        <v>516.24</v>
      </c>
      <c r="I67" t="s">
        <v>30</v>
      </c>
      <c r="K67" t="s">
        <v>52</v>
      </c>
    </row>
    <row r="68" spans="1:11" x14ac:dyDescent="0.25">
      <c r="A68" t="s">
        <v>283</v>
      </c>
      <c r="B68" t="s">
        <v>99</v>
      </c>
      <c r="C68" t="s">
        <v>276</v>
      </c>
      <c r="D68" t="s">
        <v>87</v>
      </c>
      <c r="E68" t="s">
        <v>15</v>
      </c>
      <c r="F68">
        <v>5</v>
      </c>
      <c r="G68">
        <v>54.39</v>
      </c>
      <c r="H68">
        <v>271.95</v>
      </c>
      <c r="I68" t="s">
        <v>30</v>
      </c>
      <c r="J68" t="s">
        <v>24</v>
      </c>
      <c r="K68" t="s">
        <v>103</v>
      </c>
    </row>
    <row r="69" spans="1:11" x14ac:dyDescent="0.25">
      <c r="A69" t="s">
        <v>284</v>
      </c>
      <c r="B69" t="s">
        <v>285</v>
      </c>
      <c r="C69" t="s">
        <v>286</v>
      </c>
      <c r="D69" t="s">
        <v>147</v>
      </c>
      <c r="E69" t="s">
        <v>46</v>
      </c>
      <c r="F69">
        <v>8</v>
      </c>
      <c r="G69">
        <v>302.13</v>
      </c>
      <c r="H69">
        <v>1405.48</v>
      </c>
      <c r="I69" t="s">
        <v>30</v>
      </c>
      <c r="J69" t="s">
        <v>287</v>
      </c>
      <c r="K69" t="s">
        <v>288</v>
      </c>
    </row>
    <row r="70" spans="1:11" x14ac:dyDescent="0.25">
      <c r="A70" t="s">
        <v>289</v>
      </c>
      <c r="B70" t="s">
        <v>290</v>
      </c>
      <c r="C70" t="s">
        <v>291</v>
      </c>
      <c r="D70" t="s">
        <v>78</v>
      </c>
      <c r="E70" t="s">
        <v>46</v>
      </c>
      <c r="F70">
        <v>999</v>
      </c>
      <c r="G70">
        <v>83.36</v>
      </c>
      <c r="H70">
        <v>83276.639999999999</v>
      </c>
      <c r="I70" t="s">
        <v>16</v>
      </c>
      <c r="J70" t="s">
        <v>55</v>
      </c>
      <c r="K70" t="s">
        <v>292</v>
      </c>
    </row>
    <row r="71" spans="1:11" x14ac:dyDescent="0.25">
      <c r="A71" t="s">
        <v>293</v>
      </c>
      <c r="D71" t="s">
        <v>147</v>
      </c>
      <c r="E71" t="s">
        <v>46</v>
      </c>
      <c r="F71">
        <v>8</v>
      </c>
      <c r="G71">
        <v>326.3</v>
      </c>
      <c r="H71">
        <v>3895.27</v>
      </c>
      <c r="I71" t="s">
        <v>35</v>
      </c>
      <c r="J71" t="s">
        <v>24</v>
      </c>
    </row>
    <row r="72" spans="1:11" x14ac:dyDescent="0.25">
      <c r="A72" t="s">
        <v>294</v>
      </c>
      <c r="C72" t="s">
        <v>295</v>
      </c>
      <c r="D72" t="s">
        <v>147</v>
      </c>
      <c r="E72" t="s">
        <v>46</v>
      </c>
      <c r="F72">
        <v>1</v>
      </c>
      <c r="G72">
        <v>286.10000000000002</v>
      </c>
      <c r="H72">
        <v>286.10000000000002</v>
      </c>
      <c r="I72" t="s">
        <v>16</v>
      </c>
      <c r="J72" t="s">
        <v>69</v>
      </c>
    </row>
    <row r="73" spans="1:11" x14ac:dyDescent="0.25">
      <c r="A73" t="s">
        <v>296</v>
      </c>
      <c r="B73" t="s">
        <v>297</v>
      </c>
      <c r="C73" t="s">
        <v>298</v>
      </c>
      <c r="D73" t="s">
        <v>22</v>
      </c>
      <c r="E73" t="s">
        <v>23</v>
      </c>
      <c r="F73">
        <v>6</v>
      </c>
      <c r="G73">
        <v>160.79</v>
      </c>
      <c r="H73">
        <v>964.74</v>
      </c>
      <c r="I73" t="s">
        <v>30</v>
      </c>
      <c r="K73" t="s">
        <v>299</v>
      </c>
    </row>
    <row r="74" spans="1:11" x14ac:dyDescent="0.25">
      <c r="A74" t="s">
        <v>300</v>
      </c>
      <c r="C74" t="s">
        <v>301</v>
      </c>
      <c r="D74" t="s">
        <v>214</v>
      </c>
      <c r="E74" t="s">
        <v>185</v>
      </c>
      <c r="F74">
        <v>8</v>
      </c>
      <c r="G74">
        <v>49.64</v>
      </c>
      <c r="H74">
        <v>397.12</v>
      </c>
      <c r="I74" t="s">
        <v>16</v>
      </c>
      <c r="J74" t="s">
        <v>17</v>
      </c>
    </row>
    <row r="75" spans="1:11" x14ac:dyDescent="0.25">
      <c r="A75" t="s">
        <v>302</v>
      </c>
      <c r="B75" t="s">
        <v>303</v>
      </c>
      <c r="C75" t="s">
        <v>304</v>
      </c>
      <c r="D75" t="s">
        <v>22</v>
      </c>
      <c r="E75" t="s">
        <v>23</v>
      </c>
      <c r="F75">
        <v>8</v>
      </c>
      <c r="G75">
        <v>159.09</v>
      </c>
      <c r="H75">
        <v>1272.72</v>
      </c>
      <c r="I75" t="s">
        <v>16</v>
      </c>
      <c r="K75" t="s">
        <v>305</v>
      </c>
    </row>
    <row r="76" spans="1:11" x14ac:dyDescent="0.25">
      <c r="A76" t="s">
        <v>306</v>
      </c>
      <c r="B76" t="s">
        <v>307</v>
      </c>
      <c r="C76" t="s">
        <v>308</v>
      </c>
      <c r="D76" t="s">
        <v>29</v>
      </c>
      <c r="E76" t="s">
        <v>46</v>
      </c>
      <c r="F76">
        <v>5</v>
      </c>
      <c r="G76">
        <v>961.27</v>
      </c>
      <c r="H76">
        <v>4806.3500000000004</v>
      </c>
      <c r="I76" t="s">
        <v>102</v>
      </c>
      <c r="J76" t="s">
        <v>24</v>
      </c>
      <c r="K76" t="s">
        <v>309</v>
      </c>
    </row>
    <row r="77" spans="1:11" x14ac:dyDescent="0.25">
      <c r="A77" t="s">
        <v>310</v>
      </c>
      <c r="B77" t="s">
        <v>311</v>
      </c>
      <c r="C77" t="s">
        <v>312</v>
      </c>
      <c r="D77" t="s">
        <v>101</v>
      </c>
      <c r="E77" t="s">
        <v>15</v>
      </c>
      <c r="F77">
        <v>6</v>
      </c>
      <c r="G77">
        <v>25.9</v>
      </c>
      <c r="H77">
        <v>155.4</v>
      </c>
      <c r="I77" t="s">
        <v>102</v>
      </c>
      <c r="J77" t="s">
        <v>17</v>
      </c>
      <c r="K77" t="s">
        <v>313</v>
      </c>
    </row>
    <row r="78" spans="1:11" x14ac:dyDescent="0.25">
      <c r="A78" t="s">
        <v>314</v>
      </c>
      <c r="B78" t="s">
        <v>315</v>
      </c>
      <c r="C78" t="s">
        <v>316</v>
      </c>
      <c r="D78" t="s">
        <v>147</v>
      </c>
      <c r="E78" t="s">
        <v>46</v>
      </c>
      <c r="F78">
        <v>0</v>
      </c>
      <c r="G78">
        <v>0</v>
      </c>
      <c r="H78">
        <v>0</v>
      </c>
      <c r="I78" t="s">
        <v>30</v>
      </c>
      <c r="J78" t="s">
        <v>55</v>
      </c>
      <c r="K78" t="s">
        <v>317</v>
      </c>
    </row>
    <row r="79" spans="1:11" x14ac:dyDescent="0.25">
      <c r="A79" t="s">
        <v>318</v>
      </c>
      <c r="B79" t="s">
        <v>319</v>
      </c>
      <c r="C79" t="s">
        <v>320</v>
      </c>
      <c r="D79" t="s">
        <v>101</v>
      </c>
      <c r="E79" t="s">
        <v>92</v>
      </c>
      <c r="F79">
        <v>9</v>
      </c>
      <c r="G79">
        <v>27.32</v>
      </c>
      <c r="H79">
        <v>245.88</v>
      </c>
      <c r="I79" t="s">
        <v>35</v>
      </c>
      <c r="J79" t="s">
        <v>55</v>
      </c>
      <c r="K79" t="s">
        <v>321</v>
      </c>
    </row>
    <row r="80" spans="1:11" x14ac:dyDescent="0.25">
      <c r="A80" t="s">
        <v>322</v>
      </c>
      <c r="B80" t="s">
        <v>323</v>
      </c>
      <c r="C80" t="s">
        <v>324</v>
      </c>
      <c r="D80" t="s">
        <v>147</v>
      </c>
      <c r="E80" t="s">
        <v>46</v>
      </c>
      <c r="F80">
        <v>5</v>
      </c>
      <c r="G80">
        <v>271.38</v>
      </c>
      <c r="H80">
        <v>1566.71</v>
      </c>
      <c r="I80" t="s">
        <v>16</v>
      </c>
      <c r="J80" t="s">
        <v>24</v>
      </c>
      <c r="K80" t="s">
        <v>325</v>
      </c>
    </row>
    <row r="81" spans="1:11" x14ac:dyDescent="0.25">
      <c r="A81" t="s">
        <v>326</v>
      </c>
      <c r="C81" t="s">
        <v>327</v>
      </c>
      <c r="D81" t="s">
        <v>87</v>
      </c>
      <c r="E81" t="s">
        <v>15</v>
      </c>
      <c r="F81">
        <v>4</v>
      </c>
      <c r="G81">
        <v>48.88</v>
      </c>
      <c r="H81">
        <v>274.77999999999997</v>
      </c>
      <c r="I81" t="s">
        <v>30</v>
      </c>
      <c r="J81" t="s">
        <v>55</v>
      </c>
    </row>
    <row r="82" spans="1:11" x14ac:dyDescent="0.25">
      <c r="A82" t="s">
        <v>328</v>
      </c>
      <c r="B82" t="s">
        <v>329</v>
      </c>
      <c r="C82" t="s">
        <v>330</v>
      </c>
      <c r="D82" t="s">
        <v>331</v>
      </c>
      <c r="E82" t="s">
        <v>15</v>
      </c>
      <c r="F82">
        <v>2</v>
      </c>
      <c r="G82">
        <v>25.86</v>
      </c>
      <c r="H82">
        <v>51.72</v>
      </c>
      <c r="I82" t="s">
        <v>102</v>
      </c>
      <c r="J82" t="s">
        <v>17</v>
      </c>
      <c r="K82" t="s">
        <v>332</v>
      </c>
    </row>
    <row r="83" spans="1:11" x14ac:dyDescent="0.25">
      <c r="A83" t="s">
        <v>333</v>
      </c>
      <c r="B83" t="s">
        <v>334</v>
      </c>
      <c r="C83" t="s">
        <v>58</v>
      </c>
      <c r="D83" t="s">
        <v>29</v>
      </c>
      <c r="E83" t="s">
        <v>46</v>
      </c>
      <c r="F83">
        <v>2</v>
      </c>
      <c r="G83">
        <v>968.74</v>
      </c>
      <c r="H83">
        <v>1937.48</v>
      </c>
      <c r="I83" t="s">
        <v>102</v>
      </c>
      <c r="J83" t="s">
        <v>335</v>
      </c>
    </row>
    <row r="84" spans="1:11" x14ac:dyDescent="0.25">
      <c r="A84" t="s">
        <v>336</v>
      </c>
      <c r="B84" t="s">
        <v>260</v>
      </c>
      <c r="C84" t="s">
        <v>337</v>
      </c>
      <c r="D84" t="s">
        <v>78</v>
      </c>
      <c r="E84" t="s">
        <v>46</v>
      </c>
      <c r="F84">
        <v>5</v>
      </c>
      <c r="G84">
        <v>0</v>
      </c>
      <c r="H84">
        <v>0</v>
      </c>
      <c r="I84" t="s">
        <v>16</v>
      </c>
      <c r="J84" t="s">
        <v>69</v>
      </c>
      <c r="K84" t="s">
        <v>263</v>
      </c>
    </row>
    <row r="85" spans="1:11" x14ac:dyDescent="0.25">
      <c r="A85" t="s">
        <v>338</v>
      </c>
      <c r="B85" t="s">
        <v>133</v>
      </c>
      <c r="C85" t="s">
        <v>339</v>
      </c>
      <c r="D85" t="s">
        <v>78</v>
      </c>
      <c r="F85">
        <v>999</v>
      </c>
      <c r="G85">
        <v>89.62</v>
      </c>
      <c r="H85">
        <v>89530.38</v>
      </c>
      <c r="I85" t="s">
        <v>30</v>
      </c>
      <c r="J85" t="s">
        <v>51</v>
      </c>
      <c r="K85" t="s">
        <v>340</v>
      </c>
    </row>
    <row r="86" spans="1:11" x14ac:dyDescent="0.25">
      <c r="A86" t="s">
        <v>341</v>
      </c>
      <c r="B86" t="s">
        <v>99</v>
      </c>
      <c r="C86" t="s">
        <v>342</v>
      </c>
      <c r="D86" t="s">
        <v>78</v>
      </c>
      <c r="E86" t="s">
        <v>46</v>
      </c>
      <c r="F86">
        <v>4</v>
      </c>
      <c r="G86">
        <v>86.82</v>
      </c>
      <c r="H86">
        <v>393.55</v>
      </c>
      <c r="I86" t="s">
        <v>343</v>
      </c>
      <c r="J86" t="s">
        <v>55</v>
      </c>
      <c r="K86" t="s">
        <v>103</v>
      </c>
    </row>
    <row r="87" spans="1:11" x14ac:dyDescent="0.25">
      <c r="A87" t="s">
        <v>344</v>
      </c>
      <c r="B87" t="s">
        <v>319</v>
      </c>
      <c r="C87" t="s">
        <v>279</v>
      </c>
      <c r="D87" t="s">
        <v>147</v>
      </c>
      <c r="E87" t="s">
        <v>46</v>
      </c>
      <c r="F87">
        <v>7</v>
      </c>
      <c r="G87">
        <v>283.64</v>
      </c>
      <c r="H87">
        <v>1816.25</v>
      </c>
      <c r="I87" t="s">
        <v>35</v>
      </c>
      <c r="J87" t="s">
        <v>69</v>
      </c>
      <c r="K87" t="s">
        <v>321</v>
      </c>
    </row>
    <row r="88" spans="1:11" x14ac:dyDescent="0.25">
      <c r="A88" t="s">
        <v>345</v>
      </c>
      <c r="B88" t="s">
        <v>346</v>
      </c>
      <c r="C88" t="s">
        <v>347</v>
      </c>
      <c r="D88" t="s">
        <v>29</v>
      </c>
      <c r="E88" t="s">
        <v>46</v>
      </c>
      <c r="F88">
        <v>4</v>
      </c>
      <c r="G88">
        <v>973.85</v>
      </c>
      <c r="H88">
        <v>2374.12</v>
      </c>
      <c r="I88" t="s">
        <v>35</v>
      </c>
      <c r="J88" t="s">
        <v>51</v>
      </c>
      <c r="K88" t="s">
        <v>348</v>
      </c>
    </row>
    <row r="89" spans="1:11" x14ac:dyDescent="0.25">
      <c r="A89" t="s">
        <v>349</v>
      </c>
      <c r="B89" t="s">
        <v>233</v>
      </c>
      <c r="C89" t="s">
        <v>350</v>
      </c>
      <c r="D89" t="s">
        <v>22</v>
      </c>
      <c r="F89">
        <v>8</v>
      </c>
      <c r="G89">
        <v>147.83000000000001</v>
      </c>
      <c r="H89">
        <v>1182.6400000000001</v>
      </c>
      <c r="I89" t="s">
        <v>30</v>
      </c>
      <c r="J89" t="s">
        <v>17</v>
      </c>
      <c r="K89" t="s">
        <v>235</v>
      </c>
    </row>
    <row r="90" spans="1:11" x14ac:dyDescent="0.25">
      <c r="A90" t="s">
        <v>351</v>
      </c>
      <c r="B90" t="s">
        <v>352</v>
      </c>
      <c r="C90" t="s">
        <v>353</v>
      </c>
      <c r="D90" t="s">
        <v>87</v>
      </c>
      <c r="E90" t="s">
        <v>15</v>
      </c>
      <c r="F90">
        <v>5</v>
      </c>
      <c r="G90">
        <v>50.05</v>
      </c>
      <c r="H90">
        <v>358.55</v>
      </c>
      <c r="I90" t="s">
        <v>102</v>
      </c>
      <c r="J90" t="s">
        <v>24</v>
      </c>
      <c r="K90" t="s">
        <v>354</v>
      </c>
    </row>
    <row r="91" spans="1:11" x14ac:dyDescent="0.25">
      <c r="A91" t="s">
        <v>355</v>
      </c>
      <c r="B91" t="s">
        <v>356</v>
      </c>
      <c r="C91" t="s">
        <v>357</v>
      </c>
      <c r="D91" t="s">
        <v>78</v>
      </c>
      <c r="E91" t="s">
        <v>46</v>
      </c>
      <c r="F91">
        <v>8</v>
      </c>
      <c r="G91">
        <v>84.88</v>
      </c>
      <c r="H91">
        <v>679.04</v>
      </c>
      <c r="I91" t="s">
        <v>16</v>
      </c>
      <c r="J91" t="s">
        <v>55</v>
      </c>
      <c r="K91" t="s">
        <v>358</v>
      </c>
    </row>
    <row r="92" spans="1:11" x14ac:dyDescent="0.25">
      <c r="A92" t="s">
        <v>359</v>
      </c>
      <c r="B92" t="s">
        <v>113</v>
      </c>
      <c r="C92" t="s">
        <v>360</v>
      </c>
      <c r="D92" t="s">
        <v>214</v>
      </c>
      <c r="E92" t="s">
        <v>361</v>
      </c>
      <c r="F92">
        <v>9</v>
      </c>
      <c r="G92">
        <v>51.11</v>
      </c>
      <c r="H92">
        <v>459.99</v>
      </c>
      <c r="I92" t="s">
        <v>30</v>
      </c>
      <c r="J92" t="s">
        <v>164</v>
      </c>
      <c r="K92" t="s">
        <v>114</v>
      </c>
    </row>
    <row r="93" spans="1:11" x14ac:dyDescent="0.25">
      <c r="A93" t="s">
        <v>362</v>
      </c>
      <c r="B93" t="s">
        <v>363</v>
      </c>
      <c r="C93" t="s">
        <v>364</v>
      </c>
      <c r="D93" t="s">
        <v>29</v>
      </c>
      <c r="E93" t="s">
        <v>46</v>
      </c>
      <c r="F93">
        <v>1</v>
      </c>
      <c r="G93">
        <v>970.18</v>
      </c>
      <c r="H93">
        <v>970.18</v>
      </c>
      <c r="I93" t="s">
        <v>102</v>
      </c>
      <c r="J93" t="s">
        <v>24</v>
      </c>
      <c r="K93" t="s">
        <v>365</v>
      </c>
    </row>
    <row r="94" spans="1:11" x14ac:dyDescent="0.25">
      <c r="A94" t="s">
        <v>366</v>
      </c>
      <c r="B94" t="s">
        <v>367</v>
      </c>
      <c r="C94" t="s">
        <v>368</v>
      </c>
      <c r="D94" t="s">
        <v>22</v>
      </c>
      <c r="E94" t="s">
        <v>23</v>
      </c>
      <c r="F94">
        <v>2</v>
      </c>
      <c r="I94" t="s">
        <v>30</v>
      </c>
      <c r="J94" t="s">
        <v>51</v>
      </c>
      <c r="K94" t="s">
        <v>369</v>
      </c>
    </row>
    <row r="95" spans="1:11" x14ac:dyDescent="0.25">
      <c r="A95" t="s">
        <v>370</v>
      </c>
      <c r="B95" t="s">
        <v>371</v>
      </c>
      <c r="D95" t="s">
        <v>331</v>
      </c>
      <c r="E95" t="s">
        <v>15</v>
      </c>
      <c r="F95">
        <v>8</v>
      </c>
      <c r="G95">
        <v>23.77</v>
      </c>
      <c r="H95">
        <v>190.16</v>
      </c>
      <c r="I95" t="s">
        <v>30</v>
      </c>
      <c r="J95" t="s">
        <v>69</v>
      </c>
      <c r="K95" t="s">
        <v>372</v>
      </c>
    </row>
    <row r="96" spans="1:11" x14ac:dyDescent="0.25">
      <c r="A96" t="s">
        <v>373</v>
      </c>
      <c r="B96" t="s">
        <v>374</v>
      </c>
      <c r="C96" t="s">
        <v>375</v>
      </c>
      <c r="D96" t="s">
        <v>29</v>
      </c>
      <c r="E96" t="s">
        <v>46</v>
      </c>
      <c r="F96">
        <v>3</v>
      </c>
      <c r="G96">
        <v>917.92</v>
      </c>
      <c r="H96">
        <v>2753.76</v>
      </c>
      <c r="I96" t="s">
        <v>16</v>
      </c>
      <c r="J96" t="s">
        <v>55</v>
      </c>
      <c r="K96" t="s">
        <v>376</v>
      </c>
    </row>
    <row r="97" spans="1:11" x14ac:dyDescent="0.25">
      <c r="A97" t="s">
        <v>377</v>
      </c>
      <c r="B97" t="s">
        <v>378</v>
      </c>
      <c r="C97" t="s">
        <v>379</v>
      </c>
      <c r="D97" t="s">
        <v>214</v>
      </c>
      <c r="E97" t="s">
        <v>185</v>
      </c>
      <c r="F97">
        <v>7</v>
      </c>
      <c r="G97">
        <v>54.31</v>
      </c>
      <c r="H97">
        <v>454.95</v>
      </c>
      <c r="I97" t="s">
        <v>102</v>
      </c>
      <c r="J97" t="s">
        <v>287</v>
      </c>
      <c r="K97" t="s">
        <v>380</v>
      </c>
    </row>
    <row r="98" spans="1:11" x14ac:dyDescent="0.25">
      <c r="A98" t="s">
        <v>381</v>
      </c>
      <c r="B98" t="s">
        <v>382</v>
      </c>
      <c r="C98" t="s">
        <v>383</v>
      </c>
      <c r="D98" t="s">
        <v>41</v>
      </c>
      <c r="E98" t="s">
        <v>15</v>
      </c>
      <c r="F98">
        <v>4</v>
      </c>
      <c r="G98">
        <v>85.07</v>
      </c>
      <c r="H98">
        <v>340.28</v>
      </c>
      <c r="I98" t="s">
        <v>30</v>
      </c>
      <c r="K98" t="s">
        <v>384</v>
      </c>
    </row>
    <row r="99" spans="1:11" x14ac:dyDescent="0.25">
      <c r="A99" t="s">
        <v>385</v>
      </c>
      <c r="B99" t="s">
        <v>386</v>
      </c>
      <c r="C99" t="s">
        <v>387</v>
      </c>
      <c r="D99" t="s">
        <v>388</v>
      </c>
      <c r="E99" t="s">
        <v>185</v>
      </c>
      <c r="F99">
        <v>7</v>
      </c>
      <c r="G99">
        <v>48.86</v>
      </c>
      <c r="H99">
        <v>342.02</v>
      </c>
      <c r="I99" t="s">
        <v>16</v>
      </c>
      <c r="J99" t="s">
        <v>83</v>
      </c>
      <c r="K99" t="s">
        <v>389</v>
      </c>
    </row>
    <row r="100" spans="1:11" x14ac:dyDescent="0.25">
      <c r="A100" t="s">
        <v>390</v>
      </c>
      <c r="B100" t="s">
        <v>248</v>
      </c>
      <c r="C100" t="s">
        <v>391</v>
      </c>
      <c r="D100" t="s">
        <v>22</v>
      </c>
      <c r="E100" t="s">
        <v>23</v>
      </c>
      <c r="F100">
        <v>7</v>
      </c>
      <c r="G100">
        <v>144.97999999999999</v>
      </c>
      <c r="H100">
        <v>605.41999999999996</v>
      </c>
      <c r="I100" t="s">
        <v>30</v>
      </c>
      <c r="J100" t="s">
        <v>392</v>
      </c>
      <c r="K100" t="s">
        <v>250</v>
      </c>
    </row>
    <row r="101" spans="1:11" x14ac:dyDescent="0.25">
      <c r="A101" t="s">
        <v>393</v>
      </c>
      <c r="B101" t="s">
        <v>394</v>
      </c>
      <c r="C101" t="s">
        <v>395</v>
      </c>
      <c r="D101" t="s">
        <v>41</v>
      </c>
      <c r="E101" t="s">
        <v>15</v>
      </c>
      <c r="F101">
        <v>3</v>
      </c>
      <c r="G101">
        <v>72.400000000000006</v>
      </c>
      <c r="H101">
        <v>217.2</v>
      </c>
      <c r="I101" t="s">
        <v>30</v>
      </c>
      <c r="J101" t="s">
        <v>55</v>
      </c>
      <c r="K101" t="s">
        <v>396</v>
      </c>
    </row>
    <row r="102" spans="1:11" x14ac:dyDescent="0.25">
      <c r="A102" t="s">
        <v>397</v>
      </c>
      <c r="B102" t="s">
        <v>229</v>
      </c>
      <c r="C102" t="s">
        <v>398</v>
      </c>
      <c r="D102" t="s">
        <v>78</v>
      </c>
      <c r="E102" t="s">
        <v>46</v>
      </c>
      <c r="F102">
        <v>9</v>
      </c>
      <c r="G102">
        <v>95.43</v>
      </c>
      <c r="H102">
        <v>858.87</v>
      </c>
      <c r="I102" t="s">
        <v>102</v>
      </c>
      <c r="J102" t="s">
        <v>24</v>
      </c>
      <c r="K102" t="s">
        <v>231</v>
      </c>
    </row>
    <row r="103" spans="1:11" x14ac:dyDescent="0.25">
      <c r="A103" t="s">
        <v>128</v>
      </c>
      <c r="B103" t="s">
        <v>129</v>
      </c>
      <c r="C103" t="s">
        <v>130</v>
      </c>
      <c r="D103" t="s">
        <v>101</v>
      </c>
      <c r="F103">
        <v>1</v>
      </c>
      <c r="I103" t="s">
        <v>30</v>
      </c>
      <c r="J103" t="s">
        <v>69</v>
      </c>
      <c r="K103" t="s">
        <v>131</v>
      </c>
    </row>
    <row r="104" spans="1:11" x14ac:dyDescent="0.25">
      <c r="A104" t="s">
        <v>268</v>
      </c>
      <c r="B104" t="s">
        <v>269</v>
      </c>
      <c r="C104" t="s">
        <v>270</v>
      </c>
      <c r="D104" t="s">
        <v>271</v>
      </c>
      <c r="E104" t="s">
        <v>64</v>
      </c>
      <c r="F104">
        <v>8</v>
      </c>
      <c r="G104">
        <v>320.92</v>
      </c>
      <c r="H104">
        <v>2567.36</v>
      </c>
      <c r="I104" t="s">
        <v>30</v>
      </c>
      <c r="J104" t="s">
        <v>51</v>
      </c>
      <c r="K104" t="s">
        <v>272</v>
      </c>
    </row>
    <row r="105" spans="1:11" x14ac:dyDescent="0.25">
      <c r="A105" t="s">
        <v>399</v>
      </c>
      <c r="B105" t="s">
        <v>400</v>
      </c>
      <c r="C105" t="s">
        <v>401</v>
      </c>
      <c r="D105" t="s">
        <v>147</v>
      </c>
      <c r="E105" t="s">
        <v>46</v>
      </c>
      <c r="F105">
        <v>6</v>
      </c>
      <c r="G105">
        <v>281.68</v>
      </c>
      <c r="H105">
        <v>1690.08</v>
      </c>
      <c r="I105" t="s">
        <v>16</v>
      </c>
      <c r="J105" t="s">
        <v>24</v>
      </c>
      <c r="K105" t="s">
        <v>402</v>
      </c>
    </row>
    <row r="106" spans="1:11" x14ac:dyDescent="0.25">
      <c r="A106" t="s">
        <v>403</v>
      </c>
      <c r="B106" t="s">
        <v>212</v>
      </c>
      <c r="C106" t="s">
        <v>404</v>
      </c>
      <c r="D106" t="s">
        <v>59</v>
      </c>
      <c r="E106" t="s">
        <v>23</v>
      </c>
      <c r="F106">
        <v>5</v>
      </c>
      <c r="G106">
        <v>151.13999999999999</v>
      </c>
      <c r="H106">
        <v>755.7</v>
      </c>
      <c r="I106" t="s">
        <v>30</v>
      </c>
      <c r="J106" t="s">
        <v>55</v>
      </c>
      <c r="K106" t="s">
        <v>215</v>
      </c>
    </row>
    <row r="107" spans="1:11" x14ac:dyDescent="0.25">
      <c r="A107" t="s">
        <v>405</v>
      </c>
      <c r="B107" t="s">
        <v>346</v>
      </c>
      <c r="C107" t="s">
        <v>205</v>
      </c>
      <c r="D107" t="s">
        <v>22</v>
      </c>
      <c r="E107" t="s">
        <v>23</v>
      </c>
      <c r="F107">
        <v>2</v>
      </c>
      <c r="G107">
        <v>152.94999999999999</v>
      </c>
      <c r="H107">
        <v>305.89999999999998</v>
      </c>
      <c r="I107" t="s">
        <v>30</v>
      </c>
      <c r="J107" t="s">
        <v>17</v>
      </c>
      <c r="K107" t="s">
        <v>348</v>
      </c>
    </row>
    <row r="108" spans="1:11" x14ac:dyDescent="0.25">
      <c r="A108" t="s">
        <v>406</v>
      </c>
      <c r="B108" t="s">
        <v>407</v>
      </c>
      <c r="C108" t="s">
        <v>408</v>
      </c>
      <c r="D108" t="s">
        <v>101</v>
      </c>
      <c r="F108">
        <v>1</v>
      </c>
      <c r="G108">
        <v>28.09</v>
      </c>
      <c r="H108">
        <v>15.68</v>
      </c>
      <c r="I108" t="s">
        <v>30</v>
      </c>
      <c r="J108" t="s">
        <v>55</v>
      </c>
      <c r="K108" t="s">
        <v>409</v>
      </c>
    </row>
    <row r="109" spans="1:11" x14ac:dyDescent="0.25">
      <c r="A109" t="s">
        <v>410</v>
      </c>
      <c r="B109" t="s">
        <v>411</v>
      </c>
      <c r="C109" t="s">
        <v>360</v>
      </c>
      <c r="D109" t="s">
        <v>101</v>
      </c>
      <c r="F109">
        <v>3</v>
      </c>
      <c r="G109">
        <v>24.21</v>
      </c>
      <c r="H109">
        <v>72.63</v>
      </c>
      <c r="I109" t="s">
        <v>16</v>
      </c>
      <c r="J109" t="s">
        <v>262</v>
      </c>
      <c r="K109" t="s">
        <v>412</v>
      </c>
    </row>
    <row r="110" spans="1:11" x14ac:dyDescent="0.25">
      <c r="A110" t="s">
        <v>413</v>
      </c>
      <c r="B110" t="s">
        <v>414</v>
      </c>
      <c r="C110" t="s">
        <v>415</v>
      </c>
      <c r="D110" t="s">
        <v>87</v>
      </c>
      <c r="E110" t="s">
        <v>15</v>
      </c>
      <c r="F110">
        <v>7</v>
      </c>
      <c r="G110">
        <v>50.74</v>
      </c>
      <c r="H110">
        <v>355.18</v>
      </c>
      <c r="I110" t="s">
        <v>16</v>
      </c>
      <c r="J110" t="s">
        <v>55</v>
      </c>
      <c r="K110" t="s">
        <v>416</v>
      </c>
    </row>
    <row r="111" spans="1:11" x14ac:dyDescent="0.25">
      <c r="A111" t="s">
        <v>417</v>
      </c>
      <c r="B111" t="s">
        <v>99</v>
      </c>
      <c r="C111" t="s">
        <v>418</v>
      </c>
      <c r="D111" t="s">
        <v>87</v>
      </c>
      <c r="E111" t="s">
        <v>15</v>
      </c>
      <c r="F111">
        <v>3</v>
      </c>
      <c r="G111">
        <v>54.57</v>
      </c>
      <c r="H111">
        <v>163.71</v>
      </c>
      <c r="I111" t="s">
        <v>35</v>
      </c>
      <c r="J111" t="s">
        <v>24</v>
      </c>
      <c r="K111" t="s">
        <v>103</v>
      </c>
    </row>
    <row r="112" spans="1:11" x14ac:dyDescent="0.25">
      <c r="A112" t="s">
        <v>419</v>
      </c>
      <c r="B112" t="s">
        <v>420</v>
      </c>
      <c r="C112" t="s">
        <v>213</v>
      </c>
      <c r="D112" t="s">
        <v>87</v>
      </c>
      <c r="E112" t="s">
        <v>15</v>
      </c>
      <c r="F112">
        <v>-4</v>
      </c>
      <c r="G112">
        <v>50.12</v>
      </c>
      <c r="H112">
        <v>-200.48</v>
      </c>
      <c r="I112" t="s">
        <v>35</v>
      </c>
      <c r="J112" t="s">
        <v>55</v>
      </c>
      <c r="K112" t="s">
        <v>421</v>
      </c>
    </row>
    <row r="113" spans="1:11" x14ac:dyDescent="0.25">
      <c r="A113" t="s">
        <v>422</v>
      </c>
      <c r="B113" t="s">
        <v>178</v>
      </c>
      <c r="C113" t="s">
        <v>423</v>
      </c>
      <c r="D113" t="s">
        <v>101</v>
      </c>
      <c r="E113" t="s">
        <v>92</v>
      </c>
      <c r="F113">
        <v>9</v>
      </c>
      <c r="I113" t="s">
        <v>35</v>
      </c>
      <c r="K113" t="s">
        <v>180</v>
      </c>
    </row>
    <row r="114" spans="1:11" x14ac:dyDescent="0.25">
      <c r="A114" t="s">
        <v>424</v>
      </c>
      <c r="B114" t="s">
        <v>425</v>
      </c>
      <c r="C114" t="s">
        <v>426</v>
      </c>
      <c r="D114" t="s">
        <v>29</v>
      </c>
      <c r="E114" t="s">
        <v>46</v>
      </c>
      <c r="F114">
        <v>0</v>
      </c>
      <c r="G114">
        <v>892.83</v>
      </c>
      <c r="H114">
        <v>0</v>
      </c>
      <c r="I114" t="s">
        <v>35</v>
      </c>
      <c r="J114" t="s">
        <v>69</v>
      </c>
      <c r="K114" t="s">
        <v>427</v>
      </c>
    </row>
    <row r="115" spans="1:11" x14ac:dyDescent="0.25">
      <c r="A115" t="s">
        <v>428</v>
      </c>
      <c r="B115" t="s">
        <v>429</v>
      </c>
      <c r="C115" t="s">
        <v>430</v>
      </c>
      <c r="D115" t="s">
        <v>87</v>
      </c>
      <c r="E115" t="s">
        <v>92</v>
      </c>
      <c r="F115">
        <v>6</v>
      </c>
      <c r="G115">
        <v>45.02</v>
      </c>
      <c r="H115">
        <v>270.12</v>
      </c>
      <c r="I115" t="s">
        <v>35</v>
      </c>
      <c r="J115" t="s">
        <v>51</v>
      </c>
      <c r="K115" t="s">
        <v>431</v>
      </c>
    </row>
    <row r="116" spans="1:11" x14ac:dyDescent="0.25">
      <c r="A116" t="s">
        <v>432</v>
      </c>
      <c r="B116" t="s">
        <v>433</v>
      </c>
      <c r="C116" t="s">
        <v>434</v>
      </c>
      <c r="D116" t="s">
        <v>29</v>
      </c>
      <c r="E116" t="s">
        <v>46</v>
      </c>
      <c r="F116">
        <v>6</v>
      </c>
      <c r="G116">
        <v>813.8</v>
      </c>
      <c r="H116">
        <v>4882.8</v>
      </c>
      <c r="I116" t="s">
        <v>35</v>
      </c>
      <c r="J116" t="s">
        <v>69</v>
      </c>
      <c r="K116" t="s">
        <v>435</v>
      </c>
    </row>
    <row r="117" spans="1:11" x14ac:dyDescent="0.25">
      <c r="A117" t="s">
        <v>436</v>
      </c>
      <c r="B117" t="s">
        <v>367</v>
      </c>
      <c r="C117" t="s">
        <v>437</v>
      </c>
      <c r="D117" t="s">
        <v>29</v>
      </c>
      <c r="E117" t="s">
        <v>46</v>
      </c>
      <c r="F117">
        <v>999</v>
      </c>
      <c r="G117">
        <v>917.66</v>
      </c>
      <c r="H117">
        <v>916742.34</v>
      </c>
      <c r="I117" t="s">
        <v>102</v>
      </c>
      <c r="J117" t="s">
        <v>51</v>
      </c>
      <c r="K117" t="s">
        <v>438</v>
      </c>
    </row>
    <row r="118" spans="1:11" x14ac:dyDescent="0.25">
      <c r="A118" t="s">
        <v>439</v>
      </c>
      <c r="B118" t="s">
        <v>440</v>
      </c>
      <c r="C118" t="s">
        <v>441</v>
      </c>
      <c r="D118" t="s">
        <v>214</v>
      </c>
      <c r="E118" t="s">
        <v>185</v>
      </c>
      <c r="F118">
        <v>6</v>
      </c>
      <c r="G118">
        <v>49.51</v>
      </c>
      <c r="H118">
        <v>297.06</v>
      </c>
      <c r="I118" t="s">
        <v>30</v>
      </c>
      <c r="J118" t="s">
        <v>55</v>
      </c>
      <c r="K118" t="s">
        <v>442</v>
      </c>
    </row>
    <row r="119" spans="1:11" x14ac:dyDescent="0.25">
      <c r="A119" t="s">
        <v>443</v>
      </c>
      <c r="B119" t="s">
        <v>425</v>
      </c>
      <c r="C119" t="s">
        <v>444</v>
      </c>
      <c r="D119" t="s">
        <v>147</v>
      </c>
      <c r="E119" t="s">
        <v>46</v>
      </c>
      <c r="F119">
        <v>6</v>
      </c>
      <c r="G119">
        <v>324.36</v>
      </c>
      <c r="H119">
        <v>1946.16</v>
      </c>
      <c r="I119" t="s">
        <v>30</v>
      </c>
      <c r="J119" t="s">
        <v>51</v>
      </c>
      <c r="K119" t="s">
        <v>427</v>
      </c>
    </row>
    <row r="120" spans="1:11" x14ac:dyDescent="0.25">
      <c r="A120" t="s">
        <v>445</v>
      </c>
      <c r="B120" t="s">
        <v>446</v>
      </c>
      <c r="C120" t="s">
        <v>447</v>
      </c>
      <c r="D120" t="s">
        <v>29</v>
      </c>
      <c r="E120" t="s">
        <v>46</v>
      </c>
      <c r="F120">
        <v>999</v>
      </c>
      <c r="G120">
        <v>928.36</v>
      </c>
      <c r="H120">
        <v>927431.64</v>
      </c>
      <c r="I120" t="s">
        <v>35</v>
      </c>
      <c r="K120" t="s">
        <v>448</v>
      </c>
    </row>
    <row r="121" spans="1:11" x14ac:dyDescent="0.25">
      <c r="A121" t="s">
        <v>449</v>
      </c>
      <c r="B121" t="s">
        <v>182</v>
      </c>
      <c r="C121" t="s">
        <v>450</v>
      </c>
      <c r="D121" t="s">
        <v>331</v>
      </c>
      <c r="F121">
        <v>8</v>
      </c>
      <c r="G121">
        <v>24.02</v>
      </c>
      <c r="H121">
        <v>192.16</v>
      </c>
      <c r="I121" t="s">
        <v>16</v>
      </c>
      <c r="J121" t="s">
        <v>69</v>
      </c>
      <c r="K121" t="s">
        <v>186</v>
      </c>
    </row>
    <row r="122" spans="1:11" x14ac:dyDescent="0.25">
      <c r="A122" t="s">
        <v>451</v>
      </c>
      <c r="B122" t="s">
        <v>452</v>
      </c>
      <c r="C122" t="s">
        <v>453</v>
      </c>
      <c r="D122" t="s">
        <v>101</v>
      </c>
      <c r="E122" t="s">
        <v>15</v>
      </c>
      <c r="F122">
        <v>3</v>
      </c>
      <c r="G122">
        <v>27.59</v>
      </c>
      <c r="H122">
        <v>82.77</v>
      </c>
      <c r="I122" t="s">
        <v>35</v>
      </c>
      <c r="J122" t="s">
        <v>17</v>
      </c>
      <c r="K122" t="s">
        <v>454</v>
      </c>
    </row>
    <row r="123" spans="1:11" x14ac:dyDescent="0.25">
      <c r="A123" t="s">
        <v>455</v>
      </c>
      <c r="C123" t="s">
        <v>456</v>
      </c>
      <c r="D123" t="s">
        <v>41</v>
      </c>
      <c r="E123" t="s">
        <v>92</v>
      </c>
      <c r="F123">
        <v>4</v>
      </c>
      <c r="G123">
        <v>0</v>
      </c>
      <c r="H123">
        <v>0</v>
      </c>
      <c r="I123" t="s">
        <v>35</v>
      </c>
      <c r="J123" t="s">
        <v>69</v>
      </c>
    </row>
    <row r="124" spans="1:11" x14ac:dyDescent="0.25">
      <c r="A124" t="s">
        <v>457</v>
      </c>
      <c r="B124" t="s">
        <v>62</v>
      </c>
      <c r="C124" t="s">
        <v>458</v>
      </c>
      <c r="D124" t="s">
        <v>190</v>
      </c>
      <c r="E124" t="s">
        <v>46</v>
      </c>
      <c r="F124">
        <v>4</v>
      </c>
      <c r="G124">
        <v>91.22</v>
      </c>
      <c r="H124">
        <v>364.88</v>
      </c>
      <c r="I124" t="s">
        <v>30</v>
      </c>
      <c r="J124" t="s">
        <v>24</v>
      </c>
      <c r="K124" t="s">
        <v>65</v>
      </c>
    </row>
    <row r="125" spans="1:11" x14ac:dyDescent="0.25">
      <c r="A125" t="s">
        <v>459</v>
      </c>
      <c r="B125" t="s">
        <v>460</v>
      </c>
      <c r="C125" t="s">
        <v>461</v>
      </c>
      <c r="D125" t="s">
        <v>87</v>
      </c>
      <c r="E125" t="s">
        <v>15</v>
      </c>
      <c r="F125">
        <v>6</v>
      </c>
      <c r="G125">
        <v>46.76</v>
      </c>
      <c r="H125">
        <v>280.56</v>
      </c>
      <c r="I125" t="s">
        <v>16</v>
      </c>
      <c r="J125" t="s">
        <v>55</v>
      </c>
      <c r="K125" t="s">
        <v>462</v>
      </c>
    </row>
    <row r="126" spans="1:11" x14ac:dyDescent="0.25">
      <c r="A126" t="s">
        <v>463</v>
      </c>
      <c r="B126" t="s">
        <v>464</v>
      </c>
      <c r="C126" t="s">
        <v>465</v>
      </c>
      <c r="D126" t="s">
        <v>87</v>
      </c>
      <c r="E126" t="s">
        <v>15</v>
      </c>
      <c r="F126">
        <v>8</v>
      </c>
      <c r="G126">
        <v>49.33</v>
      </c>
      <c r="H126">
        <v>377.02</v>
      </c>
      <c r="I126" t="s">
        <v>35</v>
      </c>
      <c r="J126" t="s">
        <v>262</v>
      </c>
      <c r="K126" t="s">
        <v>466</v>
      </c>
    </row>
    <row r="127" spans="1:11" x14ac:dyDescent="0.25">
      <c r="A127" t="s">
        <v>467</v>
      </c>
      <c r="C127" t="s">
        <v>468</v>
      </c>
      <c r="D127" t="s">
        <v>147</v>
      </c>
      <c r="E127" t="s">
        <v>46</v>
      </c>
      <c r="F127">
        <v>5</v>
      </c>
      <c r="G127">
        <v>328.11</v>
      </c>
      <c r="H127">
        <v>1640.55</v>
      </c>
      <c r="I127" t="s">
        <v>16</v>
      </c>
      <c r="J127" t="s">
        <v>51</v>
      </c>
    </row>
    <row r="128" spans="1:11" x14ac:dyDescent="0.25">
      <c r="A128" t="s">
        <v>197</v>
      </c>
      <c r="B128" t="s">
        <v>44</v>
      </c>
      <c r="C128" t="s">
        <v>198</v>
      </c>
      <c r="D128" t="s">
        <v>59</v>
      </c>
      <c r="E128" t="s">
        <v>23</v>
      </c>
      <c r="F128">
        <v>2</v>
      </c>
      <c r="G128">
        <v>156.93</v>
      </c>
      <c r="H128">
        <v>313.86</v>
      </c>
      <c r="I128" t="s">
        <v>35</v>
      </c>
      <c r="J128" t="s">
        <v>69</v>
      </c>
      <c r="K128" t="s">
        <v>47</v>
      </c>
    </row>
    <row r="129" spans="1:11" x14ac:dyDescent="0.25">
      <c r="A129" t="s">
        <v>469</v>
      </c>
      <c r="B129" t="s">
        <v>470</v>
      </c>
      <c r="C129" t="s">
        <v>471</v>
      </c>
      <c r="D129" t="s">
        <v>214</v>
      </c>
      <c r="E129" t="s">
        <v>185</v>
      </c>
      <c r="F129">
        <v>-1</v>
      </c>
      <c r="G129">
        <v>51.87</v>
      </c>
      <c r="H129">
        <v>-51.87</v>
      </c>
      <c r="I129" t="s">
        <v>16</v>
      </c>
      <c r="K129" t="s">
        <v>472</v>
      </c>
    </row>
    <row r="130" spans="1:11" x14ac:dyDescent="0.25">
      <c r="A130" t="s">
        <v>473</v>
      </c>
      <c r="B130" t="s">
        <v>474</v>
      </c>
      <c r="C130" t="s">
        <v>475</v>
      </c>
      <c r="D130" t="s">
        <v>41</v>
      </c>
      <c r="E130" t="s">
        <v>15</v>
      </c>
      <c r="F130">
        <v>6</v>
      </c>
      <c r="G130">
        <v>73.3</v>
      </c>
      <c r="H130">
        <v>439.8</v>
      </c>
      <c r="I130" t="s">
        <v>35</v>
      </c>
      <c r="J130" t="s">
        <v>55</v>
      </c>
      <c r="K130" t="s">
        <v>476</v>
      </c>
    </row>
    <row r="131" spans="1:11" x14ac:dyDescent="0.25">
      <c r="A131" t="s">
        <v>477</v>
      </c>
      <c r="B131" t="s">
        <v>478</v>
      </c>
      <c r="C131" t="s">
        <v>479</v>
      </c>
      <c r="D131" t="s">
        <v>87</v>
      </c>
      <c r="E131" t="s">
        <v>15</v>
      </c>
      <c r="F131">
        <v>8</v>
      </c>
      <c r="G131">
        <v>47.41</v>
      </c>
      <c r="H131">
        <v>379.28</v>
      </c>
      <c r="I131" t="s">
        <v>102</v>
      </c>
      <c r="J131" t="s">
        <v>51</v>
      </c>
      <c r="K131" t="s">
        <v>480</v>
      </c>
    </row>
    <row r="132" spans="1:11" x14ac:dyDescent="0.25">
      <c r="A132" t="s">
        <v>481</v>
      </c>
      <c r="B132" t="s">
        <v>482</v>
      </c>
      <c r="C132" t="s">
        <v>483</v>
      </c>
      <c r="D132" t="s">
        <v>41</v>
      </c>
      <c r="E132" t="s">
        <v>15</v>
      </c>
      <c r="F132">
        <v>999</v>
      </c>
      <c r="G132">
        <v>81.42</v>
      </c>
      <c r="H132">
        <v>81338.58</v>
      </c>
      <c r="I132" t="s">
        <v>343</v>
      </c>
      <c r="K132" t="s">
        <v>484</v>
      </c>
    </row>
    <row r="133" spans="1:11" x14ac:dyDescent="0.25">
      <c r="A133" t="s">
        <v>80</v>
      </c>
      <c r="B133" t="s">
        <v>81</v>
      </c>
      <c r="C133" t="s">
        <v>82</v>
      </c>
      <c r="D133" t="s">
        <v>29</v>
      </c>
      <c r="E133" t="s">
        <v>46</v>
      </c>
      <c r="F133">
        <v>2</v>
      </c>
      <c r="G133">
        <v>962.98</v>
      </c>
      <c r="H133">
        <v>1925.96</v>
      </c>
      <c r="I133" t="s">
        <v>16</v>
      </c>
      <c r="J133" t="s">
        <v>83</v>
      </c>
      <c r="K133" t="s">
        <v>84</v>
      </c>
    </row>
    <row r="134" spans="1:11" x14ac:dyDescent="0.25">
      <c r="A134" t="s">
        <v>485</v>
      </c>
      <c r="B134" t="s">
        <v>486</v>
      </c>
      <c r="C134" t="s">
        <v>487</v>
      </c>
      <c r="D134" t="s">
        <v>78</v>
      </c>
      <c r="E134" t="s">
        <v>46</v>
      </c>
      <c r="F134">
        <v>3</v>
      </c>
      <c r="G134">
        <v>92.66</v>
      </c>
      <c r="H134">
        <v>277.98</v>
      </c>
      <c r="I134" t="s">
        <v>102</v>
      </c>
      <c r="J134" t="s">
        <v>51</v>
      </c>
      <c r="K134" t="s">
        <v>488</v>
      </c>
    </row>
    <row r="135" spans="1:11" x14ac:dyDescent="0.25">
      <c r="A135" t="s">
        <v>489</v>
      </c>
      <c r="C135" t="s">
        <v>490</v>
      </c>
      <c r="D135" t="s">
        <v>101</v>
      </c>
      <c r="E135" t="s">
        <v>15</v>
      </c>
      <c r="F135">
        <v>1</v>
      </c>
      <c r="G135">
        <v>0</v>
      </c>
      <c r="H135">
        <v>0</v>
      </c>
      <c r="I135" t="s">
        <v>35</v>
      </c>
      <c r="J135" t="s">
        <v>55</v>
      </c>
    </row>
    <row r="136" spans="1:11" x14ac:dyDescent="0.25">
      <c r="A136" t="s">
        <v>491</v>
      </c>
      <c r="B136" t="s">
        <v>492</v>
      </c>
      <c r="C136" t="s">
        <v>493</v>
      </c>
      <c r="D136" t="s">
        <v>87</v>
      </c>
      <c r="E136" t="s">
        <v>15</v>
      </c>
      <c r="F136">
        <v>6</v>
      </c>
      <c r="G136">
        <v>53.06</v>
      </c>
      <c r="H136">
        <v>318.36</v>
      </c>
      <c r="I136" t="s">
        <v>494</v>
      </c>
      <c r="K136" t="s">
        <v>495</v>
      </c>
    </row>
    <row r="137" spans="1:11" x14ac:dyDescent="0.25">
      <c r="A137" t="s">
        <v>496</v>
      </c>
      <c r="B137" t="s">
        <v>497</v>
      </c>
      <c r="C137" t="s">
        <v>498</v>
      </c>
      <c r="D137" t="s">
        <v>147</v>
      </c>
      <c r="E137" t="s">
        <v>46</v>
      </c>
      <c r="F137">
        <v>7</v>
      </c>
      <c r="G137">
        <v>282.89</v>
      </c>
      <c r="H137">
        <v>1509.46</v>
      </c>
      <c r="I137" t="s">
        <v>102</v>
      </c>
      <c r="J137" t="s">
        <v>17</v>
      </c>
      <c r="K137" t="s">
        <v>499</v>
      </c>
    </row>
    <row r="138" spans="1:11" x14ac:dyDescent="0.25">
      <c r="A138" t="s">
        <v>500</v>
      </c>
      <c r="B138" t="s">
        <v>501</v>
      </c>
      <c r="C138" t="s">
        <v>502</v>
      </c>
      <c r="D138" t="s">
        <v>87</v>
      </c>
      <c r="E138" t="s">
        <v>15</v>
      </c>
      <c r="F138">
        <v>7</v>
      </c>
      <c r="G138">
        <v>45.78</v>
      </c>
      <c r="H138">
        <v>320.45999999999998</v>
      </c>
      <c r="I138" t="s">
        <v>16</v>
      </c>
      <c r="J138" t="s">
        <v>55</v>
      </c>
      <c r="K138" t="s">
        <v>503</v>
      </c>
    </row>
    <row r="139" spans="1:11" x14ac:dyDescent="0.25">
      <c r="A139" t="s">
        <v>504</v>
      </c>
      <c r="B139" t="s">
        <v>505</v>
      </c>
      <c r="C139" t="s">
        <v>506</v>
      </c>
      <c r="D139" t="s">
        <v>507</v>
      </c>
      <c r="E139" t="s">
        <v>15</v>
      </c>
      <c r="F139">
        <v>7</v>
      </c>
      <c r="G139">
        <v>81.319999999999993</v>
      </c>
      <c r="H139">
        <v>569.24</v>
      </c>
      <c r="I139" t="s">
        <v>30</v>
      </c>
      <c r="J139" t="s">
        <v>69</v>
      </c>
      <c r="K139" t="s">
        <v>508</v>
      </c>
    </row>
    <row r="140" spans="1:11" x14ac:dyDescent="0.25">
      <c r="A140" t="s">
        <v>509</v>
      </c>
      <c r="B140" t="s">
        <v>510</v>
      </c>
      <c r="C140" t="s">
        <v>511</v>
      </c>
      <c r="D140" t="s">
        <v>147</v>
      </c>
      <c r="E140" t="s">
        <v>46</v>
      </c>
      <c r="F140">
        <v>5</v>
      </c>
      <c r="G140">
        <v>290.08</v>
      </c>
      <c r="H140">
        <v>1450.4</v>
      </c>
      <c r="I140" t="s">
        <v>30</v>
      </c>
      <c r="J140" t="s">
        <v>17</v>
      </c>
      <c r="K140" t="s">
        <v>512</v>
      </c>
    </row>
    <row r="141" spans="1:11" x14ac:dyDescent="0.25">
      <c r="A141" t="s">
        <v>513</v>
      </c>
      <c r="B141" t="s">
        <v>514</v>
      </c>
      <c r="C141" t="s">
        <v>234</v>
      </c>
      <c r="D141" t="s">
        <v>101</v>
      </c>
      <c r="E141" t="s">
        <v>15</v>
      </c>
      <c r="F141">
        <v>9</v>
      </c>
      <c r="G141">
        <v>28.42</v>
      </c>
      <c r="H141">
        <v>255.78</v>
      </c>
      <c r="I141" t="s">
        <v>35</v>
      </c>
      <c r="J141" t="s">
        <v>69</v>
      </c>
      <c r="K141" t="s">
        <v>515</v>
      </c>
    </row>
    <row r="142" spans="1:11" x14ac:dyDescent="0.25">
      <c r="A142" t="s">
        <v>516</v>
      </c>
      <c r="B142" t="s">
        <v>72</v>
      </c>
      <c r="C142" t="s">
        <v>517</v>
      </c>
      <c r="D142" t="s">
        <v>29</v>
      </c>
      <c r="E142" t="s">
        <v>46</v>
      </c>
      <c r="F142">
        <v>3</v>
      </c>
      <c r="G142">
        <v>903.85</v>
      </c>
      <c r="H142">
        <v>2362.0700000000002</v>
      </c>
      <c r="I142" t="s">
        <v>35</v>
      </c>
      <c r="J142" t="s">
        <v>55</v>
      </c>
      <c r="K142" t="s">
        <v>74</v>
      </c>
    </row>
    <row r="143" spans="1:11" x14ac:dyDescent="0.25">
      <c r="A143" t="s">
        <v>518</v>
      </c>
      <c r="B143" t="s">
        <v>519</v>
      </c>
      <c r="C143" t="s">
        <v>520</v>
      </c>
      <c r="D143" t="s">
        <v>214</v>
      </c>
      <c r="E143" t="s">
        <v>361</v>
      </c>
      <c r="F143">
        <v>7</v>
      </c>
      <c r="G143">
        <v>50.77</v>
      </c>
      <c r="H143">
        <v>355.39</v>
      </c>
      <c r="I143" t="s">
        <v>30</v>
      </c>
      <c r="J143" t="s">
        <v>55</v>
      </c>
      <c r="K143" t="s">
        <v>521</v>
      </c>
    </row>
    <row r="144" spans="1:11" x14ac:dyDescent="0.25">
      <c r="A144" t="s">
        <v>522</v>
      </c>
      <c r="B144" t="s">
        <v>99</v>
      </c>
      <c r="C144" t="s">
        <v>523</v>
      </c>
      <c r="D144" t="s">
        <v>147</v>
      </c>
      <c r="E144" t="s">
        <v>46</v>
      </c>
      <c r="F144">
        <v>6</v>
      </c>
      <c r="G144">
        <v>301.95</v>
      </c>
      <c r="H144">
        <v>1515.68</v>
      </c>
      <c r="I144" t="s">
        <v>16</v>
      </c>
      <c r="K144" t="s">
        <v>103</v>
      </c>
    </row>
    <row r="145" spans="1:11" x14ac:dyDescent="0.25">
      <c r="A145" t="s">
        <v>524</v>
      </c>
      <c r="B145" t="s">
        <v>525</v>
      </c>
      <c r="C145" t="s">
        <v>526</v>
      </c>
      <c r="D145" t="s">
        <v>87</v>
      </c>
      <c r="E145" t="s">
        <v>15</v>
      </c>
      <c r="F145">
        <v>7</v>
      </c>
      <c r="G145">
        <v>46.89</v>
      </c>
      <c r="H145">
        <v>328.23</v>
      </c>
      <c r="I145" t="s">
        <v>102</v>
      </c>
      <c r="J145" t="s">
        <v>69</v>
      </c>
      <c r="K145" t="s">
        <v>527</v>
      </c>
    </row>
    <row r="146" spans="1:11" x14ac:dyDescent="0.25">
      <c r="A146" t="s">
        <v>528</v>
      </c>
      <c r="B146" t="s">
        <v>529</v>
      </c>
      <c r="C146" t="s">
        <v>213</v>
      </c>
      <c r="D146" t="s">
        <v>78</v>
      </c>
      <c r="E146" t="s">
        <v>46</v>
      </c>
      <c r="F146">
        <v>4</v>
      </c>
      <c r="G146">
        <v>85.7</v>
      </c>
      <c r="H146">
        <v>342.8</v>
      </c>
      <c r="I146" t="s">
        <v>102</v>
      </c>
      <c r="J146" t="s">
        <v>17</v>
      </c>
      <c r="K146" t="s">
        <v>530</v>
      </c>
    </row>
    <row r="147" spans="1:11" x14ac:dyDescent="0.25">
      <c r="A147" t="s">
        <v>531</v>
      </c>
      <c r="B147" t="s">
        <v>532</v>
      </c>
      <c r="C147" t="s">
        <v>257</v>
      </c>
      <c r="D147" t="s">
        <v>14</v>
      </c>
      <c r="E147" t="s">
        <v>15</v>
      </c>
      <c r="F147">
        <v>7</v>
      </c>
      <c r="G147">
        <v>48.03</v>
      </c>
      <c r="H147">
        <v>336.21</v>
      </c>
      <c r="I147" t="s">
        <v>16</v>
      </c>
      <c r="J147" t="s">
        <v>83</v>
      </c>
      <c r="K147" t="s">
        <v>533</v>
      </c>
    </row>
    <row r="148" spans="1:11" x14ac:dyDescent="0.25">
      <c r="A148" t="s">
        <v>534</v>
      </c>
      <c r="B148" t="s">
        <v>535</v>
      </c>
      <c r="C148" t="s">
        <v>536</v>
      </c>
      <c r="D148" t="s">
        <v>147</v>
      </c>
      <c r="E148" t="s">
        <v>46</v>
      </c>
      <c r="F148">
        <v>4</v>
      </c>
      <c r="G148">
        <v>313.83</v>
      </c>
      <c r="H148">
        <v>1255.32</v>
      </c>
      <c r="I148" t="s">
        <v>494</v>
      </c>
      <c r="J148" t="s">
        <v>51</v>
      </c>
      <c r="K148" t="s">
        <v>537</v>
      </c>
    </row>
    <row r="149" spans="1:11" x14ac:dyDescent="0.25">
      <c r="A149" t="s">
        <v>538</v>
      </c>
      <c r="B149" t="s">
        <v>386</v>
      </c>
      <c r="C149" t="s">
        <v>106</v>
      </c>
      <c r="D149" t="s">
        <v>101</v>
      </c>
      <c r="E149" t="s">
        <v>15</v>
      </c>
      <c r="F149">
        <v>3</v>
      </c>
      <c r="G149">
        <v>26.63</v>
      </c>
      <c r="H149">
        <v>79.89</v>
      </c>
      <c r="I149" t="s">
        <v>102</v>
      </c>
      <c r="J149" t="s">
        <v>69</v>
      </c>
      <c r="K149" t="s">
        <v>389</v>
      </c>
    </row>
    <row r="150" spans="1:11" x14ac:dyDescent="0.25">
      <c r="A150" t="s">
        <v>539</v>
      </c>
      <c r="B150" t="s">
        <v>124</v>
      </c>
      <c r="C150" t="s">
        <v>540</v>
      </c>
      <c r="D150" t="s">
        <v>388</v>
      </c>
      <c r="E150" t="s">
        <v>185</v>
      </c>
      <c r="F150">
        <v>0</v>
      </c>
      <c r="G150">
        <v>46.08</v>
      </c>
      <c r="H150">
        <v>0</v>
      </c>
      <c r="I150" t="s">
        <v>541</v>
      </c>
      <c r="J150" t="s">
        <v>55</v>
      </c>
      <c r="K150" t="s">
        <v>127</v>
      </c>
    </row>
    <row r="151" spans="1:11" x14ac:dyDescent="0.25">
      <c r="A151" t="s">
        <v>542</v>
      </c>
      <c r="C151" t="s">
        <v>543</v>
      </c>
      <c r="D151" t="s">
        <v>29</v>
      </c>
      <c r="E151" t="s">
        <v>46</v>
      </c>
      <c r="F151">
        <v>5</v>
      </c>
      <c r="G151">
        <v>853.39</v>
      </c>
      <c r="H151">
        <v>4266.95</v>
      </c>
      <c r="I151" t="s">
        <v>35</v>
      </c>
      <c r="J151" t="s">
        <v>164</v>
      </c>
    </row>
    <row r="152" spans="1:11" x14ac:dyDescent="0.25">
      <c r="A152" t="s">
        <v>544</v>
      </c>
      <c r="C152" t="s">
        <v>545</v>
      </c>
      <c r="D152" t="s">
        <v>41</v>
      </c>
      <c r="E152" t="s">
        <v>15</v>
      </c>
      <c r="F152">
        <v>5</v>
      </c>
      <c r="G152">
        <v>78.680000000000007</v>
      </c>
      <c r="H152">
        <v>393.4</v>
      </c>
      <c r="I152" t="s">
        <v>30</v>
      </c>
      <c r="J152" t="s">
        <v>24</v>
      </c>
    </row>
    <row r="153" spans="1:11" x14ac:dyDescent="0.25">
      <c r="A153" t="s">
        <v>546</v>
      </c>
      <c r="B153" t="s">
        <v>547</v>
      </c>
      <c r="C153" t="s">
        <v>548</v>
      </c>
      <c r="D153" t="s">
        <v>101</v>
      </c>
      <c r="E153" t="s">
        <v>15</v>
      </c>
      <c r="F153">
        <v>7</v>
      </c>
      <c r="G153">
        <v>27.36</v>
      </c>
      <c r="H153">
        <v>283.69</v>
      </c>
      <c r="I153" t="s">
        <v>102</v>
      </c>
      <c r="J153" t="s">
        <v>17</v>
      </c>
      <c r="K153" t="s">
        <v>549</v>
      </c>
    </row>
    <row r="154" spans="1:11" x14ac:dyDescent="0.25">
      <c r="A154" t="s">
        <v>550</v>
      </c>
      <c r="B154" t="s">
        <v>551</v>
      </c>
      <c r="C154" t="s">
        <v>552</v>
      </c>
      <c r="D154" t="s">
        <v>147</v>
      </c>
      <c r="E154" t="s">
        <v>46</v>
      </c>
      <c r="F154">
        <v>2</v>
      </c>
      <c r="G154">
        <v>311.54000000000002</v>
      </c>
      <c r="H154">
        <v>623.08000000000004</v>
      </c>
      <c r="I154" t="s">
        <v>30</v>
      </c>
      <c r="J154" t="s">
        <v>126</v>
      </c>
      <c r="K154" t="s">
        <v>553</v>
      </c>
    </row>
    <row r="155" spans="1:11" x14ac:dyDescent="0.25">
      <c r="A155" t="s">
        <v>554</v>
      </c>
      <c r="B155" t="s">
        <v>555</v>
      </c>
      <c r="C155" t="s">
        <v>556</v>
      </c>
      <c r="D155" t="s">
        <v>41</v>
      </c>
      <c r="E155" t="s">
        <v>15</v>
      </c>
      <c r="F155">
        <v>0</v>
      </c>
      <c r="G155">
        <v>73.5</v>
      </c>
      <c r="H155">
        <v>0</v>
      </c>
      <c r="I155" t="s">
        <v>102</v>
      </c>
      <c r="J155" t="s">
        <v>55</v>
      </c>
      <c r="K155" t="s">
        <v>557</v>
      </c>
    </row>
    <row r="156" spans="1:11" x14ac:dyDescent="0.25">
      <c r="A156" t="s">
        <v>558</v>
      </c>
      <c r="B156" t="s">
        <v>559</v>
      </c>
      <c r="C156" t="s">
        <v>560</v>
      </c>
      <c r="D156" t="s">
        <v>78</v>
      </c>
      <c r="E156" t="s">
        <v>46</v>
      </c>
      <c r="F156">
        <v>3</v>
      </c>
      <c r="G156">
        <v>92.59</v>
      </c>
      <c r="H156">
        <v>277.77</v>
      </c>
      <c r="I156" t="s">
        <v>102</v>
      </c>
      <c r="J156" t="s">
        <v>17</v>
      </c>
      <c r="K156" t="s">
        <v>561</v>
      </c>
    </row>
    <row r="157" spans="1:11" x14ac:dyDescent="0.25">
      <c r="A157" t="s">
        <v>562</v>
      </c>
      <c r="B157" t="s">
        <v>200</v>
      </c>
      <c r="C157" t="s">
        <v>563</v>
      </c>
      <c r="D157" t="s">
        <v>78</v>
      </c>
      <c r="E157" t="s">
        <v>46</v>
      </c>
      <c r="F157">
        <v>3</v>
      </c>
      <c r="G157">
        <v>88.01</v>
      </c>
      <c r="H157">
        <v>264.02999999999997</v>
      </c>
      <c r="I157" t="s">
        <v>30</v>
      </c>
      <c r="J157" t="s">
        <v>24</v>
      </c>
      <c r="K157" t="s">
        <v>564</v>
      </c>
    </row>
    <row r="158" spans="1:11" x14ac:dyDescent="0.25">
      <c r="A158" t="s">
        <v>565</v>
      </c>
      <c r="B158" t="s">
        <v>566</v>
      </c>
      <c r="C158" t="s">
        <v>567</v>
      </c>
      <c r="D158" t="s">
        <v>29</v>
      </c>
      <c r="E158" t="s">
        <v>46</v>
      </c>
      <c r="F158">
        <v>6</v>
      </c>
      <c r="G158">
        <v>963.59</v>
      </c>
      <c r="H158">
        <v>5781.54</v>
      </c>
      <c r="I158" t="s">
        <v>102</v>
      </c>
      <c r="J158" t="s">
        <v>36</v>
      </c>
      <c r="K158" t="s">
        <v>568</v>
      </c>
    </row>
    <row r="159" spans="1:11" x14ac:dyDescent="0.25">
      <c r="A159" t="s">
        <v>569</v>
      </c>
      <c r="B159" t="s">
        <v>49</v>
      </c>
      <c r="C159" t="s">
        <v>570</v>
      </c>
      <c r="D159" t="s">
        <v>214</v>
      </c>
      <c r="F159">
        <v>3</v>
      </c>
      <c r="G159">
        <v>46.67</v>
      </c>
      <c r="H159">
        <v>140.01</v>
      </c>
      <c r="I159" t="s">
        <v>16</v>
      </c>
      <c r="J159" t="s">
        <v>55</v>
      </c>
      <c r="K159" t="s">
        <v>52</v>
      </c>
    </row>
    <row r="160" spans="1:11" x14ac:dyDescent="0.25">
      <c r="A160" t="s">
        <v>571</v>
      </c>
      <c r="C160" t="s">
        <v>572</v>
      </c>
      <c r="D160" t="s">
        <v>22</v>
      </c>
      <c r="E160" t="s">
        <v>23</v>
      </c>
      <c r="F160">
        <v>8</v>
      </c>
      <c r="G160">
        <v>147.33000000000001</v>
      </c>
      <c r="H160">
        <v>1178.6400000000001</v>
      </c>
      <c r="I160" t="s">
        <v>16</v>
      </c>
      <c r="J160" t="s">
        <v>24</v>
      </c>
    </row>
    <row r="161" spans="1:11" x14ac:dyDescent="0.25">
      <c r="A161" t="s">
        <v>573</v>
      </c>
      <c r="B161" t="s">
        <v>285</v>
      </c>
      <c r="C161" t="s">
        <v>574</v>
      </c>
      <c r="D161" t="s">
        <v>87</v>
      </c>
      <c r="E161" t="s">
        <v>15</v>
      </c>
      <c r="F161">
        <v>9</v>
      </c>
      <c r="G161">
        <v>45.04</v>
      </c>
      <c r="H161">
        <v>405.36</v>
      </c>
      <c r="I161" t="s">
        <v>30</v>
      </c>
      <c r="J161" t="s">
        <v>51</v>
      </c>
      <c r="K161" t="s">
        <v>288</v>
      </c>
    </row>
    <row r="162" spans="1:11" x14ac:dyDescent="0.25">
      <c r="A162" t="s">
        <v>575</v>
      </c>
      <c r="B162" t="s">
        <v>576</v>
      </c>
      <c r="C162" t="s">
        <v>364</v>
      </c>
      <c r="D162" t="s">
        <v>41</v>
      </c>
      <c r="E162" t="s">
        <v>15</v>
      </c>
      <c r="F162">
        <v>7</v>
      </c>
      <c r="G162">
        <v>85.44</v>
      </c>
      <c r="H162">
        <v>598.08000000000004</v>
      </c>
      <c r="I162" t="s">
        <v>30</v>
      </c>
      <c r="J162" t="s">
        <v>17</v>
      </c>
      <c r="K162" t="s">
        <v>577</v>
      </c>
    </row>
    <row r="163" spans="1:11" x14ac:dyDescent="0.25">
      <c r="A163" t="s">
        <v>578</v>
      </c>
      <c r="B163" t="s">
        <v>167</v>
      </c>
      <c r="C163" t="s">
        <v>579</v>
      </c>
      <c r="D163" t="s">
        <v>22</v>
      </c>
      <c r="E163" t="s">
        <v>580</v>
      </c>
      <c r="F163">
        <v>9</v>
      </c>
      <c r="G163">
        <v>141.81</v>
      </c>
      <c r="H163">
        <v>1276.29</v>
      </c>
      <c r="I163" t="s">
        <v>35</v>
      </c>
      <c r="J163" t="s">
        <v>262</v>
      </c>
      <c r="K163" t="s">
        <v>169</v>
      </c>
    </row>
    <row r="164" spans="1:11" x14ac:dyDescent="0.25">
      <c r="A164" t="s">
        <v>581</v>
      </c>
      <c r="C164" t="s">
        <v>582</v>
      </c>
      <c r="D164" t="s">
        <v>59</v>
      </c>
      <c r="E164" t="s">
        <v>23</v>
      </c>
      <c r="F164">
        <v>4</v>
      </c>
      <c r="G164">
        <v>161.87</v>
      </c>
      <c r="H164">
        <v>647.48</v>
      </c>
      <c r="J164" t="s">
        <v>36</v>
      </c>
    </row>
    <row r="165" spans="1:11" x14ac:dyDescent="0.25">
      <c r="A165" t="s">
        <v>583</v>
      </c>
      <c r="B165" t="s">
        <v>584</v>
      </c>
      <c r="C165" t="s">
        <v>45</v>
      </c>
      <c r="D165" t="s">
        <v>41</v>
      </c>
      <c r="E165" t="s">
        <v>15</v>
      </c>
      <c r="F165">
        <v>2</v>
      </c>
      <c r="G165">
        <v>77.3</v>
      </c>
      <c r="H165">
        <v>154.6</v>
      </c>
      <c r="I165" t="s">
        <v>30</v>
      </c>
      <c r="J165" t="s">
        <v>17</v>
      </c>
      <c r="K165" t="s">
        <v>585</v>
      </c>
    </row>
    <row r="166" spans="1:11" x14ac:dyDescent="0.25">
      <c r="A166" t="s">
        <v>586</v>
      </c>
      <c r="B166" t="s">
        <v>290</v>
      </c>
      <c r="C166" t="s">
        <v>567</v>
      </c>
      <c r="D166" t="s">
        <v>87</v>
      </c>
      <c r="E166" t="s">
        <v>15</v>
      </c>
      <c r="F166">
        <v>2</v>
      </c>
      <c r="I166" t="s">
        <v>102</v>
      </c>
      <c r="J166" t="s">
        <v>17</v>
      </c>
      <c r="K166" t="s">
        <v>292</v>
      </c>
    </row>
    <row r="167" spans="1:11" x14ac:dyDescent="0.25">
      <c r="A167" t="s">
        <v>587</v>
      </c>
      <c r="B167" t="s">
        <v>588</v>
      </c>
      <c r="C167" t="s">
        <v>589</v>
      </c>
      <c r="D167" t="s">
        <v>29</v>
      </c>
      <c r="E167" t="s">
        <v>46</v>
      </c>
      <c r="F167">
        <v>3</v>
      </c>
      <c r="G167">
        <v>930.77</v>
      </c>
      <c r="H167">
        <v>2792.31</v>
      </c>
      <c r="I167" t="s">
        <v>102</v>
      </c>
      <c r="J167" t="s">
        <v>69</v>
      </c>
      <c r="K167" t="s">
        <v>590</v>
      </c>
    </row>
    <row r="168" spans="1:11" x14ac:dyDescent="0.25">
      <c r="A168" t="s">
        <v>591</v>
      </c>
      <c r="C168" t="s">
        <v>434</v>
      </c>
      <c r="D168" t="s">
        <v>101</v>
      </c>
      <c r="E168" t="s">
        <v>15</v>
      </c>
      <c r="F168">
        <v>4</v>
      </c>
      <c r="G168">
        <v>25.77</v>
      </c>
      <c r="H168">
        <v>103.08</v>
      </c>
      <c r="I168" t="s">
        <v>35</v>
      </c>
      <c r="J168" t="s">
        <v>17</v>
      </c>
    </row>
    <row r="169" spans="1:11" x14ac:dyDescent="0.25">
      <c r="A169" t="s">
        <v>592</v>
      </c>
      <c r="B169" t="s">
        <v>593</v>
      </c>
      <c r="C169" t="s">
        <v>594</v>
      </c>
      <c r="D169" t="s">
        <v>29</v>
      </c>
      <c r="E169" t="s">
        <v>46</v>
      </c>
      <c r="F169">
        <v>6</v>
      </c>
      <c r="G169">
        <v>978.46</v>
      </c>
      <c r="H169">
        <v>6892.41</v>
      </c>
      <c r="I169" t="s">
        <v>35</v>
      </c>
      <c r="J169" t="s">
        <v>392</v>
      </c>
    </row>
    <row r="170" spans="1:11" x14ac:dyDescent="0.25">
      <c r="A170" t="s">
        <v>595</v>
      </c>
      <c r="B170" t="s">
        <v>596</v>
      </c>
      <c r="C170" t="s">
        <v>337</v>
      </c>
      <c r="D170" t="s">
        <v>214</v>
      </c>
      <c r="E170" t="s">
        <v>361</v>
      </c>
      <c r="F170">
        <v>4</v>
      </c>
      <c r="I170" t="s">
        <v>102</v>
      </c>
      <c r="J170" t="s">
        <v>287</v>
      </c>
      <c r="K170" t="s">
        <v>597</v>
      </c>
    </row>
    <row r="171" spans="1:11" x14ac:dyDescent="0.25">
      <c r="A171" t="s">
        <v>598</v>
      </c>
      <c r="C171" t="s">
        <v>599</v>
      </c>
      <c r="D171" t="s">
        <v>59</v>
      </c>
      <c r="F171">
        <v>1</v>
      </c>
      <c r="G171">
        <v>162.44</v>
      </c>
      <c r="H171">
        <v>162.44</v>
      </c>
      <c r="I171" t="s">
        <v>30</v>
      </c>
      <c r="J171" t="s">
        <v>51</v>
      </c>
    </row>
    <row r="172" spans="1:11" x14ac:dyDescent="0.25">
      <c r="A172" t="s">
        <v>600</v>
      </c>
      <c r="B172" t="s">
        <v>601</v>
      </c>
      <c r="C172" t="s">
        <v>602</v>
      </c>
      <c r="D172" t="s">
        <v>41</v>
      </c>
      <c r="E172" t="s">
        <v>15</v>
      </c>
      <c r="F172">
        <v>4</v>
      </c>
      <c r="G172">
        <v>86.27</v>
      </c>
      <c r="H172">
        <v>286.73</v>
      </c>
      <c r="I172" t="s">
        <v>35</v>
      </c>
      <c r="J172" t="s">
        <v>17</v>
      </c>
      <c r="K172" t="s">
        <v>603</v>
      </c>
    </row>
    <row r="173" spans="1:11" x14ac:dyDescent="0.25">
      <c r="A173" t="s">
        <v>604</v>
      </c>
      <c r="B173" t="s">
        <v>153</v>
      </c>
      <c r="C173" t="s">
        <v>605</v>
      </c>
      <c r="D173" t="s">
        <v>138</v>
      </c>
      <c r="E173" t="s">
        <v>46</v>
      </c>
      <c r="F173">
        <v>0</v>
      </c>
      <c r="G173">
        <v>313.27999999999997</v>
      </c>
      <c r="H173">
        <v>0</v>
      </c>
      <c r="I173" t="s">
        <v>16</v>
      </c>
      <c r="J173" t="s">
        <v>69</v>
      </c>
      <c r="K173" t="s">
        <v>156</v>
      </c>
    </row>
    <row r="174" spans="1:11" x14ac:dyDescent="0.25">
      <c r="A174" t="s">
        <v>606</v>
      </c>
      <c r="B174" t="s">
        <v>607</v>
      </c>
      <c r="C174" t="s">
        <v>608</v>
      </c>
      <c r="D174" t="s">
        <v>22</v>
      </c>
      <c r="E174" t="s">
        <v>23</v>
      </c>
      <c r="F174">
        <v>0</v>
      </c>
      <c r="G174">
        <v>155.19</v>
      </c>
      <c r="H174">
        <v>0</v>
      </c>
      <c r="I174" t="s">
        <v>35</v>
      </c>
      <c r="J174" t="s">
        <v>69</v>
      </c>
      <c r="K174" t="s">
        <v>609</v>
      </c>
    </row>
    <row r="175" spans="1:11" x14ac:dyDescent="0.25">
      <c r="A175" t="s">
        <v>610</v>
      </c>
      <c r="B175" t="s">
        <v>611</v>
      </c>
      <c r="C175" t="s">
        <v>612</v>
      </c>
      <c r="D175" t="s">
        <v>214</v>
      </c>
      <c r="E175" t="s">
        <v>361</v>
      </c>
      <c r="F175">
        <v>9</v>
      </c>
      <c r="G175">
        <v>47.91</v>
      </c>
      <c r="H175">
        <v>431.19</v>
      </c>
      <c r="I175" t="s">
        <v>102</v>
      </c>
      <c r="J175" t="s">
        <v>69</v>
      </c>
      <c r="K175" t="s">
        <v>613</v>
      </c>
    </row>
    <row r="176" spans="1:11" x14ac:dyDescent="0.25">
      <c r="A176" t="s">
        <v>614</v>
      </c>
      <c r="B176" t="s">
        <v>319</v>
      </c>
      <c r="C176" t="s">
        <v>615</v>
      </c>
      <c r="D176" t="s">
        <v>616</v>
      </c>
      <c r="E176" t="s">
        <v>23</v>
      </c>
      <c r="F176">
        <v>3</v>
      </c>
      <c r="G176">
        <v>159.16999999999999</v>
      </c>
      <c r="H176">
        <v>579.66</v>
      </c>
      <c r="I176" t="s">
        <v>102</v>
      </c>
      <c r="J176" t="s">
        <v>55</v>
      </c>
      <c r="K176" t="s">
        <v>321</v>
      </c>
    </row>
    <row r="177" spans="1:11" x14ac:dyDescent="0.25">
      <c r="A177" t="s">
        <v>617</v>
      </c>
      <c r="B177" t="s">
        <v>242</v>
      </c>
      <c r="C177" t="s">
        <v>618</v>
      </c>
      <c r="D177" t="s">
        <v>507</v>
      </c>
      <c r="E177" t="s">
        <v>15</v>
      </c>
      <c r="F177">
        <v>1</v>
      </c>
      <c r="G177">
        <v>79.97</v>
      </c>
      <c r="H177">
        <v>54.86</v>
      </c>
      <c r="I177" t="s">
        <v>35</v>
      </c>
      <c r="J177" t="s">
        <v>17</v>
      </c>
      <c r="K177" t="s">
        <v>244</v>
      </c>
    </row>
    <row r="178" spans="1:11" x14ac:dyDescent="0.25">
      <c r="A178" t="s">
        <v>619</v>
      </c>
      <c r="C178" t="s">
        <v>599</v>
      </c>
      <c r="D178" t="s">
        <v>87</v>
      </c>
      <c r="E178" t="s">
        <v>15</v>
      </c>
      <c r="F178">
        <v>4</v>
      </c>
      <c r="G178">
        <v>49.79</v>
      </c>
      <c r="H178">
        <v>199.16</v>
      </c>
      <c r="I178" t="s">
        <v>16</v>
      </c>
      <c r="J178" t="s">
        <v>17</v>
      </c>
    </row>
    <row r="179" spans="1:11" x14ac:dyDescent="0.25">
      <c r="A179" t="s">
        <v>620</v>
      </c>
      <c r="B179" t="s">
        <v>621</v>
      </c>
      <c r="C179" t="s">
        <v>13</v>
      </c>
      <c r="D179" t="s">
        <v>388</v>
      </c>
      <c r="E179" t="s">
        <v>185</v>
      </c>
      <c r="F179">
        <v>1</v>
      </c>
      <c r="G179">
        <v>51.42</v>
      </c>
      <c r="H179">
        <v>51.42</v>
      </c>
      <c r="I179" t="s">
        <v>16</v>
      </c>
      <c r="J179" t="s">
        <v>83</v>
      </c>
      <c r="K179" t="s">
        <v>622</v>
      </c>
    </row>
    <row r="180" spans="1:11" x14ac:dyDescent="0.25">
      <c r="A180" t="s">
        <v>623</v>
      </c>
      <c r="B180" t="s">
        <v>624</v>
      </c>
      <c r="C180" t="s">
        <v>625</v>
      </c>
      <c r="D180" t="s">
        <v>87</v>
      </c>
      <c r="E180" t="s">
        <v>15</v>
      </c>
      <c r="F180">
        <v>7</v>
      </c>
      <c r="G180">
        <v>49.98</v>
      </c>
      <c r="H180">
        <v>349.86</v>
      </c>
      <c r="I180" t="s">
        <v>102</v>
      </c>
      <c r="J180" t="s">
        <v>69</v>
      </c>
      <c r="K180" t="s">
        <v>626</v>
      </c>
    </row>
    <row r="181" spans="1:11" x14ac:dyDescent="0.25">
      <c r="A181" t="s">
        <v>627</v>
      </c>
      <c r="C181" t="s">
        <v>628</v>
      </c>
      <c r="D181" t="s">
        <v>507</v>
      </c>
      <c r="E181" t="s">
        <v>15</v>
      </c>
      <c r="F181">
        <v>4</v>
      </c>
      <c r="G181">
        <v>73.05</v>
      </c>
      <c r="H181">
        <v>327.5</v>
      </c>
      <c r="I181" t="s">
        <v>16</v>
      </c>
      <c r="J181" t="s">
        <v>17</v>
      </c>
    </row>
    <row r="182" spans="1:11" x14ac:dyDescent="0.25">
      <c r="A182" t="s">
        <v>629</v>
      </c>
      <c r="C182" t="s">
        <v>630</v>
      </c>
      <c r="D182" t="s">
        <v>147</v>
      </c>
      <c r="E182" t="s">
        <v>64</v>
      </c>
      <c r="F182">
        <v>2</v>
      </c>
      <c r="G182">
        <v>320.11</v>
      </c>
      <c r="H182">
        <v>640.22</v>
      </c>
      <c r="I182" t="s">
        <v>16</v>
      </c>
      <c r="J182" t="s">
        <v>83</v>
      </c>
    </row>
    <row r="183" spans="1:11" x14ac:dyDescent="0.25">
      <c r="A183" t="s">
        <v>631</v>
      </c>
      <c r="B183" t="s">
        <v>371</v>
      </c>
      <c r="C183" t="s">
        <v>632</v>
      </c>
      <c r="D183" t="s">
        <v>214</v>
      </c>
      <c r="E183" t="s">
        <v>185</v>
      </c>
      <c r="F183">
        <v>9</v>
      </c>
      <c r="G183">
        <v>53.97</v>
      </c>
      <c r="H183">
        <v>485.73</v>
      </c>
      <c r="I183" t="s">
        <v>102</v>
      </c>
      <c r="J183" t="s">
        <v>51</v>
      </c>
      <c r="K183" t="s">
        <v>372</v>
      </c>
    </row>
    <row r="184" spans="1:11" x14ac:dyDescent="0.25">
      <c r="A184" t="s">
        <v>633</v>
      </c>
      <c r="B184" t="s">
        <v>634</v>
      </c>
      <c r="C184" t="s">
        <v>635</v>
      </c>
      <c r="D184" t="s">
        <v>87</v>
      </c>
      <c r="E184" t="s">
        <v>15</v>
      </c>
      <c r="F184">
        <v>6</v>
      </c>
      <c r="G184">
        <v>50.77</v>
      </c>
      <c r="H184">
        <v>304.62</v>
      </c>
      <c r="I184" t="s">
        <v>16</v>
      </c>
      <c r="J184" t="s">
        <v>24</v>
      </c>
      <c r="K184" t="s">
        <v>636</v>
      </c>
    </row>
    <row r="185" spans="1:11" x14ac:dyDescent="0.25">
      <c r="A185" t="s">
        <v>637</v>
      </c>
      <c r="B185" t="s">
        <v>638</v>
      </c>
      <c r="C185" t="s">
        <v>639</v>
      </c>
      <c r="D185" t="s">
        <v>29</v>
      </c>
      <c r="E185" t="s">
        <v>46</v>
      </c>
      <c r="F185">
        <v>4</v>
      </c>
      <c r="G185">
        <v>881.11</v>
      </c>
      <c r="H185">
        <v>3524.44</v>
      </c>
      <c r="I185" t="s">
        <v>16</v>
      </c>
      <c r="J185" t="s">
        <v>126</v>
      </c>
    </row>
    <row r="186" spans="1:11" x14ac:dyDescent="0.25">
      <c r="A186" t="s">
        <v>640</v>
      </c>
      <c r="B186" t="s">
        <v>99</v>
      </c>
      <c r="C186" t="s">
        <v>641</v>
      </c>
      <c r="D186" t="s">
        <v>87</v>
      </c>
      <c r="E186" t="s">
        <v>15</v>
      </c>
      <c r="F186">
        <v>1</v>
      </c>
      <c r="G186">
        <v>49.14</v>
      </c>
      <c r="H186">
        <v>73.56</v>
      </c>
      <c r="I186" t="s">
        <v>35</v>
      </c>
      <c r="J186" t="s">
        <v>17</v>
      </c>
      <c r="K186" t="s">
        <v>103</v>
      </c>
    </row>
    <row r="187" spans="1:11" x14ac:dyDescent="0.25">
      <c r="A187" t="s">
        <v>642</v>
      </c>
      <c r="B187" t="s">
        <v>643</v>
      </c>
      <c r="C187" t="s">
        <v>644</v>
      </c>
      <c r="D187" t="s">
        <v>29</v>
      </c>
      <c r="F187">
        <v>1</v>
      </c>
      <c r="G187">
        <v>969.67</v>
      </c>
      <c r="H187">
        <v>969.67</v>
      </c>
      <c r="I187" t="s">
        <v>30</v>
      </c>
      <c r="J187" t="s">
        <v>51</v>
      </c>
      <c r="K187" t="s">
        <v>645</v>
      </c>
    </row>
    <row r="188" spans="1:11" x14ac:dyDescent="0.25">
      <c r="A188" t="s">
        <v>646</v>
      </c>
      <c r="B188" t="s">
        <v>647</v>
      </c>
      <c r="C188" t="s">
        <v>648</v>
      </c>
      <c r="D188" t="s">
        <v>78</v>
      </c>
      <c r="E188" t="s">
        <v>46</v>
      </c>
      <c r="F188">
        <v>5</v>
      </c>
      <c r="G188">
        <v>82.2</v>
      </c>
      <c r="H188">
        <v>411</v>
      </c>
      <c r="I188" t="s">
        <v>102</v>
      </c>
      <c r="J188" t="s">
        <v>17</v>
      </c>
      <c r="K188" t="s">
        <v>649</v>
      </c>
    </row>
    <row r="189" spans="1:11" x14ac:dyDescent="0.25">
      <c r="A189" t="s">
        <v>650</v>
      </c>
      <c r="B189" t="s">
        <v>651</v>
      </c>
      <c r="C189" t="s">
        <v>652</v>
      </c>
      <c r="D189" t="s">
        <v>22</v>
      </c>
      <c r="E189" t="s">
        <v>23</v>
      </c>
      <c r="F189">
        <v>6</v>
      </c>
      <c r="G189">
        <v>151.26</v>
      </c>
      <c r="H189">
        <v>799.28</v>
      </c>
      <c r="I189" t="s">
        <v>102</v>
      </c>
      <c r="J189" t="s">
        <v>24</v>
      </c>
      <c r="K189" t="s">
        <v>653</v>
      </c>
    </row>
    <row r="190" spans="1:11" x14ac:dyDescent="0.25">
      <c r="A190" t="s">
        <v>654</v>
      </c>
      <c r="B190" t="s">
        <v>290</v>
      </c>
      <c r="C190" t="s">
        <v>655</v>
      </c>
      <c r="D190" t="s">
        <v>41</v>
      </c>
      <c r="E190" t="s">
        <v>15</v>
      </c>
      <c r="F190">
        <v>5</v>
      </c>
      <c r="G190">
        <v>83.65</v>
      </c>
      <c r="H190">
        <v>388.43</v>
      </c>
      <c r="J190" t="s">
        <v>55</v>
      </c>
      <c r="K190" t="s">
        <v>292</v>
      </c>
    </row>
    <row r="191" spans="1:11" x14ac:dyDescent="0.25">
      <c r="A191" t="s">
        <v>656</v>
      </c>
      <c r="B191" t="s">
        <v>657</v>
      </c>
      <c r="C191" t="s">
        <v>658</v>
      </c>
      <c r="D191" t="s">
        <v>41</v>
      </c>
      <c r="E191" t="s">
        <v>15</v>
      </c>
      <c r="F191">
        <v>6</v>
      </c>
      <c r="G191">
        <v>87.4</v>
      </c>
      <c r="H191">
        <v>524.4</v>
      </c>
      <c r="I191" t="s">
        <v>16</v>
      </c>
      <c r="J191" t="s">
        <v>24</v>
      </c>
      <c r="K191" t="s">
        <v>659</v>
      </c>
    </row>
    <row r="192" spans="1:11" x14ac:dyDescent="0.25">
      <c r="A192" t="s">
        <v>660</v>
      </c>
      <c r="B192" t="s">
        <v>99</v>
      </c>
      <c r="C192" t="s">
        <v>249</v>
      </c>
      <c r="D192" t="s">
        <v>41</v>
      </c>
      <c r="E192" t="s">
        <v>15</v>
      </c>
      <c r="F192">
        <v>4</v>
      </c>
      <c r="G192">
        <v>87.17</v>
      </c>
      <c r="H192">
        <v>307.58</v>
      </c>
      <c r="I192" t="s">
        <v>16</v>
      </c>
      <c r="J192" t="s">
        <v>55</v>
      </c>
      <c r="K192" t="s">
        <v>661</v>
      </c>
    </row>
    <row r="193" spans="1:11" x14ac:dyDescent="0.25">
      <c r="A193" t="s">
        <v>662</v>
      </c>
      <c r="B193" t="s">
        <v>356</v>
      </c>
      <c r="C193" t="s">
        <v>663</v>
      </c>
      <c r="D193" t="s">
        <v>22</v>
      </c>
      <c r="E193" t="s">
        <v>580</v>
      </c>
      <c r="F193">
        <v>2</v>
      </c>
      <c r="G193">
        <v>156.66</v>
      </c>
      <c r="H193">
        <v>225.59</v>
      </c>
      <c r="I193" t="s">
        <v>30</v>
      </c>
      <c r="J193" t="s">
        <v>24</v>
      </c>
      <c r="K193" t="s">
        <v>358</v>
      </c>
    </row>
    <row r="194" spans="1:11" x14ac:dyDescent="0.25">
      <c r="A194" t="s">
        <v>664</v>
      </c>
      <c r="B194" t="s">
        <v>665</v>
      </c>
      <c r="C194" t="s">
        <v>666</v>
      </c>
      <c r="D194" t="s">
        <v>507</v>
      </c>
      <c r="E194" t="s">
        <v>15</v>
      </c>
      <c r="F194">
        <v>7</v>
      </c>
      <c r="G194">
        <v>73.33</v>
      </c>
      <c r="H194">
        <v>513.30999999999995</v>
      </c>
      <c r="I194" t="s">
        <v>35</v>
      </c>
      <c r="J194" t="s">
        <v>195</v>
      </c>
      <c r="K194" t="s">
        <v>667</v>
      </c>
    </row>
    <row r="195" spans="1:11" x14ac:dyDescent="0.25">
      <c r="A195" t="s">
        <v>668</v>
      </c>
      <c r="B195" t="s">
        <v>669</v>
      </c>
      <c r="C195" t="s">
        <v>670</v>
      </c>
      <c r="D195" t="s">
        <v>22</v>
      </c>
      <c r="E195" t="s">
        <v>23</v>
      </c>
      <c r="F195">
        <v>8</v>
      </c>
      <c r="G195">
        <v>152.12</v>
      </c>
      <c r="H195">
        <v>1216.96</v>
      </c>
      <c r="I195" t="s">
        <v>16</v>
      </c>
      <c r="J195" t="s">
        <v>51</v>
      </c>
      <c r="K195" t="s">
        <v>671</v>
      </c>
    </row>
    <row r="196" spans="1:11" x14ac:dyDescent="0.25">
      <c r="A196" t="s">
        <v>672</v>
      </c>
      <c r="B196" t="s">
        <v>167</v>
      </c>
      <c r="C196" t="s">
        <v>673</v>
      </c>
      <c r="D196" t="s">
        <v>87</v>
      </c>
      <c r="E196" t="s">
        <v>92</v>
      </c>
      <c r="F196">
        <v>9</v>
      </c>
      <c r="G196">
        <v>49.78</v>
      </c>
      <c r="H196">
        <v>552.80999999999995</v>
      </c>
      <c r="I196" t="s">
        <v>102</v>
      </c>
      <c r="J196" t="s">
        <v>51</v>
      </c>
      <c r="K196" t="s">
        <v>169</v>
      </c>
    </row>
    <row r="197" spans="1:11" x14ac:dyDescent="0.25">
      <c r="A197" t="s">
        <v>674</v>
      </c>
      <c r="B197" t="s">
        <v>647</v>
      </c>
      <c r="C197" t="s">
        <v>675</v>
      </c>
      <c r="D197" t="s">
        <v>184</v>
      </c>
      <c r="E197" t="s">
        <v>185</v>
      </c>
      <c r="F197">
        <v>8</v>
      </c>
      <c r="G197">
        <v>51.87</v>
      </c>
      <c r="H197">
        <v>414.96</v>
      </c>
      <c r="I197" t="s">
        <v>16</v>
      </c>
      <c r="J197" t="s">
        <v>24</v>
      </c>
      <c r="K197" t="s">
        <v>649</v>
      </c>
    </row>
    <row r="198" spans="1:11" x14ac:dyDescent="0.25">
      <c r="A198" t="s">
        <v>676</v>
      </c>
      <c r="B198" t="s">
        <v>33</v>
      </c>
      <c r="C198" t="s">
        <v>677</v>
      </c>
      <c r="D198" t="s">
        <v>147</v>
      </c>
      <c r="E198" t="s">
        <v>46</v>
      </c>
      <c r="F198">
        <v>3</v>
      </c>
      <c r="G198">
        <v>300.62</v>
      </c>
      <c r="H198">
        <v>901.86</v>
      </c>
      <c r="I198" t="s">
        <v>30</v>
      </c>
      <c r="J198" t="s">
        <v>17</v>
      </c>
      <c r="K198" t="s">
        <v>37</v>
      </c>
    </row>
    <row r="199" spans="1:11" x14ac:dyDescent="0.25">
      <c r="A199" t="s">
        <v>678</v>
      </c>
      <c r="B199" t="s">
        <v>679</v>
      </c>
      <c r="C199" t="s">
        <v>556</v>
      </c>
      <c r="D199" t="s">
        <v>680</v>
      </c>
      <c r="E199" t="s">
        <v>185</v>
      </c>
      <c r="F199">
        <v>6</v>
      </c>
      <c r="G199">
        <v>48.78</v>
      </c>
      <c r="H199">
        <v>292.68</v>
      </c>
      <c r="I199" t="s">
        <v>30</v>
      </c>
      <c r="J199" t="s">
        <v>17</v>
      </c>
      <c r="K199" t="s">
        <v>681</v>
      </c>
    </row>
    <row r="200" spans="1:11" x14ac:dyDescent="0.25">
      <c r="A200" t="s">
        <v>682</v>
      </c>
      <c r="B200" t="s">
        <v>683</v>
      </c>
      <c r="C200" t="s">
        <v>498</v>
      </c>
      <c r="D200" t="s">
        <v>331</v>
      </c>
      <c r="E200" t="s">
        <v>15</v>
      </c>
      <c r="F200">
        <v>3</v>
      </c>
      <c r="G200">
        <v>26.1</v>
      </c>
      <c r="H200">
        <v>78.3</v>
      </c>
      <c r="I200" t="s">
        <v>30</v>
      </c>
      <c r="J200" t="s">
        <v>55</v>
      </c>
      <c r="K200" t="s">
        <v>684</v>
      </c>
    </row>
    <row r="201" spans="1:11" x14ac:dyDescent="0.25">
      <c r="A201" t="s">
        <v>685</v>
      </c>
      <c r="B201" t="s">
        <v>686</v>
      </c>
      <c r="C201" t="s">
        <v>687</v>
      </c>
      <c r="D201" t="s">
        <v>78</v>
      </c>
      <c r="E201" t="s">
        <v>46</v>
      </c>
      <c r="F201">
        <v>1</v>
      </c>
      <c r="G201">
        <v>91.55</v>
      </c>
      <c r="H201">
        <v>91.55</v>
      </c>
      <c r="I201" t="s">
        <v>30</v>
      </c>
      <c r="J201" t="s">
        <v>17</v>
      </c>
      <c r="K201" t="s">
        <v>688</v>
      </c>
    </row>
    <row r="202" spans="1:11" x14ac:dyDescent="0.25">
      <c r="A202" t="s">
        <v>689</v>
      </c>
      <c r="B202" t="s">
        <v>690</v>
      </c>
      <c r="C202" t="s">
        <v>691</v>
      </c>
      <c r="D202" t="s">
        <v>147</v>
      </c>
      <c r="E202" t="s">
        <v>46</v>
      </c>
      <c r="F202">
        <v>7</v>
      </c>
      <c r="G202">
        <v>286.10000000000002</v>
      </c>
      <c r="H202">
        <v>1336.78</v>
      </c>
      <c r="I202" t="s">
        <v>35</v>
      </c>
      <c r="J202" t="s">
        <v>55</v>
      </c>
      <c r="K202" t="s">
        <v>692</v>
      </c>
    </row>
    <row r="203" spans="1:11" x14ac:dyDescent="0.25">
      <c r="A203" t="s">
        <v>693</v>
      </c>
      <c r="B203" t="s">
        <v>694</v>
      </c>
      <c r="C203" t="s">
        <v>695</v>
      </c>
      <c r="D203" t="s">
        <v>91</v>
      </c>
      <c r="F203">
        <v>3</v>
      </c>
      <c r="G203">
        <v>79.47</v>
      </c>
      <c r="H203">
        <v>238.41</v>
      </c>
      <c r="I203" t="s">
        <v>102</v>
      </c>
      <c r="J203" t="s">
        <v>69</v>
      </c>
      <c r="K203" t="s">
        <v>696</v>
      </c>
    </row>
    <row r="204" spans="1:11" x14ac:dyDescent="0.25">
      <c r="A204" t="s">
        <v>697</v>
      </c>
      <c r="B204" t="s">
        <v>352</v>
      </c>
      <c r="C204" t="s">
        <v>698</v>
      </c>
      <c r="D204" t="s">
        <v>271</v>
      </c>
      <c r="E204" t="s">
        <v>46</v>
      </c>
      <c r="F204">
        <v>3</v>
      </c>
      <c r="G204">
        <v>291.77</v>
      </c>
      <c r="H204">
        <v>875.31</v>
      </c>
      <c r="I204" t="s">
        <v>102</v>
      </c>
      <c r="J204" t="s">
        <v>55</v>
      </c>
      <c r="K204" t="s">
        <v>354</v>
      </c>
    </row>
    <row r="205" spans="1:11" x14ac:dyDescent="0.25">
      <c r="A205" t="s">
        <v>699</v>
      </c>
      <c r="B205" t="s">
        <v>700</v>
      </c>
      <c r="C205" t="s">
        <v>695</v>
      </c>
      <c r="D205" t="s">
        <v>87</v>
      </c>
      <c r="E205" t="s">
        <v>15</v>
      </c>
      <c r="F205">
        <v>7</v>
      </c>
      <c r="G205">
        <v>54.93</v>
      </c>
      <c r="H205">
        <v>384.51</v>
      </c>
      <c r="I205" t="s">
        <v>102</v>
      </c>
      <c r="J205" t="s">
        <v>69</v>
      </c>
      <c r="K205" t="s">
        <v>701</v>
      </c>
    </row>
    <row r="206" spans="1:11" x14ac:dyDescent="0.25">
      <c r="A206" t="s">
        <v>702</v>
      </c>
      <c r="B206" t="s">
        <v>460</v>
      </c>
      <c r="C206" t="s">
        <v>490</v>
      </c>
      <c r="D206" t="s">
        <v>41</v>
      </c>
      <c r="E206" t="s">
        <v>15</v>
      </c>
      <c r="F206">
        <v>4</v>
      </c>
      <c r="G206">
        <v>84.95</v>
      </c>
      <c r="H206">
        <v>339.8</v>
      </c>
      <c r="I206" t="s">
        <v>16</v>
      </c>
      <c r="J206" t="s">
        <v>55</v>
      </c>
      <c r="K206" t="s">
        <v>462</v>
      </c>
    </row>
    <row r="207" spans="1:11" x14ac:dyDescent="0.25">
      <c r="A207" t="s">
        <v>370</v>
      </c>
      <c r="B207" t="s">
        <v>371</v>
      </c>
      <c r="D207" t="s">
        <v>331</v>
      </c>
      <c r="E207" t="s">
        <v>15</v>
      </c>
      <c r="F207">
        <v>8</v>
      </c>
      <c r="G207">
        <v>23.77</v>
      </c>
      <c r="H207">
        <v>190.16</v>
      </c>
      <c r="I207" t="s">
        <v>30</v>
      </c>
      <c r="J207" t="s">
        <v>69</v>
      </c>
      <c r="K207" t="s">
        <v>372</v>
      </c>
    </row>
    <row r="208" spans="1:11" x14ac:dyDescent="0.25">
      <c r="A208" t="s">
        <v>703</v>
      </c>
      <c r="B208" t="s">
        <v>704</v>
      </c>
      <c r="C208" t="s">
        <v>705</v>
      </c>
      <c r="D208" t="s">
        <v>87</v>
      </c>
      <c r="E208" t="s">
        <v>15</v>
      </c>
      <c r="F208">
        <v>3</v>
      </c>
      <c r="G208">
        <v>-49.99</v>
      </c>
      <c r="H208">
        <v>-223.88</v>
      </c>
      <c r="I208" t="s">
        <v>30</v>
      </c>
      <c r="J208" t="s">
        <v>17</v>
      </c>
      <c r="K208" t="s">
        <v>706</v>
      </c>
    </row>
    <row r="209" spans="1:11" x14ac:dyDescent="0.25">
      <c r="A209" t="s">
        <v>707</v>
      </c>
      <c r="B209" t="s">
        <v>109</v>
      </c>
      <c r="C209" t="s">
        <v>708</v>
      </c>
      <c r="D209" t="s">
        <v>29</v>
      </c>
      <c r="E209" t="s">
        <v>46</v>
      </c>
      <c r="F209">
        <v>0</v>
      </c>
      <c r="G209">
        <v>952.43</v>
      </c>
      <c r="H209">
        <v>0</v>
      </c>
      <c r="I209" t="s">
        <v>30</v>
      </c>
      <c r="J209" t="s">
        <v>17</v>
      </c>
      <c r="K209" t="s">
        <v>709</v>
      </c>
    </row>
    <row r="210" spans="1:11" x14ac:dyDescent="0.25">
      <c r="A210" t="s">
        <v>710</v>
      </c>
      <c r="B210" t="s">
        <v>711</v>
      </c>
      <c r="C210" t="s">
        <v>712</v>
      </c>
      <c r="D210" t="s">
        <v>214</v>
      </c>
      <c r="E210" t="s">
        <v>185</v>
      </c>
      <c r="F210">
        <v>1</v>
      </c>
      <c r="G210">
        <v>50.64</v>
      </c>
      <c r="H210">
        <v>50.64</v>
      </c>
      <c r="I210" t="s">
        <v>30</v>
      </c>
      <c r="J210" t="s">
        <v>24</v>
      </c>
      <c r="K210" t="s">
        <v>713</v>
      </c>
    </row>
    <row r="211" spans="1:11" x14ac:dyDescent="0.25">
      <c r="A211" t="s">
        <v>714</v>
      </c>
      <c r="B211" t="s">
        <v>624</v>
      </c>
      <c r="C211" t="s">
        <v>715</v>
      </c>
      <c r="D211" t="s">
        <v>78</v>
      </c>
      <c r="E211" t="s">
        <v>46</v>
      </c>
      <c r="F211">
        <v>1</v>
      </c>
      <c r="G211">
        <v>97.72</v>
      </c>
      <c r="H211">
        <v>97.72</v>
      </c>
      <c r="I211" t="s">
        <v>102</v>
      </c>
      <c r="J211" t="s">
        <v>51</v>
      </c>
      <c r="K211" t="s">
        <v>626</v>
      </c>
    </row>
    <row r="212" spans="1:11" x14ac:dyDescent="0.25">
      <c r="A212" t="s">
        <v>716</v>
      </c>
      <c r="B212" t="s">
        <v>717</v>
      </c>
      <c r="C212" t="s">
        <v>718</v>
      </c>
      <c r="D212" t="s">
        <v>87</v>
      </c>
      <c r="E212" t="s">
        <v>92</v>
      </c>
      <c r="F212">
        <v>9</v>
      </c>
      <c r="G212">
        <v>48.11</v>
      </c>
      <c r="H212">
        <v>432.99</v>
      </c>
      <c r="I212" t="s">
        <v>102</v>
      </c>
      <c r="J212" t="s">
        <v>126</v>
      </c>
      <c r="K212" t="s">
        <v>719</v>
      </c>
    </row>
    <row r="213" spans="1:11" x14ac:dyDescent="0.25">
      <c r="A213" t="s">
        <v>720</v>
      </c>
      <c r="B213" t="s">
        <v>669</v>
      </c>
      <c r="C213" t="s">
        <v>721</v>
      </c>
      <c r="D213" t="s">
        <v>271</v>
      </c>
      <c r="E213" t="s">
        <v>46</v>
      </c>
      <c r="F213">
        <v>3</v>
      </c>
      <c r="G213">
        <v>292.72000000000003</v>
      </c>
      <c r="H213">
        <v>878.16</v>
      </c>
      <c r="I213" t="s">
        <v>16</v>
      </c>
      <c r="J213" t="s">
        <v>24</v>
      </c>
      <c r="K213" t="s">
        <v>671</v>
      </c>
    </row>
    <row r="214" spans="1:11" x14ac:dyDescent="0.25">
      <c r="A214" t="s">
        <v>722</v>
      </c>
      <c r="B214" t="s">
        <v>248</v>
      </c>
      <c r="C214" t="s">
        <v>723</v>
      </c>
      <c r="D214" t="s">
        <v>147</v>
      </c>
      <c r="E214" t="s">
        <v>46</v>
      </c>
      <c r="F214">
        <v>7</v>
      </c>
      <c r="G214">
        <v>306.01</v>
      </c>
      <c r="H214">
        <v>1877.59</v>
      </c>
      <c r="I214" t="s">
        <v>35</v>
      </c>
      <c r="J214" t="s">
        <v>24</v>
      </c>
      <c r="K214" t="s">
        <v>250</v>
      </c>
    </row>
    <row r="215" spans="1:11" x14ac:dyDescent="0.25">
      <c r="A215" t="s">
        <v>724</v>
      </c>
      <c r="B215" t="s">
        <v>588</v>
      </c>
      <c r="C215" t="s">
        <v>725</v>
      </c>
      <c r="D215" t="s">
        <v>59</v>
      </c>
      <c r="F215">
        <v>9</v>
      </c>
      <c r="G215">
        <v>163.43</v>
      </c>
      <c r="H215">
        <v>1470.87</v>
      </c>
      <c r="I215" t="s">
        <v>35</v>
      </c>
      <c r="J215" t="s">
        <v>55</v>
      </c>
      <c r="K215" t="s">
        <v>590</v>
      </c>
    </row>
    <row r="216" spans="1:11" x14ac:dyDescent="0.25">
      <c r="A216" t="s">
        <v>726</v>
      </c>
      <c r="B216" t="s">
        <v>727</v>
      </c>
      <c r="C216" t="s">
        <v>218</v>
      </c>
      <c r="D216" t="s">
        <v>41</v>
      </c>
      <c r="E216" t="s">
        <v>15</v>
      </c>
      <c r="F216">
        <v>9</v>
      </c>
      <c r="I216" t="s">
        <v>16</v>
      </c>
      <c r="J216" t="s">
        <v>83</v>
      </c>
      <c r="K216" t="s">
        <v>728</v>
      </c>
    </row>
    <row r="217" spans="1:11" x14ac:dyDescent="0.25">
      <c r="A217" t="s">
        <v>729</v>
      </c>
      <c r="B217" t="s">
        <v>730</v>
      </c>
      <c r="C217" t="s">
        <v>731</v>
      </c>
      <c r="D217" t="s">
        <v>87</v>
      </c>
      <c r="E217" t="s">
        <v>15</v>
      </c>
      <c r="F217">
        <v>9</v>
      </c>
      <c r="G217">
        <v>49.03</v>
      </c>
      <c r="H217">
        <v>441.27</v>
      </c>
      <c r="I217" t="s">
        <v>30</v>
      </c>
      <c r="J217" t="s">
        <v>24</v>
      </c>
      <c r="K217" t="s">
        <v>732</v>
      </c>
    </row>
    <row r="218" spans="1:11" x14ac:dyDescent="0.25">
      <c r="A218" t="s">
        <v>733</v>
      </c>
      <c r="B218" t="s">
        <v>576</v>
      </c>
      <c r="C218" t="s">
        <v>734</v>
      </c>
      <c r="D218" t="s">
        <v>22</v>
      </c>
      <c r="E218" t="s">
        <v>23</v>
      </c>
      <c r="F218">
        <v>8</v>
      </c>
      <c r="G218">
        <v>137.55000000000001</v>
      </c>
      <c r="H218">
        <v>1100.4000000000001</v>
      </c>
      <c r="I218" t="s">
        <v>102</v>
      </c>
      <c r="J218" t="s">
        <v>55</v>
      </c>
    </row>
    <row r="219" spans="1:11" x14ac:dyDescent="0.25">
      <c r="A219" t="s">
        <v>735</v>
      </c>
      <c r="B219" t="s">
        <v>237</v>
      </c>
      <c r="C219" t="s">
        <v>736</v>
      </c>
      <c r="D219" t="s">
        <v>101</v>
      </c>
      <c r="E219" t="s">
        <v>92</v>
      </c>
      <c r="F219">
        <v>8</v>
      </c>
      <c r="G219">
        <v>24.72</v>
      </c>
      <c r="H219">
        <v>197.76</v>
      </c>
      <c r="I219" t="s">
        <v>16</v>
      </c>
      <c r="J219" t="s">
        <v>51</v>
      </c>
      <c r="K219" t="s">
        <v>240</v>
      </c>
    </row>
    <row r="220" spans="1:11" x14ac:dyDescent="0.25">
      <c r="A220" t="s">
        <v>737</v>
      </c>
      <c r="B220" t="s">
        <v>738</v>
      </c>
      <c r="C220" t="s">
        <v>739</v>
      </c>
      <c r="D220" t="s">
        <v>87</v>
      </c>
      <c r="E220" t="s">
        <v>92</v>
      </c>
      <c r="F220">
        <v>999</v>
      </c>
      <c r="G220">
        <v>53.83</v>
      </c>
      <c r="H220">
        <v>53776.17</v>
      </c>
      <c r="I220" t="s">
        <v>102</v>
      </c>
      <c r="J220" t="s">
        <v>55</v>
      </c>
      <c r="K220" t="s">
        <v>740</v>
      </c>
    </row>
    <row r="221" spans="1:11" x14ac:dyDescent="0.25">
      <c r="A221" t="s">
        <v>741</v>
      </c>
      <c r="B221" t="s">
        <v>742</v>
      </c>
      <c r="C221" t="s">
        <v>125</v>
      </c>
      <c r="D221" t="s">
        <v>22</v>
      </c>
      <c r="E221" t="s">
        <v>23</v>
      </c>
      <c r="F221">
        <v>1</v>
      </c>
      <c r="G221">
        <v>138.09</v>
      </c>
      <c r="H221">
        <v>138.09</v>
      </c>
      <c r="I221" t="s">
        <v>30</v>
      </c>
      <c r="J221" t="s">
        <v>51</v>
      </c>
      <c r="K221" t="s">
        <v>743</v>
      </c>
    </row>
    <row r="222" spans="1:11" x14ac:dyDescent="0.25">
      <c r="A222" t="s">
        <v>744</v>
      </c>
      <c r="B222" t="s">
        <v>679</v>
      </c>
      <c r="C222" t="s">
        <v>327</v>
      </c>
      <c r="D222" t="s">
        <v>22</v>
      </c>
      <c r="E222" t="s">
        <v>23</v>
      </c>
      <c r="F222">
        <v>9</v>
      </c>
      <c r="G222">
        <v>145.22999999999999</v>
      </c>
      <c r="H222">
        <v>1307.07</v>
      </c>
      <c r="I222" t="s">
        <v>16</v>
      </c>
      <c r="K222" t="s">
        <v>681</v>
      </c>
    </row>
    <row r="223" spans="1:11" x14ac:dyDescent="0.25">
      <c r="A223" t="s">
        <v>745</v>
      </c>
      <c r="B223" t="s">
        <v>694</v>
      </c>
      <c r="C223" t="s">
        <v>746</v>
      </c>
      <c r="D223" t="s">
        <v>78</v>
      </c>
      <c r="E223" t="s">
        <v>46</v>
      </c>
      <c r="F223">
        <v>9</v>
      </c>
      <c r="G223">
        <v>95.6</v>
      </c>
      <c r="H223">
        <v>860.4</v>
      </c>
      <c r="I223" t="s">
        <v>102</v>
      </c>
      <c r="J223" t="s">
        <v>24</v>
      </c>
      <c r="K223" t="s">
        <v>696</v>
      </c>
    </row>
    <row r="224" spans="1:11" x14ac:dyDescent="0.25">
      <c r="A224" t="s">
        <v>747</v>
      </c>
      <c r="B224" t="s">
        <v>700</v>
      </c>
      <c r="C224" t="s">
        <v>748</v>
      </c>
      <c r="D224" t="s">
        <v>29</v>
      </c>
      <c r="F224">
        <v>4</v>
      </c>
      <c r="G224">
        <v>882.4</v>
      </c>
      <c r="H224">
        <v>3517.3</v>
      </c>
      <c r="I224" t="s">
        <v>35</v>
      </c>
      <c r="J224" t="s">
        <v>24</v>
      </c>
      <c r="K224" t="s">
        <v>749</v>
      </c>
    </row>
    <row r="225" spans="1:11" x14ac:dyDescent="0.25">
      <c r="A225" t="s">
        <v>750</v>
      </c>
      <c r="B225" t="s">
        <v>751</v>
      </c>
      <c r="C225" t="s">
        <v>752</v>
      </c>
      <c r="D225" t="s">
        <v>41</v>
      </c>
      <c r="E225" t="s">
        <v>15</v>
      </c>
      <c r="F225">
        <v>1</v>
      </c>
      <c r="G225">
        <v>83.93</v>
      </c>
      <c r="H225">
        <v>83.93</v>
      </c>
      <c r="I225" t="s">
        <v>102</v>
      </c>
      <c r="J225" t="s">
        <v>51</v>
      </c>
      <c r="K225" t="s">
        <v>753</v>
      </c>
    </row>
    <row r="226" spans="1:11" x14ac:dyDescent="0.25">
      <c r="A226" t="s">
        <v>754</v>
      </c>
      <c r="B226" t="s">
        <v>755</v>
      </c>
      <c r="C226" t="s">
        <v>756</v>
      </c>
      <c r="D226" t="s">
        <v>147</v>
      </c>
      <c r="E226" t="s">
        <v>46</v>
      </c>
      <c r="F226">
        <v>1</v>
      </c>
      <c r="G226">
        <v>289.66000000000003</v>
      </c>
      <c r="H226">
        <v>289.66000000000003</v>
      </c>
      <c r="I226" t="s">
        <v>30</v>
      </c>
      <c r="J226" t="s">
        <v>36</v>
      </c>
      <c r="K226" t="s">
        <v>757</v>
      </c>
    </row>
    <row r="227" spans="1:11" x14ac:dyDescent="0.25">
      <c r="A227" t="s">
        <v>758</v>
      </c>
      <c r="B227" t="s">
        <v>759</v>
      </c>
      <c r="C227" t="s">
        <v>760</v>
      </c>
      <c r="D227" t="s">
        <v>147</v>
      </c>
      <c r="E227" t="s">
        <v>46</v>
      </c>
      <c r="F227">
        <v>5</v>
      </c>
      <c r="G227">
        <v>279.81</v>
      </c>
      <c r="H227">
        <v>1399.05</v>
      </c>
      <c r="I227" t="s">
        <v>16</v>
      </c>
      <c r="J227" t="s">
        <v>51</v>
      </c>
      <c r="K227" t="s">
        <v>761</v>
      </c>
    </row>
    <row r="228" spans="1:11" x14ac:dyDescent="0.25">
      <c r="A228" t="s">
        <v>762</v>
      </c>
      <c r="B228" t="s">
        <v>233</v>
      </c>
      <c r="C228" t="s">
        <v>763</v>
      </c>
      <c r="D228" t="s">
        <v>41</v>
      </c>
      <c r="E228" t="s">
        <v>15</v>
      </c>
      <c r="F228">
        <v>999</v>
      </c>
      <c r="G228">
        <v>80.73</v>
      </c>
      <c r="H228">
        <v>80649.27</v>
      </c>
      <c r="I228" t="s">
        <v>35</v>
      </c>
      <c r="J228" t="s">
        <v>24</v>
      </c>
      <c r="K228" t="s">
        <v>235</v>
      </c>
    </row>
    <row r="229" spans="1:11" x14ac:dyDescent="0.25">
      <c r="A229" t="s">
        <v>764</v>
      </c>
      <c r="B229" t="s">
        <v>765</v>
      </c>
      <c r="C229" t="s">
        <v>718</v>
      </c>
      <c r="D229" t="s">
        <v>29</v>
      </c>
      <c r="E229" t="s">
        <v>46</v>
      </c>
      <c r="F229">
        <v>1</v>
      </c>
      <c r="G229">
        <v>872.02</v>
      </c>
      <c r="H229">
        <v>481.26</v>
      </c>
      <c r="I229" t="s">
        <v>35</v>
      </c>
      <c r="J229" t="s">
        <v>17</v>
      </c>
      <c r="K229" t="s">
        <v>766</v>
      </c>
    </row>
    <row r="230" spans="1:11" x14ac:dyDescent="0.25">
      <c r="A230" t="s">
        <v>767</v>
      </c>
      <c r="B230" t="s">
        <v>694</v>
      </c>
      <c r="C230" t="s">
        <v>175</v>
      </c>
      <c r="D230" t="s">
        <v>87</v>
      </c>
      <c r="E230" t="s">
        <v>15</v>
      </c>
      <c r="F230">
        <v>5</v>
      </c>
      <c r="G230">
        <v>46.74</v>
      </c>
      <c r="H230">
        <v>233.7</v>
      </c>
      <c r="I230" t="s">
        <v>16</v>
      </c>
      <c r="J230" t="s">
        <v>55</v>
      </c>
      <c r="K230" t="s">
        <v>696</v>
      </c>
    </row>
    <row r="231" spans="1:11" x14ac:dyDescent="0.25">
      <c r="A231" t="s">
        <v>768</v>
      </c>
      <c r="B231" t="s">
        <v>208</v>
      </c>
      <c r="C231" t="s">
        <v>769</v>
      </c>
      <c r="D231" t="s">
        <v>29</v>
      </c>
      <c r="E231" t="s">
        <v>46</v>
      </c>
      <c r="F231">
        <v>4</v>
      </c>
      <c r="G231">
        <v>866.27</v>
      </c>
      <c r="H231">
        <v>3465.08</v>
      </c>
      <c r="I231" t="s">
        <v>102</v>
      </c>
      <c r="J231" t="s">
        <v>55</v>
      </c>
      <c r="K231" t="s">
        <v>210</v>
      </c>
    </row>
    <row r="232" spans="1:11" x14ac:dyDescent="0.25">
      <c r="A232" t="s">
        <v>770</v>
      </c>
      <c r="B232" t="s">
        <v>12</v>
      </c>
      <c r="C232" t="s">
        <v>771</v>
      </c>
      <c r="D232" t="s">
        <v>29</v>
      </c>
      <c r="E232" t="s">
        <v>46</v>
      </c>
      <c r="F232">
        <v>4</v>
      </c>
      <c r="G232">
        <v>943.78</v>
      </c>
      <c r="H232">
        <v>3775.12</v>
      </c>
      <c r="I232" t="s">
        <v>30</v>
      </c>
      <c r="J232" t="s">
        <v>287</v>
      </c>
      <c r="K232" t="s">
        <v>18</v>
      </c>
    </row>
    <row r="233" spans="1:11" x14ac:dyDescent="0.25">
      <c r="A233" t="s">
        <v>772</v>
      </c>
      <c r="B233" t="s">
        <v>105</v>
      </c>
      <c r="C233" t="s">
        <v>760</v>
      </c>
      <c r="D233" t="s">
        <v>101</v>
      </c>
      <c r="F233">
        <v>1</v>
      </c>
      <c r="G233">
        <v>27.28</v>
      </c>
      <c r="H233">
        <v>20.53</v>
      </c>
      <c r="I233" t="s">
        <v>30</v>
      </c>
      <c r="J233" t="s">
        <v>51</v>
      </c>
      <c r="K233" t="s">
        <v>107</v>
      </c>
    </row>
    <row r="234" spans="1:11" x14ac:dyDescent="0.25">
      <c r="A234" t="s">
        <v>773</v>
      </c>
      <c r="B234" t="s">
        <v>774</v>
      </c>
      <c r="C234" t="s">
        <v>775</v>
      </c>
      <c r="D234" t="s">
        <v>29</v>
      </c>
      <c r="E234" t="s">
        <v>46</v>
      </c>
      <c r="F234">
        <v>5</v>
      </c>
      <c r="G234">
        <v>822.77</v>
      </c>
      <c r="H234">
        <v>4113.8500000000004</v>
      </c>
      <c r="I234" t="s">
        <v>541</v>
      </c>
      <c r="J234" t="s">
        <v>287</v>
      </c>
      <c r="K234" t="s">
        <v>776</v>
      </c>
    </row>
    <row r="235" spans="1:11" x14ac:dyDescent="0.25">
      <c r="A235" t="s">
        <v>777</v>
      </c>
      <c r="B235" t="s">
        <v>778</v>
      </c>
      <c r="C235" t="s">
        <v>779</v>
      </c>
      <c r="D235" t="s">
        <v>78</v>
      </c>
      <c r="E235" t="s">
        <v>46</v>
      </c>
      <c r="F235">
        <v>4</v>
      </c>
      <c r="G235">
        <v>97.14</v>
      </c>
      <c r="H235">
        <v>388.56</v>
      </c>
      <c r="I235" t="s">
        <v>30</v>
      </c>
      <c r="J235" t="s">
        <v>55</v>
      </c>
      <c r="K235" t="s">
        <v>780</v>
      </c>
    </row>
    <row r="236" spans="1:11" x14ac:dyDescent="0.25">
      <c r="A236" t="s">
        <v>781</v>
      </c>
      <c r="B236" t="s">
        <v>782</v>
      </c>
      <c r="C236" t="s">
        <v>783</v>
      </c>
      <c r="D236" t="s">
        <v>78</v>
      </c>
      <c r="E236" t="s">
        <v>46</v>
      </c>
      <c r="F236">
        <v>2</v>
      </c>
      <c r="G236">
        <v>91.53</v>
      </c>
      <c r="H236">
        <v>183.06</v>
      </c>
      <c r="I236" t="s">
        <v>102</v>
      </c>
      <c r="J236" t="s">
        <v>69</v>
      </c>
      <c r="K236" t="s">
        <v>784</v>
      </c>
    </row>
    <row r="237" spans="1:11" x14ac:dyDescent="0.25">
      <c r="A237" t="s">
        <v>785</v>
      </c>
      <c r="B237" t="s">
        <v>786</v>
      </c>
      <c r="C237" t="s">
        <v>401</v>
      </c>
      <c r="D237" t="s">
        <v>388</v>
      </c>
      <c r="E237" t="s">
        <v>185</v>
      </c>
      <c r="F237">
        <v>5</v>
      </c>
      <c r="G237">
        <v>-50</v>
      </c>
      <c r="H237">
        <v>-250</v>
      </c>
      <c r="J237" t="s">
        <v>55</v>
      </c>
      <c r="K237" t="s">
        <v>787</v>
      </c>
    </row>
    <row r="238" spans="1:11" x14ac:dyDescent="0.25">
      <c r="A238" t="s">
        <v>788</v>
      </c>
      <c r="B238" t="s">
        <v>789</v>
      </c>
      <c r="C238" t="s">
        <v>790</v>
      </c>
      <c r="D238" t="s">
        <v>78</v>
      </c>
      <c r="E238" t="s">
        <v>64</v>
      </c>
      <c r="F238">
        <v>3</v>
      </c>
      <c r="G238">
        <v>91.6</v>
      </c>
      <c r="H238">
        <v>274.8</v>
      </c>
      <c r="I238" t="s">
        <v>16</v>
      </c>
      <c r="J238" t="s">
        <v>17</v>
      </c>
      <c r="K238" t="s">
        <v>791</v>
      </c>
    </row>
    <row r="239" spans="1:11" x14ac:dyDescent="0.25">
      <c r="A239" t="s">
        <v>633</v>
      </c>
      <c r="B239" t="s">
        <v>634</v>
      </c>
      <c r="C239" t="s">
        <v>635</v>
      </c>
      <c r="D239" t="s">
        <v>87</v>
      </c>
      <c r="E239" t="s">
        <v>15</v>
      </c>
      <c r="F239">
        <v>6</v>
      </c>
      <c r="G239">
        <v>50.77</v>
      </c>
      <c r="H239">
        <v>304.62</v>
      </c>
      <c r="I239" t="s">
        <v>16</v>
      </c>
      <c r="J239" t="s">
        <v>24</v>
      </c>
      <c r="K239" t="s">
        <v>636</v>
      </c>
    </row>
    <row r="240" spans="1:11" x14ac:dyDescent="0.25">
      <c r="A240" t="s">
        <v>792</v>
      </c>
      <c r="B240" t="s">
        <v>793</v>
      </c>
      <c r="C240" t="s">
        <v>401</v>
      </c>
      <c r="D240" t="s">
        <v>87</v>
      </c>
      <c r="E240" t="s">
        <v>15</v>
      </c>
      <c r="F240">
        <v>9</v>
      </c>
      <c r="I240" t="s">
        <v>35</v>
      </c>
      <c r="J240" t="s">
        <v>55</v>
      </c>
      <c r="K240" t="s">
        <v>794</v>
      </c>
    </row>
    <row r="241" spans="1:11" x14ac:dyDescent="0.25">
      <c r="A241" t="s">
        <v>795</v>
      </c>
      <c r="B241" t="s">
        <v>99</v>
      </c>
      <c r="C241" t="s">
        <v>796</v>
      </c>
      <c r="D241" t="s">
        <v>78</v>
      </c>
      <c r="E241" t="s">
        <v>46</v>
      </c>
      <c r="F241">
        <v>9</v>
      </c>
      <c r="I241" t="s">
        <v>35</v>
      </c>
      <c r="J241" t="s">
        <v>69</v>
      </c>
      <c r="K241" t="s">
        <v>103</v>
      </c>
    </row>
    <row r="242" spans="1:11" x14ac:dyDescent="0.25">
      <c r="A242" t="s">
        <v>797</v>
      </c>
      <c r="B242" t="s">
        <v>584</v>
      </c>
      <c r="C242" t="s">
        <v>798</v>
      </c>
      <c r="D242" t="s">
        <v>87</v>
      </c>
      <c r="E242" t="s">
        <v>15</v>
      </c>
      <c r="F242">
        <v>8</v>
      </c>
      <c r="G242">
        <v>49.01</v>
      </c>
      <c r="H242">
        <v>392.08</v>
      </c>
      <c r="I242" t="s">
        <v>16</v>
      </c>
      <c r="J242" t="s">
        <v>55</v>
      </c>
      <c r="K242" t="s">
        <v>585</v>
      </c>
    </row>
    <row r="243" spans="1:11" x14ac:dyDescent="0.25">
      <c r="A243" t="s">
        <v>799</v>
      </c>
      <c r="B243" t="s">
        <v>800</v>
      </c>
      <c r="C243" t="s">
        <v>179</v>
      </c>
      <c r="D243" t="s">
        <v>29</v>
      </c>
      <c r="E243" t="s">
        <v>46</v>
      </c>
      <c r="F243">
        <v>1</v>
      </c>
      <c r="G243">
        <v>-899.99</v>
      </c>
      <c r="H243">
        <v>-899.99</v>
      </c>
      <c r="I243" t="s">
        <v>102</v>
      </c>
      <c r="J243" t="s">
        <v>55</v>
      </c>
      <c r="K243" t="s">
        <v>801</v>
      </c>
    </row>
    <row r="244" spans="1:11" x14ac:dyDescent="0.25">
      <c r="A244" t="s">
        <v>802</v>
      </c>
      <c r="B244" t="s">
        <v>803</v>
      </c>
      <c r="C244" t="s">
        <v>804</v>
      </c>
      <c r="D244" t="s">
        <v>101</v>
      </c>
      <c r="E244" t="s">
        <v>15</v>
      </c>
      <c r="F244">
        <v>6</v>
      </c>
      <c r="G244">
        <v>0</v>
      </c>
      <c r="H244">
        <v>0</v>
      </c>
      <c r="I244" t="s">
        <v>16</v>
      </c>
      <c r="J244" t="s">
        <v>51</v>
      </c>
      <c r="K244" t="s">
        <v>805</v>
      </c>
    </row>
    <row r="245" spans="1:11" x14ac:dyDescent="0.25">
      <c r="A245" t="s">
        <v>806</v>
      </c>
      <c r="B245" t="s">
        <v>596</v>
      </c>
      <c r="C245" t="s">
        <v>807</v>
      </c>
      <c r="D245" t="s">
        <v>29</v>
      </c>
      <c r="E245" t="s">
        <v>46</v>
      </c>
      <c r="F245">
        <v>5</v>
      </c>
      <c r="G245">
        <v>942.47</v>
      </c>
      <c r="H245">
        <v>4897.22</v>
      </c>
      <c r="I245" t="s">
        <v>30</v>
      </c>
      <c r="J245" t="s">
        <v>51</v>
      </c>
      <c r="K245" t="s">
        <v>597</v>
      </c>
    </row>
    <row r="246" spans="1:11" x14ac:dyDescent="0.25">
      <c r="A246" t="s">
        <v>808</v>
      </c>
      <c r="B246" t="s">
        <v>145</v>
      </c>
      <c r="C246" t="s">
        <v>337</v>
      </c>
      <c r="D246" t="s">
        <v>78</v>
      </c>
      <c r="E246" t="s">
        <v>46</v>
      </c>
      <c r="F246">
        <v>-3</v>
      </c>
      <c r="G246">
        <v>91.29</v>
      </c>
      <c r="H246">
        <v>-273.87</v>
      </c>
      <c r="I246" t="s">
        <v>35</v>
      </c>
      <c r="J246" t="s">
        <v>24</v>
      </c>
      <c r="K246" t="s">
        <v>149</v>
      </c>
    </row>
    <row r="247" spans="1:11" x14ac:dyDescent="0.25">
      <c r="A247" t="s">
        <v>809</v>
      </c>
      <c r="B247" t="s">
        <v>136</v>
      </c>
      <c r="C247" t="s">
        <v>810</v>
      </c>
      <c r="D247" t="s">
        <v>87</v>
      </c>
      <c r="E247" t="s">
        <v>15</v>
      </c>
      <c r="F247">
        <v>4</v>
      </c>
      <c r="G247">
        <v>53.89</v>
      </c>
      <c r="H247">
        <v>215.56</v>
      </c>
      <c r="I247" t="s">
        <v>35</v>
      </c>
      <c r="K247" t="s">
        <v>139</v>
      </c>
    </row>
    <row r="248" spans="1:11" x14ac:dyDescent="0.25">
      <c r="A248" t="s">
        <v>811</v>
      </c>
      <c r="B248" t="s">
        <v>812</v>
      </c>
      <c r="C248" t="s">
        <v>813</v>
      </c>
      <c r="D248" t="s">
        <v>41</v>
      </c>
      <c r="E248" t="s">
        <v>15</v>
      </c>
      <c r="F248">
        <v>4</v>
      </c>
      <c r="G248">
        <v>86.97</v>
      </c>
      <c r="H248">
        <v>216.42</v>
      </c>
      <c r="I248" t="s">
        <v>16</v>
      </c>
      <c r="J248" t="s">
        <v>262</v>
      </c>
      <c r="K248" t="s">
        <v>814</v>
      </c>
    </row>
    <row r="249" spans="1:11" x14ac:dyDescent="0.25">
      <c r="A249" t="s">
        <v>815</v>
      </c>
      <c r="B249" t="s">
        <v>751</v>
      </c>
      <c r="C249" t="s">
        <v>816</v>
      </c>
      <c r="D249" t="s">
        <v>271</v>
      </c>
      <c r="E249" t="s">
        <v>46</v>
      </c>
      <c r="F249">
        <v>4</v>
      </c>
      <c r="G249">
        <v>323.72000000000003</v>
      </c>
      <c r="H249">
        <v>1294.8800000000001</v>
      </c>
      <c r="I249" t="s">
        <v>16</v>
      </c>
      <c r="J249" t="s">
        <v>17</v>
      </c>
      <c r="K249" t="s">
        <v>753</v>
      </c>
    </row>
    <row r="250" spans="1:11" x14ac:dyDescent="0.25">
      <c r="A250" t="s">
        <v>817</v>
      </c>
      <c r="B250" t="s">
        <v>363</v>
      </c>
      <c r="C250" t="s">
        <v>818</v>
      </c>
      <c r="D250" t="s">
        <v>87</v>
      </c>
      <c r="E250" t="s">
        <v>92</v>
      </c>
      <c r="F250">
        <v>9</v>
      </c>
      <c r="G250">
        <v>53.1</v>
      </c>
      <c r="H250">
        <v>477.9</v>
      </c>
      <c r="I250" t="s">
        <v>102</v>
      </c>
      <c r="J250" t="s">
        <v>55</v>
      </c>
      <c r="K250" t="s">
        <v>819</v>
      </c>
    </row>
    <row r="251" spans="1:11" x14ac:dyDescent="0.25">
      <c r="A251" t="s">
        <v>820</v>
      </c>
      <c r="B251" t="s">
        <v>657</v>
      </c>
      <c r="C251" t="s">
        <v>821</v>
      </c>
      <c r="D251" t="s">
        <v>147</v>
      </c>
      <c r="E251" t="s">
        <v>46</v>
      </c>
      <c r="F251">
        <v>9</v>
      </c>
      <c r="G251">
        <v>322.26</v>
      </c>
      <c r="H251">
        <v>2900.34</v>
      </c>
      <c r="I251" t="s">
        <v>102</v>
      </c>
      <c r="J251" t="s">
        <v>262</v>
      </c>
      <c r="K251" t="s">
        <v>659</v>
      </c>
    </row>
    <row r="252" spans="1:11" x14ac:dyDescent="0.25">
      <c r="A252" t="s">
        <v>822</v>
      </c>
      <c r="B252" t="s">
        <v>823</v>
      </c>
      <c r="C252" t="s">
        <v>824</v>
      </c>
      <c r="D252" t="s">
        <v>87</v>
      </c>
      <c r="E252" t="s">
        <v>15</v>
      </c>
      <c r="F252">
        <v>9</v>
      </c>
      <c r="I252" t="s">
        <v>35</v>
      </c>
      <c r="J252" t="s">
        <v>69</v>
      </c>
      <c r="K252" t="s">
        <v>825</v>
      </c>
    </row>
    <row r="253" spans="1:11" x14ac:dyDescent="0.25">
      <c r="A253" t="s">
        <v>826</v>
      </c>
      <c r="C253" t="s">
        <v>639</v>
      </c>
      <c r="D253" t="s">
        <v>78</v>
      </c>
      <c r="E253" t="s">
        <v>46</v>
      </c>
      <c r="F253">
        <v>1</v>
      </c>
      <c r="G253">
        <v>93.81</v>
      </c>
      <c r="H253">
        <v>140.5</v>
      </c>
      <c r="I253" t="s">
        <v>102</v>
      </c>
      <c r="J253" t="s">
        <v>51</v>
      </c>
    </row>
    <row r="254" spans="1:11" x14ac:dyDescent="0.25">
      <c r="A254" t="s">
        <v>827</v>
      </c>
      <c r="B254" t="s">
        <v>828</v>
      </c>
      <c r="C254" t="s">
        <v>829</v>
      </c>
      <c r="D254" t="s">
        <v>78</v>
      </c>
      <c r="E254" t="s">
        <v>46</v>
      </c>
      <c r="F254">
        <v>2</v>
      </c>
      <c r="G254">
        <v>92.05</v>
      </c>
      <c r="H254">
        <v>184.1</v>
      </c>
      <c r="J254" t="s">
        <v>55</v>
      </c>
      <c r="K254" t="s">
        <v>830</v>
      </c>
    </row>
    <row r="255" spans="1:11" x14ac:dyDescent="0.25">
      <c r="A255" t="s">
        <v>831</v>
      </c>
      <c r="B255" t="s">
        <v>832</v>
      </c>
      <c r="C255" t="s">
        <v>395</v>
      </c>
      <c r="D255" t="s">
        <v>59</v>
      </c>
      <c r="F255">
        <v>6</v>
      </c>
      <c r="G255">
        <v>144.47999999999999</v>
      </c>
      <c r="H255">
        <v>866.88</v>
      </c>
      <c r="I255" t="s">
        <v>16</v>
      </c>
      <c r="J255" t="s">
        <v>51</v>
      </c>
      <c r="K255" t="s">
        <v>833</v>
      </c>
    </row>
    <row r="256" spans="1:11" x14ac:dyDescent="0.25">
      <c r="A256" t="s">
        <v>834</v>
      </c>
      <c r="B256" t="s">
        <v>686</v>
      </c>
      <c r="C256" t="s">
        <v>835</v>
      </c>
      <c r="D256" t="s">
        <v>78</v>
      </c>
      <c r="E256" t="s">
        <v>46</v>
      </c>
      <c r="F256">
        <v>2</v>
      </c>
      <c r="G256">
        <v>91.51</v>
      </c>
      <c r="H256">
        <v>183.02</v>
      </c>
      <c r="I256" t="s">
        <v>35</v>
      </c>
      <c r="J256" t="s">
        <v>36</v>
      </c>
      <c r="K256" t="s">
        <v>688</v>
      </c>
    </row>
    <row r="257" spans="1:11" x14ac:dyDescent="0.25">
      <c r="A257" t="s">
        <v>836</v>
      </c>
      <c r="B257" t="s">
        <v>837</v>
      </c>
      <c r="C257" t="s">
        <v>677</v>
      </c>
      <c r="D257" t="s">
        <v>78</v>
      </c>
      <c r="E257" t="s">
        <v>46</v>
      </c>
      <c r="F257">
        <v>2</v>
      </c>
      <c r="G257">
        <v>81.7</v>
      </c>
      <c r="H257">
        <v>163.4</v>
      </c>
      <c r="I257" t="s">
        <v>16</v>
      </c>
      <c r="J257" t="s">
        <v>24</v>
      </c>
      <c r="K257" t="s">
        <v>838</v>
      </c>
    </row>
    <row r="258" spans="1:11" x14ac:dyDescent="0.25">
      <c r="A258" t="s">
        <v>839</v>
      </c>
      <c r="B258" t="s">
        <v>840</v>
      </c>
      <c r="D258" t="s">
        <v>841</v>
      </c>
      <c r="E258" t="s">
        <v>46</v>
      </c>
      <c r="F258">
        <v>7</v>
      </c>
      <c r="G258">
        <v>941.34</v>
      </c>
      <c r="H258">
        <v>6589.38</v>
      </c>
      <c r="I258" t="s">
        <v>35</v>
      </c>
      <c r="J258" t="s">
        <v>51</v>
      </c>
      <c r="K258" t="s">
        <v>842</v>
      </c>
    </row>
    <row r="259" spans="1:11" x14ac:dyDescent="0.25">
      <c r="A259" t="s">
        <v>843</v>
      </c>
      <c r="B259" t="s">
        <v>844</v>
      </c>
      <c r="C259" t="s">
        <v>845</v>
      </c>
      <c r="D259" t="s">
        <v>14</v>
      </c>
      <c r="E259" t="s">
        <v>15</v>
      </c>
      <c r="F259">
        <v>999</v>
      </c>
      <c r="G259">
        <v>53.92</v>
      </c>
      <c r="H259">
        <v>53866.080000000002</v>
      </c>
      <c r="I259" t="s">
        <v>16</v>
      </c>
      <c r="J259" t="s">
        <v>69</v>
      </c>
      <c r="K259" t="s">
        <v>846</v>
      </c>
    </row>
    <row r="260" spans="1:11" x14ac:dyDescent="0.25">
      <c r="A260" t="s">
        <v>847</v>
      </c>
      <c r="B260" t="s">
        <v>99</v>
      </c>
      <c r="C260" t="s">
        <v>848</v>
      </c>
      <c r="D260" t="s">
        <v>507</v>
      </c>
      <c r="E260" t="s">
        <v>15</v>
      </c>
      <c r="F260">
        <v>1</v>
      </c>
      <c r="G260">
        <v>76.349999999999994</v>
      </c>
      <c r="H260">
        <v>76.349999999999994</v>
      </c>
      <c r="I260" t="s">
        <v>16</v>
      </c>
      <c r="J260" t="s">
        <v>69</v>
      </c>
      <c r="K260" t="s">
        <v>103</v>
      </c>
    </row>
    <row r="261" spans="1:11" x14ac:dyDescent="0.25">
      <c r="A261" t="s">
        <v>849</v>
      </c>
      <c r="B261" t="s">
        <v>607</v>
      </c>
      <c r="C261" t="s">
        <v>850</v>
      </c>
      <c r="D261" t="s">
        <v>214</v>
      </c>
      <c r="E261" t="s">
        <v>361</v>
      </c>
      <c r="F261">
        <v>5</v>
      </c>
      <c r="G261">
        <v>45.98</v>
      </c>
      <c r="H261">
        <v>229.9</v>
      </c>
      <c r="I261" t="s">
        <v>35</v>
      </c>
      <c r="J261" t="s">
        <v>17</v>
      </c>
      <c r="K261" t="s">
        <v>851</v>
      </c>
    </row>
    <row r="262" spans="1:11" x14ac:dyDescent="0.25">
      <c r="A262" t="s">
        <v>852</v>
      </c>
      <c r="B262" t="s">
        <v>62</v>
      </c>
      <c r="C262" t="s">
        <v>853</v>
      </c>
      <c r="D262" t="s">
        <v>101</v>
      </c>
      <c r="E262" t="s">
        <v>15</v>
      </c>
      <c r="F262">
        <v>8</v>
      </c>
      <c r="G262">
        <v>27.91</v>
      </c>
      <c r="H262">
        <v>285.08</v>
      </c>
      <c r="I262" t="s">
        <v>102</v>
      </c>
      <c r="J262" t="s">
        <v>51</v>
      </c>
      <c r="K262" t="s">
        <v>65</v>
      </c>
    </row>
    <row r="263" spans="1:11" x14ac:dyDescent="0.25">
      <c r="A263" t="s">
        <v>854</v>
      </c>
      <c r="B263" t="s">
        <v>700</v>
      </c>
      <c r="C263" t="s">
        <v>855</v>
      </c>
      <c r="D263" t="s">
        <v>101</v>
      </c>
      <c r="F263">
        <v>4</v>
      </c>
      <c r="G263">
        <v>27.55</v>
      </c>
      <c r="H263">
        <v>110.2</v>
      </c>
      <c r="I263" t="s">
        <v>16</v>
      </c>
      <c r="J263" t="s">
        <v>69</v>
      </c>
      <c r="K263" t="s">
        <v>749</v>
      </c>
    </row>
    <row r="264" spans="1:11" x14ac:dyDescent="0.25">
      <c r="A264" t="s">
        <v>856</v>
      </c>
      <c r="B264" t="s">
        <v>857</v>
      </c>
      <c r="C264" t="s">
        <v>723</v>
      </c>
      <c r="D264" t="s">
        <v>22</v>
      </c>
      <c r="E264" t="s">
        <v>23</v>
      </c>
      <c r="F264">
        <v>2</v>
      </c>
      <c r="G264">
        <v>135.9</v>
      </c>
      <c r="H264">
        <v>271.8</v>
      </c>
      <c r="I264" t="s">
        <v>102</v>
      </c>
      <c r="J264" t="s">
        <v>55</v>
      </c>
      <c r="K264" t="s">
        <v>858</v>
      </c>
    </row>
    <row r="265" spans="1:11" x14ac:dyDescent="0.25">
      <c r="A265" t="s">
        <v>859</v>
      </c>
      <c r="B265" t="s">
        <v>860</v>
      </c>
      <c r="C265" t="s">
        <v>861</v>
      </c>
      <c r="D265" t="s">
        <v>147</v>
      </c>
      <c r="E265" t="s">
        <v>46</v>
      </c>
      <c r="F265">
        <v>6</v>
      </c>
      <c r="G265">
        <v>319.76</v>
      </c>
      <c r="H265">
        <v>1918.56</v>
      </c>
      <c r="I265" t="s">
        <v>30</v>
      </c>
      <c r="J265" t="s">
        <v>69</v>
      </c>
      <c r="K265" t="s">
        <v>862</v>
      </c>
    </row>
    <row r="266" spans="1:11" x14ac:dyDescent="0.25">
      <c r="A266" t="s">
        <v>863</v>
      </c>
      <c r="B266" t="s">
        <v>319</v>
      </c>
      <c r="C266" t="s">
        <v>864</v>
      </c>
      <c r="D266" t="s">
        <v>680</v>
      </c>
      <c r="F266">
        <v>8</v>
      </c>
      <c r="G266">
        <v>47</v>
      </c>
      <c r="H266">
        <v>401.74</v>
      </c>
      <c r="I266" t="s">
        <v>102</v>
      </c>
      <c r="J266" t="s">
        <v>51</v>
      </c>
      <c r="K266" t="s">
        <v>321</v>
      </c>
    </row>
    <row r="267" spans="1:11" x14ac:dyDescent="0.25">
      <c r="A267" t="s">
        <v>865</v>
      </c>
      <c r="B267" t="s">
        <v>694</v>
      </c>
      <c r="C267" t="s">
        <v>58</v>
      </c>
      <c r="D267" t="s">
        <v>41</v>
      </c>
      <c r="E267" t="s">
        <v>15</v>
      </c>
      <c r="F267">
        <v>1</v>
      </c>
      <c r="G267">
        <v>84.09</v>
      </c>
      <c r="H267">
        <v>84.09</v>
      </c>
      <c r="I267" t="s">
        <v>30</v>
      </c>
      <c r="J267" t="s">
        <v>24</v>
      </c>
      <c r="K267" t="s">
        <v>696</v>
      </c>
    </row>
    <row r="268" spans="1:11" x14ac:dyDescent="0.25">
      <c r="A268" t="s">
        <v>866</v>
      </c>
      <c r="B268" t="s">
        <v>158</v>
      </c>
      <c r="C268" t="s">
        <v>867</v>
      </c>
      <c r="D268" t="s">
        <v>184</v>
      </c>
      <c r="E268" t="s">
        <v>185</v>
      </c>
      <c r="F268">
        <v>5</v>
      </c>
      <c r="G268">
        <v>49.86</v>
      </c>
      <c r="H268">
        <v>196.8</v>
      </c>
      <c r="I268" t="s">
        <v>35</v>
      </c>
      <c r="J268" t="s">
        <v>51</v>
      </c>
      <c r="K268" t="s">
        <v>160</v>
      </c>
    </row>
    <row r="269" spans="1:11" x14ac:dyDescent="0.25">
      <c r="A269" t="s">
        <v>868</v>
      </c>
      <c r="B269" t="s">
        <v>141</v>
      </c>
      <c r="C269" t="s">
        <v>869</v>
      </c>
      <c r="D269" t="s">
        <v>41</v>
      </c>
      <c r="E269" t="s">
        <v>15</v>
      </c>
      <c r="F269">
        <v>6</v>
      </c>
      <c r="G269">
        <v>79.319999999999993</v>
      </c>
      <c r="H269">
        <v>501.32</v>
      </c>
      <c r="I269" t="s">
        <v>541</v>
      </c>
      <c r="J269" t="s">
        <v>69</v>
      </c>
    </row>
    <row r="270" spans="1:11" x14ac:dyDescent="0.25">
      <c r="A270" t="s">
        <v>870</v>
      </c>
      <c r="B270" t="s">
        <v>871</v>
      </c>
      <c r="C270" t="s">
        <v>872</v>
      </c>
      <c r="D270" t="s">
        <v>29</v>
      </c>
      <c r="E270" t="s">
        <v>46</v>
      </c>
      <c r="F270">
        <v>6</v>
      </c>
      <c r="G270">
        <v>904.02</v>
      </c>
      <c r="H270">
        <v>4429.32</v>
      </c>
      <c r="I270" t="s">
        <v>30</v>
      </c>
      <c r="J270" t="s">
        <v>164</v>
      </c>
      <c r="K270" t="s">
        <v>873</v>
      </c>
    </row>
    <row r="271" spans="1:11" x14ac:dyDescent="0.25">
      <c r="A271" t="s">
        <v>874</v>
      </c>
      <c r="B271" t="s">
        <v>278</v>
      </c>
      <c r="C271" t="s">
        <v>875</v>
      </c>
      <c r="D271" t="s">
        <v>78</v>
      </c>
      <c r="E271" t="s">
        <v>46</v>
      </c>
      <c r="F271">
        <v>-2</v>
      </c>
      <c r="G271">
        <v>88.18</v>
      </c>
      <c r="H271">
        <v>-176.36</v>
      </c>
      <c r="I271" t="s">
        <v>16</v>
      </c>
      <c r="J271" t="s">
        <v>392</v>
      </c>
      <c r="K271" t="s">
        <v>280</v>
      </c>
    </row>
    <row r="272" spans="1:11" x14ac:dyDescent="0.25">
      <c r="A272" t="s">
        <v>876</v>
      </c>
      <c r="B272" t="s">
        <v>200</v>
      </c>
      <c r="C272" t="s">
        <v>68</v>
      </c>
      <c r="D272" t="s">
        <v>87</v>
      </c>
      <c r="E272" t="s">
        <v>15</v>
      </c>
      <c r="F272">
        <v>7</v>
      </c>
      <c r="G272">
        <v>48.7</v>
      </c>
      <c r="H272">
        <v>340.9</v>
      </c>
      <c r="I272" t="s">
        <v>16</v>
      </c>
      <c r="J272" t="s">
        <v>17</v>
      </c>
      <c r="K272" t="s">
        <v>202</v>
      </c>
    </row>
    <row r="273" spans="1:11" x14ac:dyDescent="0.25">
      <c r="A273" t="s">
        <v>877</v>
      </c>
      <c r="B273" t="s">
        <v>878</v>
      </c>
      <c r="C273" t="s">
        <v>879</v>
      </c>
      <c r="D273" t="s">
        <v>87</v>
      </c>
      <c r="E273" t="s">
        <v>15</v>
      </c>
      <c r="F273">
        <v>1</v>
      </c>
      <c r="G273">
        <v>52.96</v>
      </c>
      <c r="H273">
        <v>52.96</v>
      </c>
      <c r="I273" t="s">
        <v>16</v>
      </c>
      <c r="J273" t="s">
        <v>69</v>
      </c>
      <c r="K273" t="s">
        <v>880</v>
      </c>
    </row>
    <row r="274" spans="1:11" x14ac:dyDescent="0.25">
      <c r="A274" t="s">
        <v>881</v>
      </c>
      <c r="B274" t="s">
        <v>133</v>
      </c>
      <c r="C274" t="s">
        <v>882</v>
      </c>
      <c r="D274" t="s">
        <v>59</v>
      </c>
      <c r="E274" t="s">
        <v>23</v>
      </c>
      <c r="F274">
        <v>5</v>
      </c>
      <c r="G274">
        <v>150.15</v>
      </c>
      <c r="H274">
        <v>750.75</v>
      </c>
      <c r="I274" t="s">
        <v>30</v>
      </c>
      <c r="J274" t="s">
        <v>24</v>
      </c>
      <c r="K274" t="s">
        <v>340</v>
      </c>
    </row>
    <row r="275" spans="1:11" x14ac:dyDescent="0.25">
      <c r="A275" t="s">
        <v>883</v>
      </c>
      <c r="B275" t="s">
        <v>884</v>
      </c>
      <c r="C275" t="s">
        <v>218</v>
      </c>
      <c r="D275" t="s">
        <v>147</v>
      </c>
      <c r="E275" t="s">
        <v>46</v>
      </c>
      <c r="F275">
        <v>999</v>
      </c>
      <c r="G275">
        <v>0</v>
      </c>
      <c r="H275">
        <v>0</v>
      </c>
      <c r="I275" t="s">
        <v>30</v>
      </c>
      <c r="J275" t="s">
        <v>83</v>
      </c>
      <c r="K275" t="s">
        <v>885</v>
      </c>
    </row>
    <row r="276" spans="1:11" x14ac:dyDescent="0.25">
      <c r="A276" t="s">
        <v>886</v>
      </c>
      <c r="B276" t="s">
        <v>887</v>
      </c>
      <c r="C276" t="s">
        <v>401</v>
      </c>
      <c r="D276" t="s">
        <v>59</v>
      </c>
      <c r="F276">
        <v>8</v>
      </c>
      <c r="G276">
        <v>152.11000000000001</v>
      </c>
      <c r="H276">
        <v>1216.8800000000001</v>
      </c>
      <c r="I276" t="s">
        <v>102</v>
      </c>
      <c r="J276" t="s">
        <v>392</v>
      </c>
      <c r="K276" t="s">
        <v>888</v>
      </c>
    </row>
    <row r="277" spans="1:11" x14ac:dyDescent="0.25">
      <c r="A277" t="s">
        <v>889</v>
      </c>
      <c r="B277" t="s">
        <v>700</v>
      </c>
      <c r="C277" t="s">
        <v>890</v>
      </c>
      <c r="D277" t="s">
        <v>507</v>
      </c>
      <c r="E277" t="s">
        <v>15</v>
      </c>
      <c r="F277">
        <v>6</v>
      </c>
      <c r="G277">
        <v>87.05</v>
      </c>
      <c r="H277">
        <v>522.29999999999995</v>
      </c>
      <c r="I277" t="s">
        <v>30</v>
      </c>
      <c r="J277" t="s">
        <v>69</v>
      </c>
      <c r="K277" t="s">
        <v>749</v>
      </c>
    </row>
    <row r="278" spans="1:11" x14ac:dyDescent="0.25">
      <c r="A278" t="s">
        <v>891</v>
      </c>
      <c r="B278" t="s">
        <v>892</v>
      </c>
      <c r="C278" t="s">
        <v>769</v>
      </c>
      <c r="D278" t="s">
        <v>147</v>
      </c>
      <c r="E278" t="s">
        <v>46</v>
      </c>
      <c r="F278">
        <v>0</v>
      </c>
      <c r="G278">
        <v>318.73</v>
      </c>
      <c r="H278">
        <v>0</v>
      </c>
      <c r="I278" t="s">
        <v>102</v>
      </c>
      <c r="J278" t="s">
        <v>17</v>
      </c>
      <c r="K278" t="s">
        <v>893</v>
      </c>
    </row>
    <row r="279" spans="1:11" x14ac:dyDescent="0.25">
      <c r="A279" t="s">
        <v>894</v>
      </c>
      <c r="B279" t="s">
        <v>895</v>
      </c>
      <c r="C279" t="s">
        <v>82</v>
      </c>
      <c r="D279" t="s">
        <v>22</v>
      </c>
      <c r="E279" t="s">
        <v>23</v>
      </c>
      <c r="F279">
        <v>8</v>
      </c>
      <c r="G279">
        <v>157.99</v>
      </c>
      <c r="H279">
        <v>1263.92</v>
      </c>
      <c r="I279" t="s">
        <v>16</v>
      </c>
      <c r="J279" t="s">
        <v>24</v>
      </c>
      <c r="K279" t="s">
        <v>896</v>
      </c>
    </row>
    <row r="280" spans="1:11" x14ac:dyDescent="0.25">
      <c r="A280" t="s">
        <v>897</v>
      </c>
      <c r="B280" t="s">
        <v>837</v>
      </c>
      <c r="C280" t="s">
        <v>898</v>
      </c>
      <c r="D280" t="s">
        <v>214</v>
      </c>
      <c r="E280" t="s">
        <v>185</v>
      </c>
      <c r="F280">
        <v>5</v>
      </c>
      <c r="G280">
        <v>53.43</v>
      </c>
      <c r="H280">
        <v>267.14999999999998</v>
      </c>
      <c r="I280" t="s">
        <v>102</v>
      </c>
      <c r="J280" t="s">
        <v>69</v>
      </c>
      <c r="K280" t="s">
        <v>838</v>
      </c>
    </row>
    <row r="281" spans="1:11" x14ac:dyDescent="0.25">
      <c r="A281" t="s">
        <v>899</v>
      </c>
      <c r="B281" t="s">
        <v>136</v>
      </c>
      <c r="C281" t="s">
        <v>900</v>
      </c>
      <c r="D281" t="s">
        <v>29</v>
      </c>
      <c r="E281" t="s">
        <v>46</v>
      </c>
      <c r="F281">
        <v>1</v>
      </c>
      <c r="G281">
        <v>819.02</v>
      </c>
      <c r="H281">
        <v>819.02</v>
      </c>
      <c r="I281" t="s">
        <v>35</v>
      </c>
      <c r="J281" t="s">
        <v>287</v>
      </c>
      <c r="K281" t="s">
        <v>139</v>
      </c>
    </row>
    <row r="282" spans="1:11" x14ac:dyDescent="0.25">
      <c r="A282" t="s">
        <v>901</v>
      </c>
      <c r="B282" t="s">
        <v>382</v>
      </c>
      <c r="C282" t="s">
        <v>902</v>
      </c>
      <c r="D282" t="s">
        <v>29</v>
      </c>
      <c r="E282" t="s">
        <v>46</v>
      </c>
      <c r="F282">
        <v>8</v>
      </c>
      <c r="G282">
        <v>986.85</v>
      </c>
      <c r="H282">
        <v>7894.8</v>
      </c>
      <c r="I282" t="s">
        <v>16</v>
      </c>
      <c r="J282" t="s">
        <v>51</v>
      </c>
      <c r="K282" t="s">
        <v>384</v>
      </c>
    </row>
    <row r="283" spans="1:11" x14ac:dyDescent="0.25">
      <c r="A283" t="s">
        <v>809</v>
      </c>
      <c r="B283" t="s">
        <v>136</v>
      </c>
      <c r="C283" t="s">
        <v>810</v>
      </c>
      <c r="D283" t="s">
        <v>87</v>
      </c>
      <c r="E283" t="s">
        <v>15</v>
      </c>
      <c r="F283">
        <v>4</v>
      </c>
      <c r="G283">
        <v>53.89</v>
      </c>
      <c r="H283">
        <v>215.56</v>
      </c>
      <c r="I283" t="s">
        <v>35</v>
      </c>
      <c r="K283" t="s">
        <v>139</v>
      </c>
    </row>
    <row r="284" spans="1:11" x14ac:dyDescent="0.25">
      <c r="A284" t="s">
        <v>903</v>
      </c>
      <c r="B284" t="s">
        <v>904</v>
      </c>
      <c r="C284" t="s">
        <v>905</v>
      </c>
      <c r="D284" t="s">
        <v>78</v>
      </c>
      <c r="E284" t="s">
        <v>46</v>
      </c>
      <c r="F284">
        <v>2</v>
      </c>
      <c r="G284">
        <v>87.37</v>
      </c>
      <c r="H284">
        <v>174.74</v>
      </c>
      <c r="I284" t="s">
        <v>102</v>
      </c>
      <c r="J284" t="s">
        <v>55</v>
      </c>
      <c r="K284" t="s">
        <v>906</v>
      </c>
    </row>
    <row r="285" spans="1:11" x14ac:dyDescent="0.25">
      <c r="A285" t="s">
        <v>907</v>
      </c>
      <c r="B285" t="s">
        <v>908</v>
      </c>
      <c r="C285" t="s">
        <v>909</v>
      </c>
      <c r="D285" t="s">
        <v>29</v>
      </c>
      <c r="E285" t="s">
        <v>46</v>
      </c>
      <c r="F285">
        <v>4</v>
      </c>
      <c r="G285">
        <v>918.17</v>
      </c>
      <c r="H285">
        <v>3672.68</v>
      </c>
      <c r="I285" t="s">
        <v>35</v>
      </c>
      <c r="J285" t="s">
        <v>69</v>
      </c>
      <c r="K285" t="s">
        <v>910</v>
      </c>
    </row>
    <row r="286" spans="1:11" x14ac:dyDescent="0.25">
      <c r="A286" t="s">
        <v>911</v>
      </c>
      <c r="B286" t="s">
        <v>912</v>
      </c>
      <c r="C286" t="s">
        <v>913</v>
      </c>
      <c r="D286" t="s">
        <v>22</v>
      </c>
      <c r="E286" t="s">
        <v>23</v>
      </c>
      <c r="F286">
        <v>9</v>
      </c>
      <c r="G286">
        <v>142.52000000000001</v>
      </c>
      <c r="H286">
        <v>1282.68</v>
      </c>
      <c r="I286" t="s">
        <v>102</v>
      </c>
      <c r="J286" t="s">
        <v>69</v>
      </c>
      <c r="K286" t="s">
        <v>914</v>
      </c>
    </row>
    <row r="287" spans="1:11" x14ac:dyDescent="0.25">
      <c r="A287" t="s">
        <v>915</v>
      </c>
      <c r="B287" t="s">
        <v>840</v>
      </c>
      <c r="C287" t="s">
        <v>835</v>
      </c>
      <c r="D287" t="s">
        <v>331</v>
      </c>
      <c r="E287" t="s">
        <v>15</v>
      </c>
      <c r="F287">
        <v>999</v>
      </c>
      <c r="G287">
        <v>24.65</v>
      </c>
      <c r="H287">
        <v>24625.35</v>
      </c>
      <c r="I287" t="s">
        <v>30</v>
      </c>
      <c r="J287" t="s">
        <v>83</v>
      </c>
      <c r="K287" t="s">
        <v>842</v>
      </c>
    </row>
    <row r="288" spans="1:11" x14ac:dyDescent="0.25">
      <c r="A288" t="s">
        <v>916</v>
      </c>
      <c r="B288" t="s">
        <v>501</v>
      </c>
      <c r="C288" t="s">
        <v>917</v>
      </c>
      <c r="D288" t="s">
        <v>101</v>
      </c>
      <c r="E288" t="s">
        <v>15</v>
      </c>
      <c r="F288">
        <v>6</v>
      </c>
      <c r="G288">
        <v>26.39</v>
      </c>
      <c r="H288">
        <v>158.34</v>
      </c>
      <c r="I288" t="s">
        <v>102</v>
      </c>
      <c r="J288" t="s">
        <v>51</v>
      </c>
      <c r="K288" t="s">
        <v>503</v>
      </c>
    </row>
    <row r="289" spans="1:11" x14ac:dyDescent="0.25">
      <c r="A289" t="s">
        <v>918</v>
      </c>
      <c r="B289" t="s">
        <v>433</v>
      </c>
      <c r="C289" t="s">
        <v>919</v>
      </c>
      <c r="D289" t="s">
        <v>87</v>
      </c>
      <c r="E289" t="s">
        <v>15</v>
      </c>
      <c r="F289">
        <v>5</v>
      </c>
      <c r="G289">
        <v>47.73</v>
      </c>
      <c r="H289">
        <v>294.79000000000002</v>
      </c>
      <c r="I289" t="s">
        <v>102</v>
      </c>
      <c r="J289" t="s">
        <v>69</v>
      </c>
      <c r="K289" t="s">
        <v>435</v>
      </c>
    </row>
    <row r="290" spans="1:11" x14ac:dyDescent="0.25">
      <c r="A290" t="s">
        <v>920</v>
      </c>
      <c r="B290" t="s">
        <v>884</v>
      </c>
      <c r="C290" t="s">
        <v>401</v>
      </c>
      <c r="D290" t="s">
        <v>147</v>
      </c>
      <c r="F290">
        <v>2</v>
      </c>
      <c r="G290">
        <v>-299.99</v>
      </c>
      <c r="H290">
        <v>-599.98</v>
      </c>
      <c r="I290" t="s">
        <v>16</v>
      </c>
      <c r="J290" t="s">
        <v>55</v>
      </c>
      <c r="K290" t="s">
        <v>885</v>
      </c>
    </row>
    <row r="291" spans="1:11" x14ac:dyDescent="0.25">
      <c r="A291" t="s">
        <v>921</v>
      </c>
      <c r="B291" t="s">
        <v>922</v>
      </c>
      <c r="C291" t="s">
        <v>913</v>
      </c>
      <c r="D291" t="s">
        <v>923</v>
      </c>
      <c r="E291" t="s">
        <v>46</v>
      </c>
      <c r="F291">
        <v>6</v>
      </c>
      <c r="G291">
        <v>92.99</v>
      </c>
      <c r="H291">
        <v>557.94000000000005</v>
      </c>
      <c r="I291" t="s">
        <v>35</v>
      </c>
      <c r="J291" t="s">
        <v>126</v>
      </c>
      <c r="K291" t="s">
        <v>924</v>
      </c>
    </row>
    <row r="292" spans="1:11" x14ac:dyDescent="0.25">
      <c r="A292" t="s">
        <v>925</v>
      </c>
      <c r="B292" t="s">
        <v>926</v>
      </c>
      <c r="C292" t="s">
        <v>34</v>
      </c>
      <c r="D292" t="s">
        <v>214</v>
      </c>
      <c r="E292" t="s">
        <v>185</v>
      </c>
      <c r="F292">
        <v>4</v>
      </c>
      <c r="G292">
        <v>45.02</v>
      </c>
      <c r="H292">
        <v>180.08</v>
      </c>
      <c r="I292" t="s">
        <v>16</v>
      </c>
      <c r="J292" t="s">
        <v>24</v>
      </c>
      <c r="K292" t="s">
        <v>927</v>
      </c>
    </row>
    <row r="293" spans="1:11" x14ac:dyDescent="0.25">
      <c r="A293" t="s">
        <v>928</v>
      </c>
      <c r="B293" t="s">
        <v>535</v>
      </c>
      <c r="C293" t="s">
        <v>929</v>
      </c>
      <c r="D293" t="s">
        <v>22</v>
      </c>
      <c r="E293" t="s">
        <v>23</v>
      </c>
      <c r="F293">
        <v>2</v>
      </c>
      <c r="I293" t="s">
        <v>16</v>
      </c>
      <c r="J293" t="s">
        <v>51</v>
      </c>
      <c r="K293" t="s">
        <v>537</v>
      </c>
    </row>
    <row r="294" spans="1:11" x14ac:dyDescent="0.25">
      <c r="A294" t="s">
        <v>930</v>
      </c>
      <c r="B294" t="s">
        <v>931</v>
      </c>
      <c r="C294" t="s">
        <v>198</v>
      </c>
      <c r="D294" t="s">
        <v>147</v>
      </c>
      <c r="E294" t="s">
        <v>46</v>
      </c>
      <c r="F294">
        <v>9</v>
      </c>
      <c r="G294">
        <v>275.74</v>
      </c>
      <c r="H294">
        <v>2481.66</v>
      </c>
      <c r="I294" t="s">
        <v>30</v>
      </c>
      <c r="J294" t="s">
        <v>262</v>
      </c>
      <c r="K294" t="s">
        <v>932</v>
      </c>
    </row>
    <row r="295" spans="1:11" x14ac:dyDescent="0.25">
      <c r="A295" t="s">
        <v>933</v>
      </c>
      <c r="B295" t="s">
        <v>297</v>
      </c>
      <c r="C295" t="s">
        <v>934</v>
      </c>
      <c r="D295" t="s">
        <v>331</v>
      </c>
      <c r="E295" t="s">
        <v>15</v>
      </c>
      <c r="F295">
        <v>1</v>
      </c>
      <c r="G295">
        <v>27.54</v>
      </c>
      <c r="H295">
        <v>27.54</v>
      </c>
      <c r="I295" t="s">
        <v>102</v>
      </c>
      <c r="J295" t="s">
        <v>51</v>
      </c>
      <c r="K295" t="s">
        <v>299</v>
      </c>
    </row>
    <row r="296" spans="1:11" x14ac:dyDescent="0.25">
      <c r="A296" t="s">
        <v>935</v>
      </c>
      <c r="B296" t="s">
        <v>621</v>
      </c>
      <c r="C296" t="s">
        <v>936</v>
      </c>
      <c r="D296" t="s">
        <v>87</v>
      </c>
      <c r="E296" t="s">
        <v>15</v>
      </c>
      <c r="F296">
        <v>2</v>
      </c>
      <c r="G296">
        <v>50.21</v>
      </c>
      <c r="H296">
        <v>100.42</v>
      </c>
      <c r="I296" t="s">
        <v>102</v>
      </c>
      <c r="J296" t="s">
        <v>24</v>
      </c>
      <c r="K296" t="s">
        <v>622</v>
      </c>
    </row>
    <row r="297" spans="1:11" x14ac:dyDescent="0.25">
      <c r="A297" t="s">
        <v>937</v>
      </c>
      <c r="B297" t="s">
        <v>269</v>
      </c>
      <c r="C297" t="s">
        <v>938</v>
      </c>
      <c r="D297" t="s">
        <v>147</v>
      </c>
      <c r="E297" t="s">
        <v>46</v>
      </c>
      <c r="F297">
        <v>1</v>
      </c>
      <c r="G297">
        <v>319.27999999999997</v>
      </c>
      <c r="H297">
        <v>361.06</v>
      </c>
      <c r="I297" t="s">
        <v>102</v>
      </c>
      <c r="J297" t="s">
        <v>164</v>
      </c>
      <c r="K297" t="s">
        <v>272</v>
      </c>
    </row>
    <row r="298" spans="1:11" x14ac:dyDescent="0.25">
      <c r="A298" t="s">
        <v>939</v>
      </c>
      <c r="B298" t="s">
        <v>425</v>
      </c>
      <c r="C298" t="s">
        <v>940</v>
      </c>
      <c r="D298" t="s">
        <v>22</v>
      </c>
      <c r="E298" t="s">
        <v>23</v>
      </c>
      <c r="F298">
        <v>7</v>
      </c>
      <c r="G298">
        <v>146.30000000000001</v>
      </c>
      <c r="H298">
        <v>1024.0999999999999</v>
      </c>
      <c r="I298" t="s">
        <v>102</v>
      </c>
      <c r="J298" t="s">
        <v>55</v>
      </c>
      <c r="K298" t="s">
        <v>427</v>
      </c>
    </row>
    <row r="299" spans="1:11" x14ac:dyDescent="0.25">
      <c r="A299" t="s">
        <v>941</v>
      </c>
      <c r="B299" t="s">
        <v>686</v>
      </c>
      <c r="C299" t="s">
        <v>942</v>
      </c>
      <c r="D299" t="s">
        <v>29</v>
      </c>
      <c r="E299" t="s">
        <v>46</v>
      </c>
      <c r="F299">
        <v>4</v>
      </c>
      <c r="G299">
        <v>962.98</v>
      </c>
      <c r="H299">
        <v>3851.92</v>
      </c>
      <c r="I299" t="s">
        <v>102</v>
      </c>
      <c r="J299" t="s">
        <v>392</v>
      </c>
      <c r="K299" t="s">
        <v>688</v>
      </c>
    </row>
    <row r="300" spans="1:11" x14ac:dyDescent="0.25">
      <c r="A300" t="s">
        <v>943</v>
      </c>
      <c r="B300" t="s">
        <v>944</v>
      </c>
      <c r="C300" t="s">
        <v>945</v>
      </c>
      <c r="D300" t="s">
        <v>946</v>
      </c>
      <c r="E300" t="s">
        <v>46</v>
      </c>
      <c r="F300">
        <v>999</v>
      </c>
      <c r="G300">
        <v>82.45</v>
      </c>
      <c r="H300">
        <v>82367.55</v>
      </c>
      <c r="I300" t="s">
        <v>35</v>
      </c>
      <c r="J300" t="s">
        <v>17</v>
      </c>
      <c r="K300" t="s">
        <v>947</v>
      </c>
    </row>
    <row r="301" spans="1:11" x14ac:dyDescent="0.25">
      <c r="A301" t="s">
        <v>336</v>
      </c>
      <c r="B301" t="s">
        <v>260</v>
      </c>
      <c r="C301" t="s">
        <v>337</v>
      </c>
      <c r="D301" t="s">
        <v>78</v>
      </c>
      <c r="E301" t="s">
        <v>46</v>
      </c>
      <c r="F301">
        <v>5</v>
      </c>
      <c r="G301">
        <v>0</v>
      </c>
      <c r="H301">
        <v>0</v>
      </c>
      <c r="I301" t="s">
        <v>16</v>
      </c>
      <c r="J301" t="s">
        <v>69</v>
      </c>
      <c r="K301" t="s">
        <v>263</v>
      </c>
    </row>
    <row r="302" spans="1:11" x14ac:dyDescent="0.25">
      <c r="A302" t="s">
        <v>948</v>
      </c>
      <c r="B302" t="s">
        <v>188</v>
      </c>
      <c r="C302" t="s">
        <v>949</v>
      </c>
      <c r="D302" t="s">
        <v>507</v>
      </c>
      <c r="E302" t="s">
        <v>15</v>
      </c>
      <c r="F302">
        <v>8</v>
      </c>
      <c r="G302">
        <v>73.59</v>
      </c>
      <c r="H302">
        <v>588.72</v>
      </c>
      <c r="I302" t="s">
        <v>16</v>
      </c>
      <c r="J302" t="s">
        <v>55</v>
      </c>
      <c r="K302" t="s">
        <v>191</v>
      </c>
    </row>
    <row r="303" spans="1:11" x14ac:dyDescent="0.25">
      <c r="A303" t="s">
        <v>950</v>
      </c>
      <c r="B303" t="s">
        <v>486</v>
      </c>
      <c r="C303" t="s">
        <v>936</v>
      </c>
      <c r="D303" t="s">
        <v>138</v>
      </c>
      <c r="E303" t="s">
        <v>46</v>
      </c>
      <c r="F303">
        <v>6</v>
      </c>
      <c r="G303">
        <v>302.77999999999997</v>
      </c>
      <c r="H303">
        <v>1816.68</v>
      </c>
      <c r="I303" t="s">
        <v>16</v>
      </c>
      <c r="J303" t="s">
        <v>126</v>
      </c>
      <c r="K303" t="s">
        <v>488</v>
      </c>
    </row>
    <row r="304" spans="1:11" x14ac:dyDescent="0.25">
      <c r="A304" t="s">
        <v>951</v>
      </c>
      <c r="B304" t="s">
        <v>315</v>
      </c>
      <c r="C304" t="s">
        <v>952</v>
      </c>
      <c r="D304" t="s">
        <v>147</v>
      </c>
      <c r="E304" t="s">
        <v>64</v>
      </c>
      <c r="F304">
        <v>2</v>
      </c>
      <c r="G304">
        <v>275.48</v>
      </c>
      <c r="H304">
        <v>550.96</v>
      </c>
      <c r="I304" t="s">
        <v>35</v>
      </c>
      <c r="J304" t="s">
        <v>164</v>
      </c>
      <c r="K304" t="s">
        <v>317</v>
      </c>
    </row>
    <row r="305" spans="1:11" x14ac:dyDescent="0.25">
      <c r="A305" t="s">
        <v>953</v>
      </c>
      <c r="B305" t="s">
        <v>256</v>
      </c>
      <c r="C305" t="s">
        <v>954</v>
      </c>
      <c r="D305" t="s">
        <v>214</v>
      </c>
      <c r="E305" t="s">
        <v>185</v>
      </c>
      <c r="F305">
        <v>6</v>
      </c>
      <c r="G305">
        <v>52.97</v>
      </c>
      <c r="H305">
        <v>317.82</v>
      </c>
      <c r="I305" t="s">
        <v>35</v>
      </c>
      <c r="J305" t="s">
        <v>24</v>
      </c>
      <c r="K305" t="s">
        <v>258</v>
      </c>
    </row>
    <row r="306" spans="1:11" x14ac:dyDescent="0.25">
      <c r="A306" t="s">
        <v>955</v>
      </c>
      <c r="B306" t="s">
        <v>694</v>
      </c>
      <c r="C306" t="s">
        <v>453</v>
      </c>
      <c r="D306" t="s">
        <v>956</v>
      </c>
      <c r="E306" t="s">
        <v>46</v>
      </c>
      <c r="F306">
        <v>9</v>
      </c>
      <c r="G306">
        <v>951.09</v>
      </c>
      <c r="H306">
        <v>8559.81</v>
      </c>
      <c r="I306" t="s">
        <v>102</v>
      </c>
      <c r="J306" t="s">
        <v>51</v>
      </c>
      <c r="K306" t="s">
        <v>696</v>
      </c>
    </row>
    <row r="307" spans="1:11" x14ac:dyDescent="0.25">
      <c r="A307" t="s">
        <v>957</v>
      </c>
      <c r="B307" t="s">
        <v>596</v>
      </c>
      <c r="C307" t="s">
        <v>958</v>
      </c>
      <c r="D307" t="s">
        <v>147</v>
      </c>
      <c r="E307" t="s">
        <v>46</v>
      </c>
      <c r="F307">
        <v>3</v>
      </c>
      <c r="G307">
        <v>291.48</v>
      </c>
      <c r="H307">
        <v>874.44</v>
      </c>
      <c r="I307" t="s">
        <v>30</v>
      </c>
      <c r="J307" t="s">
        <v>69</v>
      </c>
      <c r="K307" t="s">
        <v>597</v>
      </c>
    </row>
    <row r="308" spans="1:11" x14ac:dyDescent="0.25">
      <c r="A308" t="s">
        <v>959</v>
      </c>
      <c r="B308" t="s">
        <v>690</v>
      </c>
      <c r="C308" t="s">
        <v>960</v>
      </c>
      <c r="D308" t="s">
        <v>214</v>
      </c>
      <c r="E308" t="s">
        <v>185</v>
      </c>
      <c r="F308">
        <v>1</v>
      </c>
      <c r="G308">
        <v>51.13</v>
      </c>
      <c r="H308">
        <v>51.13</v>
      </c>
      <c r="I308" t="s">
        <v>30</v>
      </c>
      <c r="J308" t="s">
        <v>69</v>
      </c>
      <c r="K308" t="s">
        <v>692</v>
      </c>
    </row>
    <row r="309" spans="1:11" x14ac:dyDescent="0.25">
      <c r="A309" t="s">
        <v>961</v>
      </c>
      <c r="B309" t="s">
        <v>414</v>
      </c>
      <c r="C309" t="s">
        <v>962</v>
      </c>
      <c r="D309" t="s">
        <v>271</v>
      </c>
      <c r="E309" t="s">
        <v>46</v>
      </c>
      <c r="F309">
        <v>8</v>
      </c>
      <c r="G309">
        <v>322.27</v>
      </c>
      <c r="H309">
        <v>2578.16</v>
      </c>
      <c r="I309" t="s">
        <v>102</v>
      </c>
      <c r="J309" t="s">
        <v>55</v>
      </c>
      <c r="K309" t="s">
        <v>416</v>
      </c>
    </row>
    <row r="310" spans="1:11" x14ac:dyDescent="0.25">
      <c r="A310" t="s">
        <v>963</v>
      </c>
      <c r="B310" t="s">
        <v>529</v>
      </c>
      <c r="C310" t="s">
        <v>964</v>
      </c>
      <c r="D310" t="s">
        <v>923</v>
      </c>
      <c r="E310" t="s">
        <v>46</v>
      </c>
      <c r="F310">
        <v>6</v>
      </c>
      <c r="G310">
        <v>90.76</v>
      </c>
      <c r="H310">
        <v>476.94</v>
      </c>
      <c r="I310" t="s">
        <v>16</v>
      </c>
      <c r="J310" t="s">
        <v>262</v>
      </c>
      <c r="K310" t="s">
        <v>530</v>
      </c>
    </row>
    <row r="311" spans="1:11" x14ac:dyDescent="0.25">
      <c r="A311" t="s">
        <v>965</v>
      </c>
      <c r="B311" t="s">
        <v>323</v>
      </c>
      <c r="C311" t="s">
        <v>966</v>
      </c>
      <c r="D311" t="s">
        <v>22</v>
      </c>
      <c r="E311" t="s">
        <v>23</v>
      </c>
      <c r="F311">
        <v>4</v>
      </c>
      <c r="G311">
        <v>155.01</v>
      </c>
      <c r="H311">
        <v>620.04</v>
      </c>
      <c r="I311" t="s">
        <v>16</v>
      </c>
      <c r="J311" t="s">
        <v>55</v>
      </c>
      <c r="K311" t="s">
        <v>325</v>
      </c>
    </row>
    <row r="312" spans="1:11" x14ac:dyDescent="0.25">
      <c r="A312" t="s">
        <v>967</v>
      </c>
      <c r="B312" t="s">
        <v>968</v>
      </c>
      <c r="C312" t="s">
        <v>969</v>
      </c>
      <c r="D312" t="s">
        <v>214</v>
      </c>
      <c r="E312" t="s">
        <v>185</v>
      </c>
      <c r="F312">
        <v>4</v>
      </c>
      <c r="G312">
        <v>48.57</v>
      </c>
      <c r="H312">
        <v>194.28</v>
      </c>
      <c r="I312" t="s">
        <v>30</v>
      </c>
      <c r="J312" t="s">
        <v>51</v>
      </c>
      <c r="K312" t="s">
        <v>970</v>
      </c>
    </row>
    <row r="313" spans="1:11" x14ac:dyDescent="0.25">
      <c r="A313" t="s">
        <v>971</v>
      </c>
      <c r="B313" t="s">
        <v>904</v>
      </c>
      <c r="C313" t="s">
        <v>972</v>
      </c>
      <c r="D313" t="s">
        <v>78</v>
      </c>
      <c r="F313">
        <v>8</v>
      </c>
      <c r="G313">
        <v>83.57</v>
      </c>
      <c r="H313">
        <v>668.56</v>
      </c>
      <c r="I313" t="s">
        <v>30</v>
      </c>
      <c r="J313" t="s">
        <v>24</v>
      </c>
      <c r="K313" t="s">
        <v>906</v>
      </c>
    </row>
    <row r="314" spans="1:11" x14ac:dyDescent="0.25">
      <c r="A314" t="s">
        <v>973</v>
      </c>
      <c r="B314" t="s">
        <v>113</v>
      </c>
      <c r="C314" t="s">
        <v>974</v>
      </c>
      <c r="D314" t="s">
        <v>214</v>
      </c>
      <c r="E314" t="s">
        <v>185</v>
      </c>
      <c r="F314">
        <v>8</v>
      </c>
      <c r="G314">
        <v>53.25</v>
      </c>
      <c r="H314">
        <v>426</v>
      </c>
      <c r="I314" t="s">
        <v>102</v>
      </c>
      <c r="J314" t="s">
        <v>17</v>
      </c>
      <c r="K314" t="s">
        <v>114</v>
      </c>
    </row>
    <row r="315" spans="1:11" x14ac:dyDescent="0.25">
      <c r="A315" t="s">
        <v>975</v>
      </c>
      <c r="B315" t="s">
        <v>411</v>
      </c>
      <c r="C315" t="s">
        <v>976</v>
      </c>
      <c r="D315" t="s">
        <v>41</v>
      </c>
      <c r="E315" t="s">
        <v>15</v>
      </c>
      <c r="F315">
        <v>8</v>
      </c>
      <c r="G315">
        <v>78.849999999999994</v>
      </c>
      <c r="H315">
        <v>329.33</v>
      </c>
      <c r="I315" t="s">
        <v>102</v>
      </c>
      <c r="J315" t="s">
        <v>55</v>
      </c>
      <c r="K315" t="s">
        <v>412</v>
      </c>
    </row>
    <row r="316" spans="1:11" x14ac:dyDescent="0.25">
      <c r="A316" t="s">
        <v>977</v>
      </c>
      <c r="B316" t="s">
        <v>72</v>
      </c>
      <c r="C316" t="s">
        <v>978</v>
      </c>
      <c r="D316" t="s">
        <v>214</v>
      </c>
      <c r="E316" t="s">
        <v>361</v>
      </c>
      <c r="F316">
        <v>7</v>
      </c>
      <c r="G316">
        <v>47.41</v>
      </c>
      <c r="H316">
        <v>331.87</v>
      </c>
      <c r="I316" t="s">
        <v>102</v>
      </c>
      <c r="J316" t="s">
        <v>195</v>
      </c>
      <c r="K316" t="s">
        <v>979</v>
      </c>
    </row>
    <row r="317" spans="1:11" x14ac:dyDescent="0.25">
      <c r="A317" t="s">
        <v>980</v>
      </c>
      <c r="B317" t="s">
        <v>774</v>
      </c>
      <c r="C317" t="s">
        <v>981</v>
      </c>
      <c r="D317" t="s">
        <v>29</v>
      </c>
      <c r="E317" t="s">
        <v>46</v>
      </c>
      <c r="F317">
        <v>5</v>
      </c>
      <c r="G317">
        <v>966.05</v>
      </c>
      <c r="H317">
        <v>4830.25</v>
      </c>
      <c r="I317" t="s">
        <v>102</v>
      </c>
      <c r="J317" t="s">
        <v>69</v>
      </c>
      <c r="K317" t="s">
        <v>776</v>
      </c>
    </row>
    <row r="318" spans="1:11" x14ac:dyDescent="0.25">
      <c r="A318" t="s">
        <v>982</v>
      </c>
      <c r="B318" t="s">
        <v>983</v>
      </c>
      <c r="C318" t="s">
        <v>984</v>
      </c>
      <c r="D318" t="s">
        <v>59</v>
      </c>
      <c r="E318" t="s">
        <v>23</v>
      </c>
      <c r="F318">
        <v>2</v>
      </c>
      <c r="G318">
        <v>162.54</v>
      </c>
      <c r="H318">
        <v>327.02</v>
      </c>
      <c r="I318" t="s">
        <v>102</v>
      </c>
      <c r="J318" t="s">
        <v>69</v>
      </c>
      <c r="K318" t="s">
        <v>985</v>
      </c>
    </row>
    <row r="319" spans="1:11" x14ac:dyDescent="0.25">
      <c r="A319" t="s">
        <v>986</v>
      </c>
      <c r="B319" t="s">
        <v>782</v>
      </c>
      <c r="C319" t="s">
        <v>401</v>
      </c>
      <c r="D319" t="s">
        <v>87</v>
      </c>
      <c r="E319" t="s">
        <v>15</v>
      </c>
      <c r="F319">
        <v>7</v>
      </c>
      <c r="G319">
        <v>50.45</v>
      </c>
      <c r="H319">
        <v>353.15</v>
      </c>
      <c r="I319" t="s">
        <v>102</v>
      </c>
      <c r="J319" t="s">
        <v>51</v>
      </c>
      <c r="K319" t="s">
        <v>784</v>
      </c>
    </row>
    <row r="320" spans="1:11" x14ac:dyDescent="0.25">
      <c r="A320" t="s">
        <v>987</v>
      </c>
      <c r="B320" t="s">
        <v>988</v>
      </c>
      <c r="C320" t="s">
        <v>829</v>
      </c>
      <c r="D320" t="s">
        <v>78</v>
      </c>
      <c r="E320" t="s">
        <v>46</v>
      </c>
      <c r="F320">
        <v>5</v>
      </c>
      <c r="G320">
        <v>95.8</v>
      </c>
      <c r="H320">
        <v>479</v>
      </c>
      <c r="I320" t="s">
        <v>35</v>
      </c>
      <c r="J320" t="s">
        <v>51</v>
      </c>
      <c r="K320" t="s">
        <v>989</v>
      </c>
    </row>
    <row r="321" spans="1:11" x14ac:dyDescent="0.25">
      <c r="A321" t="s">
        <v>990</v>
      </c>
      <c r="B321" t="s">
        <v>991</v>
      </c>
      <c r="C321" t="s">
        <v>992</v>
      </c>
      <c r="D321" t="s">
        <v>101</v>
      </c>
      <c r="E321" t="s">
        <v>15</v>
      </c>
      <c r="F321">
        <v>2</v>
      </c>
      <c r="G321">
        <v>24.88</v>
      </c>
      <c r="H321">
        <v>49.76</v>
      </c>
      <c r="I321" t="s">
        <v>35</v>
      </c>
      <c r="J321" t="s">
        <v>24</v>
      </c>
      <c r="K321" t="s">
        <v>993</v>
      </c>
    </row>
    <row r="322" spans="1:11" x14ac:dyDescent="0.25">
      <c r="A322" t="s">
        <v>994</v>
      </c>
      <c r="B322" t="s">
        <v>95</v>
      </c>
      <c r="C322" t="s">
        <v>725</v>
      </c>
      <c r="D322" t="s">
        <v>923</v>
      </c>
      <c r="E322" t="s">
        <v>46</v>
      </c>
      <c r="F322">
        <v>1</v>
      </c>
      <c r="G322">
        <v>92.67</v>
      </c>
      <c r="H322">
        <v>92.67</v>
      </c>
      <c r="I322" t="s">
        <v>102</v>
      </c>
      <c r="J322" t="s">
        <v>17</v>
      </c>
      <c r="K322" t="s">
        <v>97</v>
      </c>
    </row>
    <row r="323" spans="1:11" x14ac:dyDescent="0.25">
      <c r="A323" t="s">
        <v>995</v>
      </c>
      <c r="B323" t="s">
        <v>912</v>
      </c>
      <c r="C323" t="s">
        <v>996</v>
      </c>
      <c r="D323" t="s">
        <v>214</v>
      </c>
      <c r="E323" t="s">
        <v>185</v>
      </c>
      <c r="F323">
        <v>8</v>
      </c>
      <c r="G323">
        <v>45.3</v>
      </c>
      <c r="H323">
        <v>502.5</v>
      </c>
      <c r="I323" t="s">
        <v>102</v>
      </c>
      <c r="J323" t="s">
        <v>69</v>
      </c>
      <c r="K323" t="s">
        <v>914</v>
      </c>
    </row>
    <row r="324" spans="1:11" x14ac:dyDescent="0.25">
      <c r="A324" t="s">
        <v>997</v>
      </c>
      <c r="B324" t="s">
        <v>765</v>
      </c>
      <c r="C324" t="s">
        <v>50</v>
      </c>
      <c r="D324" t="s">
        <v>78</v>
      </c>
      <c r="E324" t="s">
        <v>46</v>
      </c>
      <c r="F324">
        <v>9</v>
      </c>
      <c r="G324">
        <v>89.44</v>
      </c>
      <c r="H324">
        <v>571.54999999999995</v>
      </c>
      <c r="I324" t="s">
        <v>35</v>
      </c>
      <c r="J324" t="s">
        <v>24</v>
      </c>
      <c r="K324" t="s">
        <v>766</v>
      </c>
    </row>
    <row r="325" spans="1:11" x14ac:dyDescent="0.25">
      <c r="A325" t="s">
        <v>998</v>
      </c>
      <c r="B325" t="s">
        <v>382</v>
      </c>
      <c r="C325" t="s">
        <v>999</v>
      </c>
      <c r="D325" t="s">
        <v>29</v>
      </c>
      <c r="E325" t="s">
        <v>46</v>
      </c>
      <c r="F325">
        <v>1</v>
      </c>
      <c r="G325">
        <v>857.74</v>
      </c>
      <c r="H325">
        <v>857.74</v>
      </c>
      <c r="I325" t="s">
        <v>16</v>
      </c>
      <c r="J325" t="s">
        <v>69</v>
      </c>
    </row>
    <row r="326" spans="1:11" x14ac:dyDescent="0.25">
      <c r="A326" t="s">
        <v>1000</v>
      </c>
      <c r="B326" t="s">
        <v>386</v>
      </c>
      <c r="C326" t="s">
        <v>475</v>
      </c>
      <c r="D326" t="s">
        <v>388</v>
      </c>
      <c r="E326" t="s">
        <v>185</v>
      </c>
      <c r="F326">
        <v>3</v>
      </c>
      <c r="G326">
        <v>45.44</v>
      </c>
      <c r="H326">
        <v>136.32</v>
      </c>
      <c r="I326" t="s">
        <v>16</v>
      </c>
      <c r="J326" t="s">
        <v>24</v>
      </c>
      <c r="K326" t="s">
        <v>389</v>
      </c>
    </row>
    <row r="327" spans="1:11" x14ac:dyDescent="0.25">
      <c r="A327" t="s">
        <v>1001</v>
      </c>
      <c r="B327" t="s">
        <v>647</v>
      </c>
      <c r="C327" t="s">
        <v>1002</v>
      </c>
      <c r="D327" t="s">
        <v>22</v>
      </c>
      <c r="E327" t="s">
        <v>23</v>
      </c>
      <c r="F327">
        <v>3</v>
      </c>
      <c r="G327">
        <v>149.94999999999999</v>
      </c>
      <c r="H327">
        <v>449.85</v>
      </c>
      <c r="I327" t="s">
        <v>30</v>
      </c>
      <c r="J327" t="s">
        <v>17</v>
      </c>
      <c r="K327" t="s">
        <v>649</v>
      </c>
    </row>
    <row r="328" spans="1:11" x14ac:dyDescent="0.25">
      <c r="A328" t="s">
        <v>1003</v>
      </c>
      <c r="B328" t="s">
        <v>755</v>
      </c>
      <c r="C328" t="s">
        <v>1004</v>
      </c>
      <c r="D328" t="s">
        <v>147</v>
      </c>
      <c r="E328" t="s">
        <v>46</v>
      </c>
      <c r="F328">
        <v>9</v>
      </c>
      <c r="G328">
        <v>-299.99</v>
      </c>
      <c r="H328">
        <v>-3649.98</v>
      </c>
      <c r="I328" t="s">
        <v>35</v>
      </c>
      <c r="J328" t="s">
        <v>51</v>
      </c>
      <c r="K328" t="s">
        <v>757</v>
      </c>
    </row>
    <row r="329" spans="1:11" x14ac:dyDescent="0.25">
      <c r="A329" t="s">
        <v>1005</v>
      </c>
      <c r="B329" t="s">
        <v>158</v>
      </c>
      <c r="C329" t="s">
        <v>1006</v>
      </c>
      <c r="D329" t="s">
        <v>78</v>
      </c>
      <c r="E329" t="s">
        <v>46</v>
      </c>
      <c r="F329">
        <v>6</v>
      </c>
      <c r="G329">
        <v>95.15</v>
      </c>
      <c r="H329">
        <v>491.07</v>
      </c>
      <c r="I329" t="s">
        <v>30</v>
      </c>
      <c r="J329" t="s">
        <v>287</v>
      </c>
      <c r="K329" t="s">
        <v>160</v>
      </c>
    </row>
    <row r="330" spans="1:11" x14ac:dyDescent="0.25">
      <c r="A330" t="s">
        <v>1007</v>
      </c>
      <c r="B330" t="s">
        <v>988</v>
      </c>
      <c r="C330" t="s">
        <v>864</v>
      </c>
      <c r="D330" t="s">
        <v>78</v>
      </c>
      <c r="E330" t="s">
        <v>46</v>
      </c>
      <c r="F330">
        <v>999</v>
      </c>
      <c r="G330">
        <v>81.09</v>
      </c>
      <c r="H330">
        <v>81008.91</v>
      </c>
      <c r="I330" t="s">
        <v>35</v>
      </c>
      <c r="J330" t="s">
        <v>24</v>
      </c>
      <c r="K330" t="s">
        <v>989</v>
      </c>
    </row>
    <row r="331" spans="1:11" x14ac:dyDescent="0.25">
      <c r="A331" t="s">
        <v>685</v>
      </c>
      <c r="B331" t="s">
        <v>686</v>
      </c>
      <c r="C331" t="s">
        <v>687</v>
      </c>
      <c r="D331" t="s">
        <v>78</v>
      </c>
      <c r="E331" t="s">
        <v>46</v>
      </c>
      <c r="F331">
        <v>1</v>
      </c>
      <c r="G331">
        <v>91.55</v>
      </c>
      <c r="H331">
        <v>91.55</v>
      </c>
      <c r="I331" t="s">
        <v>30</v>
      </c>
      <c r="J331" t="s">
        <v>17</v>
      </c>
      <c r="K331" t="s">
        <v>688</v>
      </c>
    </row>
    <row r="332" spans="1:11" x14ac:dyDescent="0.25">
      <c r="A332" t="s">
        <v>1008</v>
      </c>
      <c r="B332" t="s">
        <v>755</v>
      </c>
      <c r="C332" t="s">
        <v>1009</v>
      </c>
      <c r="D332" t="s">
        <v>87</v>
      </c>
      <c r="E332" t="s">
        <v>15</v>
      </c>
      <c r="F332">
        <v>8</v>
      </c>
      <c r="G332">
        <v>53.61</v>
      </c>
      <c r="H332">
        <v>428.88</v>
      </c>
      <c r="I332" t="s">
        <v>16</v>
      </c>
      <c r="J332" t="s">
        <v>17</v>
      </c>
      <c r="K332" t="s">
        <v>757</v>
      </c>
    </row>
    <row r="333" spans="1:11" x14ac:dyDescent="0.25">
      <c r="A333" t="s">
        <v>1010</v>
      </c>
      <c r="B333" t="s">
        <v>319</v>
      </c>
      <c r="C333" t="s">
        <v>1011</v>
      </c>
      <c r="D333" t="s">
        <v>214</v>
      </c>
      <c r="E333" t="s">
        <v>185</v>
      </c>
      <c r="F333">
        <v>2</v>
      </c>
      <c r="I333" t="s">
        <v>16</v>
      </c>
      <c r="J333" t="s">
        <v>24</v>
      </c>
      <c r="K333" t="s">
        <v>321</v>
      </c>
    </row>
    <row r="334" spans="1:11" x14ac:dyDescent="0.25">
      <c r="A334" t="s">
        <v>1012</v>
      </c>
      <c r="B334" t="s">
        <v>1013</v>
      </c>
      <c r="C334" t="s">
        <v>1014</v>
      </c>
      <c r="D334" t="s">
        <v>78</v>
      </c>
      <c r="E334" t="s">
        <v>46</v>
      </c>
      <c r="F334">
        <v>5</v>
      </c>
      <c r="G334">
        <v>93.08</v>
      </c>
      <c r="H334">
        <v>465.4</v>
      </c>
      <c r="I334" t="s">
        <v>102</v>
      </c>
      <c r="J334" t="s">
        <v>24</v>
      </c>
      <c r="K334" t="s">
        <v>1015</v>
      </c>
    </row>
    <row r="335" spans="1:11" x14ac:dyDescent="0.25">
      <c r="A335" t="s">
        <v>1016</v>
      </c>
      <c r="B335" t="s">
        <v>72</v>
      </c>
      <c r="C335" t="s">
        <v>1017</v>
      </c>
      <c r="D335" t="s">
        <v>22</v>
      </c>
      <c r="E335" t="s">
        <v>23</v>
      </c>
      <c r="F335">
        <v>2</v>
      </c>
      <c r="G335">
        <v>151.24</v>
      </c>
      <c r="H335">
        <v>382.99</v>
      </c>
      <c r="I335" t="s">
        <v>30</v>
      </c>
      <c r="J335" t="s">
        <v>69</v>
      </c>
      <c r="K335" t="s">
        <v>74</v>
      </c>
    </row>
    <row r="336" spans="1:11" x14ac:dyDescent="0.25">
      <c r="A336" t="s">
        <v>1018</v>
      </c>
      <c r="B336" t="s">
        <v>1019</v>
      </c>
      <c r="C336" t="s">
        <v>1020</v>
      </c>
      <c r="D336" t="s">
        <v>22</v>
      </c>
      <c r="E336" t="s">
        <v>23</v>
      </c>
      <c r="F336">
        <v>9</v>
      </c>
      <c r="G336">
        <v>151.57</v>
      </c>
      <c r="H336">
        <v>1150.8699999999999</v>
      </c>
      <c r="I336" t="s">
        <v>30</v>
      </c>
      <c r="J336" t="s">
        <v>55</v>
      </c>
      <c r="K336" t="s">
        <v>1021</v>
      </c>
    </row>
    <row r="337" spans="1:11" x14ac:dyDescent="0.25">
      <c r="A337" t="s">
        <v>1022</v>
      </c>
      <c r="B337" t="s">
        <v>33</v>
      </c>
      <c r="C337" t="s">
        <v>1023</v>
      </c>
      <c r="D337" t="s">
        <v>41</v>
      </c>
      <c r="E337" t="s">
        <v>15</v>
      </c>
      <c r="F337">
        <v>5</v>
      </c>
      <c r="G337">
        <v>77.010000000000005</v>
      </c>
      <c r="H337">
        <v>385.05</v>
      </c>
      <c r="I337" t="s">
        <v>30</v>
      </c>
      <c r="J337" t="s">
        <v>69</v>
      </c>
      <c r="K337" t="s">
        <v>37</v>
      </c>
    </row>
    <row r="338" spans="1:11" x14ac:dyDescent="0.25">
      <c r="A338" t="s">
        <v>1024</v>
      </c>
      <c r="B338" t="s">
        <v>171</v>
      </c>
      <c r="C338" t="s">
        <v>1025</v>
      </c>
      <c r="D338" t="s">
        <v>41</v>
      </c>
      <c r="E338" t="s">
        <v>15</v>
      </c>
      <c r="F338">
        <v>2</v>
      </c>
      <c r="G338">
        <v>80.319999999999993</v>
      </c>
      <c r="H338">
        <v>160.63999999999999</v>
      </c>
      <c r="I338" t="s">
        <v>541</v>
      </c>
      <c r="J338" t="s">
        <v>17</v>
      </c>
      <c r="K338" t="s">
        <v>1026</v>
      </c>
    </row>
    <row r="339" spans="1:11" x14ac:dyDescent="0.25">
      <c r="A339" t="s">
        <v>1027</v>
      </c>
      <c r="B339" t="s">
        <v>840</v>
      </c>
      <c r="C339" t="s">
        <v>286</v>
      </c>
      <c r="D339" t="s">
        <v>29</v>
      </c>
      <c r="E339" t="s">
        <v>46</v>
      </c>
      <c r="F339">
        <v>6</v>
      </c>
      <c r="G339">
        <v>931.52</v>
      </c>
      <c r="H339">
        <v>5589.12</v>
      </c>
      <c r="I339" t="s">
        <v>16</v>
      </c>
      <c r="J339" t="s">
        <v>17</v>
      </c>
      <c r="K339" t="s">
        <v>842</v>
      </c>
    </row>
    <row r="340" spans="1:11" x14ac:dyDescent="0.25">
      <c r="A340" t="s">
        <v>1028</v>
      </c>
      <c r="B340" t="s">
        <v>1029</v>
      </c>
      <c r="C340" t="s">
        <v>1030</v>
      </c>
      <c r="D340" t="s">
        <v>41</v>
      </c>
      <c r="E340" t="s">
        <v>15</v>
      </c>
      <c r="F340">
        <v>1</v>
      </c>
      <c r="G340">
        <v>73.39</v>
      </c>
      <c r="H340">
        <v>50.88</v>
      </c>
      <c r="I340" t="s">
        <v>16</v>
      </c>
      <c r="J340" t="s">
        <v>69</v>
      </c>
      <c r="K340" t="s">
        <v>1031</v>
      </c>
    </row>
    <row r="341" spans="1:11" x14ac:dyDescent="0.25">
      <c r="A341" t="s">
        <v>1032</v>
      </c>
      <c r="C341" t="s">
        <v>1033</v>
      </c>
      <c r="D341" t="s">
        <v>101</v>
      </c>
      <c r="E341" t="s">
        <v>15</v>
      </c>
      <c r="F341">
        <v>9</v>
      </c>
      <c r="G341">
        <v>-25.99</v>
      </c>
      <c r="H341">
        <v>-233.91</v>
      </c>
      <c r="I341" t="s">
        <v>30</v>
      </c>
      <c r="J341" t="s">
        <v>195</v>
      </c>
    </row>
    <row r="342" spans="1:11" x14ac:dyDescent="0.25">
      <c r="A342" t="s">
        <v>1034</v>
      </c>
      <c r="B342" t="s">
        <v>99</v>
      </c>
      <c r="C342" t="s">
        <v>1035</v>
      </c>
      <c r="D342" t="s">
        <v>78</v>
      </c>
      <c r="E342" t="s">
        <v>46</v>
      </c>
      <c r="F342">
        <v>4</v>
      </c>
      <c r="G342">
        <v>0</v>
      </c>
      <c r="H342">
        <v>0</v>
      </c>
      <c r="I342" t="s">
        <v>35</v>
      </c>
      <c r="J342" t="s">
        <v>51</v>
      </c>
      <c r="K342" t="s">
        <v>103</v>
      </c>
    </row>
    <row r="343" spans="1:11" x14ac:dyDescent="0.25">
      <c r="A343" t="s">
        <v>1036</v>
      </c>
      <c r="C343" t="s">
        <v>813</v>
      </c>
      <c r="D343" t="s">
        <v>923</v>
      </c>
      <c r="E343" t="s">
        <v>64</v>
      </c>
      <c r="F343">
        <v>8</v>
      </c>
      <c r="G343">
        <v>89.32</v>
      </c>
      <c r="H343">
        <v>714.56</v>
      </c>
      <c r="I343" t="s">
        <v>16</v>
      </c>
      <c r="J343" t="s">
        <v>17</v>
      </c>
    </row>
    <row r="344" spans="1:11" x14ac:dyDescent="0.25">
      <c r="A344" t="s">
        <v>1037</v>
      </c>
      <c r="B344" t="s">
        <v>607</v>
      </c>
      <c r="C344" t="s">
        <v>1038</v>
      </c>
      <c r="D344" t="s">
        <v>101</v>
      </c>
      <c r="E344" t="s">
        <v>15</v>
      </c>
      <c r="F344">
        <v>1</v>
      </c>
      <c r="G344">
        <v>26.41</v>
      </c>
      <c r="H344">
        <v>26.41</v>
      </c>
      <c r="I344" t="s">
        <v>30</v>
      </c>
      <c r="J344" t="s">
        <v>55</v>
      </c>
      <c r="K344" t="s">
        <v>851</v>
      </c>
    </row>
    <row r="345" spans="1:11" x14ac:dyDescent="0.25">
      <c r="A345" t="s">
        <v>1039</v>
      </c>
      <c r="B345" t="s">
        <v>290</v>
      </c>
      <c r="C345" t="s">
        <v>658</v>
      </c>
      <c r="D345" t="s">
        <v>29</v>
      </c>
      <c r="E345" t="s">
        <v>46</v>
      </c>
      <c r="F345">
        <v>8</v>
      </c>
      <c r="G345">
        <v>911.4</v>
      </c>
      <c r="H345">
        <v>7291.2</v>
      </c>
      <c r="I345" t="s">
        <v>35</v>
      </c>
      <c r="J345" t="s">
        <v>262</v>
      </c>
      <c r="K345" t="s">
        <v>292</v>
      </c>
    </row>
    <row r="346" spans="1:11" x14ac:dyDescent="0.25">
      <c r="A346" t="s">
        <v>1040</v>
      </c>
      <c r="B346" t="s">
        <v>95</v>
      </c>
      <c r="C346" t="s">
        <v>408</v>
      </c>
      <c r="D346" t="s">
        <v>147</v>
      </c>
      <c r="E346" t="s">
        <v>64</v>
      </c>
      <c r="F346">
        <v>2</v>
      </c>
      <c r="G346">
        <v>272.23</v>
      </c>
      <c r="H346">
        <v>674.65</v>
      </c>
      <c r="I346" t="s">
        <v>102</v>
      </c>
      <c r="J346" t="s">
        <v>51</v>
      </c>
      <c r="K346" t="s">
        <v>97</v>
      </c>
    </row>
    <row r="347" spans="1:11" x14ac:dyDescent="0.25">
      <c r="A347" t="s">
        <v>1041</v>
      </c>
      <c r="B347" t="s">
        <v>588</v>
      </c>
      <c r="C347" t="s">
        <v>1042</v>
      </c>
      <c r="D347" t="s">
        <v>87</v>
      </c>
      <c r="E347" t="s">
        <v>92</v>
      </c>
      <c r="F347">
        <v>4</v>
      </c>
      <c r="G347">
        <v>46.74</v>
      </c>
      <c r="H347">
        <v>186.96</v>
      </c>
      <c r="I347" t="s">
        <v>102</v>
      </c>
      <c r="J347" t="s">
        <v>17</v>
      </c>
      <c r="K347" t="s">
        <v>590</v>
      </c>
    </row>
    <row r="348" spans="1:11" x14ac:dyDescent="0.25">
      <c r="A348" t="s">
        <v>1043</v>
      </c>
      <c r="B348" t="s">
        <v>559</v>
      </c>
      <c r="C348" t="s">
        <v>1044</v>
      </c>
      <c r="D348" t="s">
        <v>91</v>
      </c>
      <c r="E348" t="s">
        <v>15</v>
      </c>
      <c r="F348">
        <v>6</v>
      </c>
      <c r="G348">
        <v>80.400000000000006</v>
      </c>
      <c r="H348">
        <v>710.37</v>
      </c>
      <c r="I348" t="s">
        <v>35</v>
      </c>
      <c r="J348" t="s">
        <v>51</v>
      </c>
      <c r="K348" t="s">
        <v>561</v>
      </c>
    </row>
    <row r="349" spans="1:11" x14ac:dyDescent="0.25">
      <c r="A349" t="s">
        <v>1045</v>
      </c>
      <c r="B349" t="s">
        <v>105</v>
      </c>
      <c r="C349" t="s">
        <v>1046</v>
      </c>
      <c r="D349" t="s">
        <v>78</v>
      </c>
      <c r="E349" t="s">
        <v>46</v>
      </c>
      <c r="F349">
        <v>3</v>
      </c>
      <c r="G349">
        <v>88.27</v>
      </c>
      <c r="H349">
        <v>264.81</v>
      </c>
      <c r="I349" t="s">
        <v>35</v>
      </c>
      <c r="J349" t="s">
        <v>69</v>
      </c>
      <c r="K349" t="s">
        <v>107</v>
      </c>
    </row>
    <row r="350" spans="1:11" x14ac:dyDescent="0.25">
      <c r="A350" t="s">
        <v>1047</v>
      </c>
      <c r="B350" t="s">
        <v>497</v>
      </c>
      <c r="C350" t="s">
        <v>1048</v>
      </c>
      <c r="D350" t="s">
        <v>331</v>
      </c>
      <c r="E350" t="s">
        <v>15</v>
      </c>
      <c r="F350">
        <v>1</v>
      </c>
      <c r="G350">
        <v>26.94</v>
      </c>
      <c r="H350">
        <v>26.94</v>
      </c>
      <c r="I350" t="s">
        <v>16</v>
      </c>
      <c r="J350" t="s">
        <v>24</v>
      </c>
      <c r="K350" t="s">
        <v>499</v>
      </c>
    </row>
    <row r="351" spans="1:11" x14ac:dyDescent="0.25">
      <c r="A351" t="s">
        <v>1049</v>
      </c>
      <c r="B351" t="s">
        <v>1050</v>
      </c>
      <c r="C351" t="s">
        <v>401</v>
      </c>
      <c r="D351" t="s">
        <v>29</v>
      </c>
      <c r="E351" t="s">
        <v>46</v>
      </c>
      <c r="F351">
        <v>3</v>
      </c>
      <c r="G351">
        <v>890.5</v>
      </c>
      <c r="H351">
        <v>2671.5</v>
      </c>
      <c r="I351" t="s">
        <v>30</v>
      </c>
      <c r="J351" t="s">
        <v>17</v>
      </c>
      <c r="K351" t="s">
        <v>1051</v>
      </c>
    </row>
    <row r="352" spans="1:11" x14ac:dyDescent="0.25">
      <c r="A352" t="s">
        <v>1052</v>
      </c>
      <c r="B352" t="s">
        <v>1053</v>
      </c>
      <c r="C352" t="s">
        <v>905</v>
      </c>
      <c r="D352" t="s">
        <v>101</v>
      </c>
      <c r="F352">
        <v>999</v>
      </c>
      <c r="G352">
        <v>28.2</v>
      </c>
      <c r="H352">
        <v>28171.8</v>
      </c>
      <c r="I352" t="s">
        <v>102</v>
      </c>
      <c r="J352" t="s">
        <v>55</v>
      </c>
      <c r="K352" t="s">
        <v>1054</v>
      </c>
    </row>
    <row r="353" spans="1:11" x14ac:dyDescent="0.25">
      <c r="A353" t="s">
        <v>1055</v>
      </c>
      <c r="B353" t="s">
        <v>1056</v>
      </c>
      <c r="C353" t="s">
        <v>1057</v>
      </c>
      <c r="D353" t="s">
        <v>78</v>
      </c>
      <c r="E353" t="s">
        <v>46</v>
      </c>
      <c r="F353">
        <v>9</v>
      </c>
      <c r="G353">
        <v>95.45</v>
      </c>
      <c r="H353">
        <v>859.05</v>
      </c>
      <c r="I353" t="s">
        <v>30</v>
      </c>
      <c r="J353" t="s">
        <v>51</v>
      </c>
      <c r="K353" t="s">
        <v>1058</v>
      </c>
    </row>
    <row r="354" spans="1:11" x14ac:dyDescent="0.25">
      <c r="A354" t="s">
        <v>1059</v>
      </c>
      <c r="B354" t="s">
        <v>460</v>
      </c>
      <c r="C354" t="s">
        <v>1060</v>
      </c>
      <c r="D354" t="s">
        <v>101</v>
      </c>
      <c r="E354" t="s">
        <v>15</v>
      </c>
      <c r="F354">
        <v>5</v>
      </c>
      <c r="G354">
        <v>28.24</v>
      </c>
      <c r="H354">
        <v>141.19999999999999</v>
      </c>
      <c r="I354" t="s">
        <v>102</v>
      </c>
      <c r="J354" t="s">
        <v>17</v>
      </c>
      <c r="K354" t="s">
        <v>462</v>
      </c>
    </row>
    <row r="355" spans="1:11" x14ac:dyDescent="0.25">
      <c r="A355" t="s">
        <v>1061</v>
      </c>
      <c r="B355" t="s">
        <v>129</v>
      </c>
      <c r="C355" t="s">
        <v>1062</v>
      </c>
      <c r="D355" t="s">
        <v>214</v>
      </c>
      <c r="E355" t="s">
        <v>185</v>
      </c>
      <c r="F355">
        <v>7</v>
      </c>
      <c r="G355">
        <v>52.42</v>
      </c>
      <c r="H355">
        <v>313.67</v>
      </c>
      <c r="I355" t="s">
        <v>494</v>
      </c>
      <c r="J355" t="s">
        <v>51</v>
      </c>
      <c r="K355" t="s">
        <v>131</v>
      </c>
    </row>
    <row r="356" spans="1:11" x14ac:dyDescent="0.25">
      <c r="A356" t="s">
        <v>1063</v>
      </c>
      <c r="B356" t="s">
        <v>1064</v>
      </c>
      <c r="C356" t="s">
        <v>1065</v>
      </c>
      <c r="D356" t="s">
        <v>59</v>
      </c>
      <c r="E356" t="s">
        <v>23</v>
      </c>
      <c r="F356">
        <v>7</v>
      </c>
      <c r="G356">
        <v>142.99</v>
      </c>
      <c r="H356">
        <v>1000.93</v>
      </c>
      <c r="I356" t="s">
        <v>16</v>
      </c>
      <c r="J356" t="s">
        <v>51</v>
      </c>
      <c r="K356" t="s">
        <v>1066</v>
      </c>
    </row>
    <row r="357" spans="1:11" x14ac:dyDescent="0.25">
      <c r="A357" t="s">
        <v>1067</v>
      </c>
      <c r="B357" t="s">
        <v>1068</v>
      </c>
      <c r="C357" t="s">
        <v>1069</v>
      </c>
      <c r="D357" t="s">
        <v>78</v>
      </c>
      <c r="E357" t="s">
        <v>46</v>
      </c>
      <c r="F357">
        <v>4</v>
      </c>
      <c r="G357">
        <v>88.47</v>
      </c>
      <c r="H357">
        <v>353.88</v>
      </c>
      <c r="I357" t="s">
        <v>16</v>
      </c>
      <c r="J357" t="s">
        <v>69</v>
      </c>
      <c r="K357" t="s">
        <v>1070</v>
      </c>
    </row>
    <row r="358" spans="1:11" x14ac:dyDescent="0.25">
      <c r="A358" t="s">
        <v>1071</v>
      </c>
      <c r="B358" t="s">
        <v>1072</v>
      </c>
      <c r="C358" t="s">
        <v>1073</v>
      </c>
      <c r="D358" t="s">
        <v>41</v>
      </c>
      <c r="E358" t="s">
        <v>15</v>
      </c>
      <c r="F358">
        <v>8</v>
      </c>
      <c r="G358">
        <v>82.88</v>
      </c>
      <c r="H358">
        <v>663.04</v>
      </c>
      <c r="I358" t="s">
        <v>16</v>
      </c>
      <c r="J358" t="s">
        <v>51</v>
      </c>
      <c r="K358" t="s">
        <v>1074</v>
      </c>
    </row>
    <row r="359" spans="1:11" x14ac:dyDescent="0.25">
      <c r="A359" t="s">
        <v>1075</v>
      </c>
      <c r="B359" t="s">
        <v>109</v>
      </c>
      <c r="C359" t="s">
        <v>882</v>
      </c>
      <c r="D359" t="s">
        <v>29</v>
      </c>
      <c r="E359" t="s">
        <v>46</v>
      </c>
      <c r="F359">
        <v>4</v>
      </c>
      <c r="G359">
        <v>888.21</v>
      </c>
      <c r="H359">
        <v>3552.84</v>
      </c>
      <c r="I359" t="s">
        <v>16</v>
      </c>
      <c r="J359" t="s">
        <v>69</v>
      </c>
      <c r="K359" t="s">
        <v>111</v>
      </c>
    </row>
    <row r="360" spans="1:11" x14ac:dyDescent="0.25">
      <c r="A360" t="s">
        <v>1076</v>
      </c>
      <c r="B360" t="s">
        <v>1077</v>
      </c>
      <c r="C360" t="s">
        <v>1078</v>
      </c>
      <c r="D360" t="s">
        <v>78</v>
      </c>
      <c r="E360" t="s">
        <v>46</v>
      </c>
      <c r="F360">
        <v>5</v>
      </c>
      <c r="G360">
        <v>85.34</v>
      </c>
      <c r="H360">
        <v>426.7</v>
      </c>
      <c r="I360" t="s">
        <v>30</v>
      </c>
      <c r="J360" t="s">
        <v>69</v>
      </c>
      <c r="K360" t="s">
        <v>1079</v>
      </c>
    </row>
    <row r="361" spans="1:11" x14ac:dyDescent="0.25">
      <c r="A361" t="s">
        <v>1080</v>
      </c>
      <c r="B361" t="s">
        <v>1081</v>
      </c>
      <c r="C361" t="s">
        <v>1082</v>
      </c>
      <c r="D361" t="s">
        <v>147</v>
      </c>
      <c r="E361" t="s">
        <v>46</v>
      </c>
      <c r="F361">
        <v>2</v>
      </c>
      <c r="G361">
        <v>300.48</v>
      </c>
      <c r="H361">
        <v>801.76</v>
      </c>
      <c r="I361" t="s">
        <v>102</v>
      </c>
      <c r="J361" t="s">
        <v>24</v>
      </c>
      <c r="K361" t="s">
        <v>1083</v>
      </c>
    </row>
    <row r="362" spans="1:11" x14ac:dyDescent="0.25">
      <c r="A362" t="s">
        <v>1084</v>
      </c>
      <c r="B362" t="s">
        <v>596</v>
      </c>
      <c r="C362" t="s">
        <v>1023</v>
      </c>
      <c r="D362" t="s">
        <v>214</v>
      </c>
      <c r="E362" t="s">
        <v>185</v>
      </c>
      <c r="F362">
        <v>6</v>
      </c>
      <c r="G362">
        <v>0</v>
      </c>
      <c r="H362">
        <v>0</v>
      </c>
      <c r="I362" t="s">
        <v>102</v>
      </c>
      <c r="J362" t="s">
        <v>392</v>
      </c>
      <c r="K362" t="s">
        <v>597</v>
      </c>
    </row>
    <row r="363" spans="1:11" x14ac:dyDescent="0.25">
      <c r="A363" t="s">
        <v>1085</v>
      </c>
      <c r="B363" t="s">
        <v>120</v>
      </c>
      <c r="C363" t="s">
        <v>1011</v>
      </c>
      <c r="D363" t="s">
        <v>184</v>
      </c>
      <c r="E363" t="s">
        <v>185</v>
      </c>
      <c r="F363">
        <v>4</v>
      </c>
      <c r="G363">
        <v>48.4</v>
      </c>
      <c r="H363">
        <v>194.86</v>
      </c>
      <c r="I363" t="s">
        <v>30</v>
      </c>
      <c r="J363" t="s">
        <v>287</v>
      </c>
      <c r="K363" t="s">
        <v>122</v>
      </c>
    </row>
    <row r="364" spans="1:11" x14ac:dyDescent="0.25">
      <c r="A364" t="s">
        <v>1086</v>
      </c>
      <c r="C364" t="s">
        <v>570</v>
      </c>
      <c r="D364" t="s">
        <v>214</v>
      </c>
      <c r="E364" t="s">
        <v>185</v>
      </c>
      <c r="F364">
        <v>3</v>
      </c>
      <c r="I364" t="s">
        <v>102</v>
      </c>
      <c r="J364" t="s">
        <v>51</v>
      </c>
    </row>
    <row r="365" spans="1:11" x14ac:dyDescent="0.25">
      <c r="A365" t="s">
        <v>1087</v>
      </c>
      <c r="B365" t="s">
        <v>908</v>
      </c>
      <c r="C365" t="s">
        <v>1088</v>
      </c>
      <c r="D365" t="s">
        <v>101</v>
      </c>
      <c r="E365" t="s">
        <v>15</v>
      </c>
      <c r="F365">
        <v>1</v>
      </c>
      <c r="G365">
        <v>24.52</v>
      </c>
      <c r="H365">
        <v>24.52</v>
      </c>
      <c r="I365" t="s">
        <v>35</v>
      </c>
      <c r="J365" t="s">
        <v>69</v>
      </c>
      <c r="K365" t="s">
        <v>1089</v>
      </c>
    </row>
    <row r="366" spans="1:11" x14ac:dyDescent="0.25">
      <c r="A366" t="s">
        <v>1090</v>
      </c>
      <c r="B366" t="s">
        <v>576</v>
      </c>
      <c r="C366" t="s">
        <v>1091</v>
      </c>
      <c r="D366" t="s">
        <v>87</v>
      </c>
      <c r="E366" t="s">
        <v>92</v>
      </c>
      <c r="F366">
        <v>5</v>
      </c>
      <c r="G366">
        <v>53.76</v>
      </c>
      <c r="H366">
        <v>268.8</v>
      </c>
      <c r="I366" t="s">
        <v>16</v>
      </c>
      <c r="J366" t="s">
        <v>69</v>
      </c>
      <c r="K366" t="s">
        <v>577</v>
      </c>
    </row>
    <row r="367" spans="1:11" x14ac:dyDescent="0.25">
      <c r="A367" t="s">
        <v>1092</v>
      </c>
      <c r="B367" t="s">
        <v>1053</v>
      </c>
      <c r="D367" t="s">
        <v>331</v>
      </c>
      <c r="E367" t="s">
        <v>15</v>
      </c>
      <c r="F367">
        <v>3</v>
      </c>
      <c r="G367">
        <v>27.46</v>
      </c>
      <c r="H367">
        <v>82.38</v>
      </c>
      <c r="I367" t="s">
        <v>16</v>
      </c>
      <c r="J367" t="s">
        <v>51</v>
      </c>
      <c r="K367" t="s">
        <v>1054</v>
      </c>
    </row>
    <row r="368" spans="1:11" x14ac:dyDescent="0.25">
      <c r="A368" t="s">
        <v>1093</v>
      </c>
      <c r="B368" t="s">
        <v>1094</v>
      </c>
      <c r="C368" t="s">
        <v>1095</v>
      </c>
      <c r="D368" t="s">
        <v>101</v>
      </c>
      <c r="E368" t="s">
        <v>15</v>
      </c>
      <c r="F368">
        <v>3</v>
      </c>
      <c r="G368">
        <v>26.74</v>
      </c>
      <c r="H368">
        <v>80.22</v>
      </c>
      <c r="I368" t="s">
        <v>35</v>
      </c>
      <c r="J368" t="s">
        <v>69</v>
      </c>
      <c r="K368" t="s">
        <v>1096</v>
      </c>
    </row>
    <row r="369" spans="1:11" x14ac:dyDescent="0.25">
      <c r="A369" t="s">
        <v>1097</v>
      </c>
      <c r="B369" t="s">
        <v>1098</v>
      </c>
      <c r="C369" t="s">
        <v>545</v>
      </c>
      <c r="D369" t="s">
        <v>78</v>
      </c>
      <c r="E369" t="s">
        <v>46</v>
      </c>
      <c r="F369">
        <v>7</v>
      </c>
      <c r="G369">
        <v>95.91</v>
      </c>
      <c r="H369">
        <v>671.37</v>
      </c>
      <c r="I369" t="s">
        <v>16</v>
      </c>
      <c r="J369" t="s">
        <v>55</v>
      </c>
      <c r="K369" t="s">
        <v>1099</v>
      </c>
    </row>
    <row r="370" spans="1:11" x14ac:dyDescent="0.25">
      <c r="A370" t="s">
        <v>1100</v>
      </c>
      <c r="B370" t="s">
        <v>1101</v>
      </c>
      <c r="C370" t="s">
        <v>1102</v>
      </c>
      <c r="D370" t="s">
        <v>214</v>
      </c>
      <c r="E370" t="s">
        <v>185</v>
      </c>
      <c r="F370">
        <v>4</v>
      </c>
      <c r="G370">
        <v>47.61</v>
      </c>
      <c r="H370">
        <v>218.68</v>
      </c>
      <c r="I370" t="s">
        <v>30</v>
      </c>
      <c r="J370" t="s">
        <v>55</v>
      </c>
      <c r="K370" t="s">
        <v>1103</v>
      </c>
    </row>
    <row r="371" spans="1:11" x14ac:dyDescent="0.25">
      <c r="A371" t="s">
        <v>1104</v>
      </c>
      <c r="B371" t="s">
        <v>1105</v>
      </c>
      <c r="C371" t="s">
        <v>1106</v>
      </c>
      <c r="D371" t="s">
        <v>29</v>
      </c>
      <c r="E371" t="s">
        <v>46</v>
      </c>
      <c r="F371">
        <v>5</v>
      </c>
      <c r="G371">
        <v>0</v>
      </c>
      <c r="H371">
        <v>0</v>
      </c>
      <c r="I371" t="s">
        <v>16</v>
      </c>
      <c r="J371" t="s">
        <v>24</v>
      </c>
      <c r="K371" t="s">
        <v>1107</v>
      </c>
    </row>
    <row r="372" spans="1:11" x14ac:dyDescent="0.25">
      <c r="A372" t="s">
        <v>1108</v>
      </c>
      <c r="B372" t="s">
        <v>643</v>
      </c>
      <c r="C372" t="s">
        <v>1109</v>
      </c>
      <c r="D372" t="s">
        <v>22</v>
      </c>
      <c r="E372" t="s">
        <v>23</v>
      </c>
      <c r="F372">
        <v>3</v>
      </c>
      <c r="G372">
        <v>137.41</v>
      </c>
      <c r="H372">
        <v>412.23</v>
      </c>
      <c r="I372" t="s">
        <v>16</v>
      </c>
      <c r="J372" t="s">
        <v>17</v>
      </c>
      <c r="K372" t="s">
        <v>645</v>
      </c>
    </row>
    <row r="373" spans="1:11" x14ac:dyDescent="0.25">
      <c r="A373" t="s">
        <v>1110</v>
      </c>
      <c r="B373" t="s">
        <v>89</v>
      </c>
      <c r="C373" t="s">
        <v>845</v>
      </c>
      <c r="D373" t="s">
        <v>29</v>
      </c>
      <c r="E373" t="s">
        <v>46</v>
      </c>
      <c r="F373">
        <v>2</v>
      </c>
      <c r="G373">
        <v>0</v>
      </c>
      <c r="H373">
        <v>0</v>
      </c>
      <c r="I373" t="s">
        <v>102</v>
      </c>
      <c r="K373" t="s">
        <v>93</v>
      </c>
    </row>
    <row r="374" spans="1:11" x14ac:dyDescent="0.25">
      <c r="A374" t="s">
        <v>1111</v>
      </c>
      <c r="B374" t="s">
        <v>1112</v>
      </c>
      <c r="C374" t="s">
        <v>1113</v>
      </c>
      <c r="D374" t="s">
        <v>22</v>
      </c>
      <c r="E374" t="s">
        <v>23</v>
      </c>
      <c r="F374">
        <v>1</v>
      </c>
      <c r="G374">
        <v>156.08000000000001</v>
      </c>
      <c r="H374">
        <v>156.08000000000001</v>
      </c>
      <c r="I374" t="s">
        <v>30</v>
      </c>
      <c r="K374" t="s">
        <v>1114</v>
      </c>
    </row>
    <row r="375" spans="1:11" x14ac:dyDescent="0.25">
      <c r="A375" t="s">
        <v>1115</v>
      </c>
      <c r="B375" t="s">
        <v>860</v>
      </c>
      <c r="C375" t="s">
        <v>13</v>
      </c>
      <c r="D375" t="s">
        <v>101</v>
      </c>
      <c r="F375">
        <v>2</v>
      </c>
      <c r="G375">
        <v>24.49</v>
      </c>
      <c r="H375">
        <v>48.98</v>
      </c>
      <c r="I375" t="s">
        <v>16</v>
      </c>
      <c r="J375" t="s">
        <v>17</v>
      </c>
      <c r="K375" t="s">
        <v>862</v>
      </c>
    </row>
    <row r="376" spans="1:11" x14ac:dyDescent="0.25">
      <c r="A376" t="s">
        <v>1116</v>
      </c>
      <c r="B376" t="s">
        <v>968</v>
      </c>
      <c r="C376" t="s">
        <v>978</v>
      </c>
      <c r="D376" t="s">
        <v>87</v>
      </c>
      <c r="E376" t="s">
        <v>15</v>
      </c>
      <c r="F376">
        <v>5</v>
      </c>
      <c r="G376">
        <v>51.04</v>
      </c>
      <c r="H376">
        <v>255.2</v>
      </c>
      <c r="I376" t="s">
        <v>35</v>
      </c>
      <c r="J376" t="s">
        <v>51</v>
      </c>
      <c r="K376" t="s">
        <v>970</v>
      </c>
    </row>
    <row r="377" spans="1:11" x14ac:dyDescent="0.25">
      <c r="A377" t="s">
        <v>1117</v>
      </c>
      <c r="B377" t="s">
        <v>1118</v>
      </c>
      <c r="C377" t="s">
        <v>721</v>
      </c>
      <c r="D377" t="s">
        <v>214</v>
      </c>
      <c r="E377" t="s">
        <v>185</v>
      </c>
      <c r="F377">
        <v>9</v>
      </c>
      <c r="G377">
        <v>45.58</v>
      </c>
      <c r="H377">
        <v>410.22</v>
      </c>
      <c r="I377" t="s">
        <v>35</v>
      </c>
      <c r="J377" t="s">
        <v>17</v>
      </c>
      <c r="K377" t="s">
        <v>1119</v>
      </c>
    </row>
    <row r="378" spans="1:11" x14ac:dyDescent="0.25">
      <c r="A378" t="s">
        <v>1120</v>
      </c>
      <c r="B378" t="s">
        <v>99</v>
      </c>
      <c r="C378" t="s">
        <v>552</v>
      </c>
      <c r="D378" t="s">
        <v>78</v>
      </c>
      <c r="E378" t="s">
        <v>46</v>
      </c>
      <c r="F378">
        <v>1</v>
      </c>
      <c r="G378">
        <v>83.51</v>
      </c>
      <c r="H378">
        <v>83.51</v>
      </c>
      <c r="I378" t="s">
        <v>16</v>
      </c>
      <c r="J378" t="s">
        <v>17</v>
      </c>
      <c r="K378" t="s">
        <v>103</v>
      </c>
    </row>
    <row r="379" spans="1:11" x14ac:dyDescent="0.25">
      <c r="A379" t="s">
        <v>1121</v>
      </c>
      <c r="B379" t="s">
        <v>39</v>
      </c>
      <c r="C379" t="s">
        <v>796</v>
      </c>
      <c r="D379" t="s">
        <v>22</v>
      </c>
      <c r="E379" t="s">
        <v>23</v>
      </c>
      <c r="F379">
        <v>5</v>
      </c>
      <c r="G379">
        <v>145.63999999999999</v>
      </c>
      <c r="H379">
        <v>728.2</v>
      </c>
      <c r="I379" t="s">
        <v>35</v>
      </c>
      <c r="J379" t="s">
        <v>24</v>
      </c>
      <c r="K379" t="s">
        <v>42</v>
      </c>
    </row>
    <row r="380" spans="1:11" x14ac:dyDescent="0.25">
      <c r="A380" t="s">
        <v>1122</v>
      </c>
      <c r="B380" t="s">
        <v>1123</v>
      </c>
      <c r="C380" t="s">
        <v>308</v>
      </c>
      <c r="D380" t="s">
        <v>41</v>
      </c>
      <c r="E380" t="s">
        <v>92</v>
      </c>
      <c r="F380">
        <v>2</v>
      </c>
      <c r="G380">
        <v>85.63</v>
      </c>
      <c r="H380">
        <v>171.26</v>
      </c>
      <c r="I380" t="s">
        <v>30</v>
      </c>
      <c r="J380" t="s">
        <v>126</v>
      </c>
      <c r="K380" t="s">
        <v>1124</v>
      </c>
    </row>
    <row r="381" spans="1:11" x14ac:dyDescent="0.25">
      <c r="A381" t="s">
        <v>1125</v>
      </c>
      <c r="B381" t="s">
        <v>844</v>
      </c>
      <c r="D381" t="s">
        <v>29</v>
      </c>
      <c r="E381" t="s">
        <v>46</v>
      </c>
      <c r="F381">
        <v>6</v>
      </c>
      <c r="G381">
        <v>822.54</v>
      </c>
      <c r="H381">
        <v>4935.24</v>
      </c>
      <c r="I381" t="s">
        <v>102</v>
      </c>
      <c r="J381" t="s">
        <v>51</v>
      </c>
      <c r="K381" t="s">
        <v>1126</v>
      </c>
    </row>
    <row r="382" spans="1:11" x14ac:dyDescent="0.25">
      <c r="A382" t="s">
        <v>1127</v>
      </c>
      <c r="B382" t="s">
        <v>1128</v>
      </c>
      <c r="C382" t="s">
        <v>1129</v>
      </c>
      <c r="D382" t="s">
        <v>87</v>
      </c>
      <c r="E382" t="s">
        <v>15</v>
      </c>
      <c r="F382">
        <v>9</v>
      </c>
      <c r="G382">
        <v>46.55</v>
      </c>
      <c r="H382">
        <v>418.95</v>
      </c>
      <c r="I382" t="s">
        <v>16</v>
      </c>
      <c r="J382" t="s">
        <v>17</v>
      </c>
      <c r="K382" t="s">
        <v>1130</v>
      </c>
    </row>
    <row r="383" spans="1:11" x14ac:dyDescent="0.25">
      <c r="A383" t="s">
        <v>1131</v>
      </c>
      <c r="C383" t="s">
        <v>663</v>
      </c>
      <c r="D383" t="s">
        <v>87</v>
      </c>
      <c r="E383" t="s">
        <v>15</v>
      </c>
      <c r="F383">
        <v>3</v>
      </c>
      <c r="G383">
        <v>45.31</v>
      </c>
      <c r="H383">
        <v>135.93</v>
      </c>
      <c r="I383" t="s">
        <v>35</v>
      </c>
      <c r="J383" t="s">
        <v>148</v>
      </c>
    </row>
    <row r="384" spans="1:11" x14ac:dyDescent="0.25">
      <c r="A384" t="s">
        <v>1132</v>
      </c>
      <c r="B384" t="s">
        <v>1133</v>
      </c>
      <c r="C384" t="s">
        <v>1134</v>
      </c>
      <c r="D384" t="s">
        <v>147</v>
      </c>
      <c r="E384" t="s">
        <v>46</v>
      </c>
      <c r="F384">
        <v>3</v>
      </c>
      <c r="G384">
        <v>274.77999999999997</v>
      </c>
      <c r="H384">
        <v>824.34</v>
      </c>
      <c r="I384" t="s">
        <v>16</v>
      </c>
      <c r="J384" t="s">
        <v>55</v>
      </c>
      <c r="K384" t="s">
        <v>1135</v>
      </c>
    </row>
    <row r="385" spans="1:11" x14ac:dyDescent="0.25">
      <c r="A385" t="s">
        <v>1136</v>
      </c>
      <c r="B385" t="s">
        <v>1137</v>
      </c>
      <c r="C385" t="s">
        <v>1138</v>
      </c>
      <c r="D385" t="s">
        <v>1139</v>
      </c>
      <c r="E385" t="s">
        <v>185</v>
      </c>
      <c r="F385">
        <v>5</v>
      </c>
      <c r="G385">
        <v>46.74</v>
      </c>
      <c r="H385">
        <v>233.7</v>
      </c>
      <c r="I385" t="s">
        <v>35</v>
      </c>
      <c r="J385" t="s">
        <v>17</v>
      </c>
      <c r="K385" t="s">
        <v>1140</v>
      </c>
    </row>
    <row r="386" spans="1:11" x14ac:dyDescent="0.25">
      <c r="A386" t="s">
        <v>1141</v>
      </c>
      <c r="B386" t="s">
        <v>311</v>
      </c>
      <c r="C386" t="s">
        <v>1142</v>
      </c>
      <c r="D386" t="s">
        <v>29</v>
      </c>
      <c r="E386" t="s">
        <v>46</v>
      </c>
      <c r="F386">
        <v>1</v>
      </c>
      <c r="G386">
        <v>848.2</v>
      </c>
      <c r="H386">
        <v>848.2</v>
      </c>
      <c r="I386" t="s">
        <v>16</v>
      </c>
      <c r="J386" t="s">
        <v>55</v>
      </c>
      <c r="K386" t="s">
        <v>313</v>
      </c>
    </row>
    <row r="387" spans="1:11" x14ac:dyDescent="0.25">
      <c r="A387" t="s">
        <v>1143</v>
      </c>
      <c r="B387" t="s">
        <v>1144</v>
      </c>
      <c r="C387" t="s">
        <v>1145</v>
      </c>
      <c r="D387" t="s">
        <v>87</v>
      </c>
      <c r="E387" t="s">
        <v>15</v>
      </c>
      <c r="F387">
        <v>6</v>
      </c>
      <c r="G387">
        <v>45.38</v>
      </c>
      <c r="H387">
        <v>272.27999999999997</v>
      </c>
      <c r="I387" t="s">
        <v>16</v>
      </c>
      <c r="J387" t="s">
        <v>51</v>
      </c>
      <c r="K387" t="s">
        <v>1146</v>
      </c>
    </row>
    <row r="388" spans="1:11" x14ac:dyDescent="0.25">
      <c r="A388" t="s">
        <v>1147</v>
      </c>
      <c r="B388" t="s">
        <v>162</v>
      </c>
      <c r="C388" t="s">
        <v>1148</v>
      </c>
      <c r="D388" t="s">
        <v>14</v>
      </c>
      <c r="E388" t="s">
        <v>15</v>
      </c>
      <c r="F388">
        <v>3</v>
      </c>
      <c r="G388">
        <v>46.88</v>
      </c>
      <c r="H388">
        <v>140.63999999999999</v>
      </c>
      <c r="I388" t="s">
        <v>30</v>
      </c>
      <c r="J388" t="s">
        <v>51</v>
      </c>
      <c r="K388" t="s">
        <v>165</v>
      </c>
    </row>
    <row r="389" spans="1:11" x14ac:dyDescent="0.25">
      <c r="A389" t="s">
        <v>1149</v>
      </c>
      <c r="B389" t="s">
        <v>1150</v>
      </c>
      <c r="C389" t="s">
        <v>1151</v>
      </c>
      <c r="D389" t="s">
        <v>29</v>
      </c>
      <c r="E389" t="s">
        <v>46</v>
      </c>
      <c r="F389">
        <v>5</v>
      </c>
      <c r="G389">
        <v>828.5</v>
      </c>
      <c r="H389">
        <v>6127.39</v>
      </c>
      <c r="I389" t="s">
        <v>102</v>
      </c>
      <c r="J389" t="s">
        <v>17</v>
      </c>
      <c r="K389" t="s">
        <v>1152</v>
      </c>
    </row>
    <row r="390" spans="1:11" x14ac:dyDescent="0.25">
      <c r="A390" t="s">
        <v>1153</v>
      </c>
      <c r="B390" t="s">
        <v>1094</v>
      </c>
      <c r="C390" t="s">
        <v>1154</v>
      </c>
      <c r="D390" t="s">
        <v>87</v>
      </c>
      <c r="E390" t="s">
        <v>15</v>
      </c>
      <c r="F390">
        <v>1</v>
      </c>
      <c r="G390">
        <v>52.76</v>
      </c>
      <c r="H390">
        <v>52.76</v>
      </c>
      <c r="I390" t="s">
        <v>102</v>
      </c>
      <c r="J390" t="s">
        <v>148</v>
      </c>
      <c r="K390" t="s">
        <v>1096</v>
      </c>
    </row>
    <row r="391" spans="1:11" x14ac:dyDescent="0.25">
      <c r="A391" t="s">
        <v>1155</v>
      </c>
      <c r="B391" t="s">
        <v>394</v>
      </c>
      <c r="C391" t="s">
        <v>1156</v>
      </c>
      <c r="D391" t="s">
        <v>41</v>
      </c>
      <c r="E391" t="s">
        <v>15</v>
      </c>
      <c r="F391">
        <v>5</v>
      </c>
      <c r="G391">
        <v>79.900000000000006</v>
      </c>
      <c r="H391">
        <v>399.5</v>
      </c>
      <c r="I391" t="s">
        <v>16</v>
      </c>
      <c r="J391" t="s">
        <v>17</v>
      </c>
      <c r="K391" t="s">
        <v>396</v>
      </c>
    </row>
    <row r="392" spans="1:11" x14ac:dyDescent="0.25">
      <c r="A392" t="s">
        <v>1157</v>
      </c>
      <c r="B392" t="s">
        <v>711</v>
      </c>
      <c r="C392" t="s">
        <v>1158</v>
      </c>
      <c r="D392" t="s">
        <v>29</v>
      </c>
      <c r="E392" t="s">
        <v>46</v>
      </c>
      <c r="F392">
        <v>5</v>
      </c>
      <c r="G392">
        <v>908.21</v>
      </c>
      <c r="H392">
        <v>4541.05</v>
      </c>
      <c r="I392" t="s">
        <v>16</v>
      </c>
      <c r="J392" t="s">
        <v>69</v>
      </c>
      <c r="K392" t="s">
        <v>713</v>
      </c>
    </row>
    <row r="393" spans="1:11" x14ac:dyDescent="0.25">
      <c r="A393" t="s">
        <v>1159</v>
      </c>
      <c r="B393" t="s">
        <v>297</v>
      </c>
      <c r="C393" t="s">
        <v>1160</v>
      </c>
      <c r="D393" t="s">
        <v>147</v>
      </c>
      <c r="E393" t="s">
        <v>46</v>
      </c>
      <c r="F393">
        <v>1</v>
      </c>
      <c r="G393">
        <v>286.7</v>
      </c>
      <c r="H393">
        <v>286.7</v>
      </c>
      <c r="I393" t="s">
        <v>102</v>
      </c>
      <c r="J393" t="s">
        <v>55</v>
      </c>
      <c r="K393" t="s">
        <v>299</v>
      </c>
    </row>
    <row r="394" spans="1:11" x14ac:dyDescent="0.25">
      <c r="A394" t="s">
        <v>1161</v>
      </c>
      <c r="B394" t="s">
        <v>1053</v>
      </c>
      <c r="C394" t="s">
        <v>909</v>
      </c>
      <c r="D394" t="s">
        <v>147</v>
      </c>
      <c r="E394" t="s">
        <v>46</v>
      </c>
      <c r="F394">
        <v>4</v>
      </c>
      <c r="G394">
        <v>318.55</v>
      </c>
      <c r="H394">
        <v>1274.2</v>
      </c>
      <c r="I394" t="s">
        <v>16</v>
      </c>
      <c r="J394" t="s">
        <v>24</v>
      </c>
      <c r="K394" t="s">
        <v>1054</v>
      </c>
    </row>
    <row r="395" spans="1:11" x14ac:dyDescent="0.25">
      <c r="A395" t="s">
        <v>1162</v>
      </c>
      <c r="B395" t="s">
        <v>1163</v>
      </c>
      <c r="C395" t="s">
        <v>383</v>
      </c>
      <c r="D395" t="s">
        <v>147</v>
      </c>
      <c r="E395" t="s">
        <v>46</v>
      </c>
      <c r="F395">
        <v>9</v>
      </c>
      <c r="G395">
        <v>287.2</v>
      </c>
      <c r="H395">
        <v>2584.8000000000002</v>
      </c>
      <c r="I395" t="s">
        <v>30</v>
      </c>
      <c r="J395" t="s">
        <v>69</v>
      </c>
      <c r="K395" t="s">
        <v>1164</v>
      </c>
    </row>
    <row r="396" spans="1:11" x14ac:dyDescent="0.25">
      <c r="A396" t="s">
        <v>1165</v>
      </c>
      <c r="C396" t="s">
        <v>1166</v>
      </c>
      <c r="D396" t="s">
        <v>147</v>
      </c>
      <c r="E396" t="s">
        <v>46</v>
      </c>
      <c r="F396">
        <v>3</v>
      </c>
      <c r="G396">
        <v>300.99</v>
      </c>
      <c r="H396">
        <v>902.97</v>
      </c>
      <c r="I396" t="s">
        <v>35</v>
      </c>
      <c r="J396" t="s">
        <v>17</v>
      </c>
    </row>
    <row r="397" spans="1:11" x14ac:dyDescent="0.25">
      <c r="A397" t="s">
        <v>1167</v>
      </c>
      <c r="B397" t="s">
        <v>1168</v>
      </c>
      <c r="C397" t="s">
        <v>635</v>
      </c>
      <c r="D397" t="s">
        <v>101</v>
      </c>
      <c r="E397" t="s">
        <v>15</v>
      </c>
      <c r="F397">
        <v>8</v>
      </c>
      <c r="G397">
        <v>27.68</v>
      </c>
      <c r="H397">
        <v>310.7</v>
      </c>
      <c r="I397" t="s">
        <v>30</v>
      </c>
      <c r="J397" t="s">
        <v>51</v>
      </c>
      <c r="K397" t="s">
        <v>1169</v>
      </c>
    </row>
    <row r="398" spans="1:11" x14ac:dyDescent="0.25">
      <c r="A398" t="s">
        <v>1170</v>
      </c>
      <c r="B398" t="s">
        <v>1105</v>
      </c>
      <c r="C398" t="s">
        <v>1171</v>
      </c>
      <c r="D398" t="s">
        <v>78</v>
      </c>
      <c r="E398" t="s">
        <v>46</v>
      </c>
      <c r="F398">
        <v>1</v>
      </c>
      <c r="I398" t="s">
        <v>16</v>
      </c>
      <c r="J398" t="s">
        <v>287</v>
      </c>
      <c r="K398" t="s">
        <v>1107</v>
      </c>
    </row>
    <row r="399" spans="1:11" x14ac:dyDescent="0.25">
      <c r="A399" t="s">
        <v>1172</v>
      </c>
      <c r="B399" t="s">
        <v>124</v>
      </c>
      <c r="C399" t="s">
        <v>1173</v>
      </c>
      <c r="D399" t="s">
        <v>214</v>
      </c>
      <c r="E399" t="s">
        <v>185</v>
      </c>
      <c r="F399">
        <v>7</v>
      </c>
      <c r="G399">
        <v>52.09</v>
      </c>
      <c r="H399">
        <v>389.17</v>
      </c>
      <c r="I399" t="s">
        <v>16</v>
      </c>
      <c r="J399" t="s">
        <v>24</v>
      </c>
      <c r="K399" t="s">
        <v>1174</v>
      </c>
    </row>
    <row r="400" spans="1:11" x14ac:dyDescent="0.25">
      <c r="A400" t="s">
        <v>1175</v>
      </c>
      <c r="B400" t="s">
        <v>1176</v>
      </c>
      <c r="D400" t="s">
        <v>147</v>
      </c>
      <c r="F400">
        <v>3</v>
      </c>
      <c r="I400" t="s">
        <v>16</v>
      </c>
      <c r="J400" t="s">
        <v>69</v>
      </c>
      <c r="K400" t="s">
        <v>1177</v>
      </c>
    </row>
    <row r="401" spans="1:11" x14ac:dyDescent="0.25">
      <c r="A401" t="s">
        <v>1178</v>
      </c>
      <c r="C401" t="s">
        <v>1179</v>
      </c>
      <c r="D401" t="s">
        <v>101</v>
      </c>
      <c r="E401" t="s">
        <v>15</v>
      </c>
      <c r="F401">
        <v>9</v>
      </c>
      <c r="G401">
        <v>25.69</v>
      </c>
      <c r="H401">
        <v>231.21</v>
      </c>
      <c r="I401" t="s">
        <v>16</v>
      </c>
      <c r="J401" t="s">
        <v>51</v>
      </c>
    </row>
    <row r="402" spans="1:11" x14ac:dyDescent="0.25">
      <c r="A402" t="s">
        <v>1180</v>
      </c>
      <c r="B402" t="s">
        <v>878</v>
      </c>
      <c r="C402" t="s">
        <v>543</v>
      </c>
      <c r="D402" t="s">
        <v>41</v>
      </c>
      <c r="E402" t="s">
        <v>15</v>
      </c>
      <c r="F402">
        <v>2</v>
      </c>
      <c r="G402">
        <v>86.41</v>
      </c>
      <c r="H402">
        <v>172.82</v>
      </c>
      <c r="J402" t="s">
        <v>24</v>
      </c>
      <c r="K402" t="s">
        <v>880</v>
      </c>
    </row>
    <row r="403" spans="1:11" x14ac:dyDescent="0.25">
      <c r="A403" t="s">
        <v>1181</v>
      </c>
      <c r="B403" t="s">
        <v>566</v>
      </c>
      <c r="C403" t="s">
        <v>401</v>
      </c>
      <c r="D403" t="s">
        <v>214</v>
      </c>
      <c r="E403" t="s">
        <v>185</v>
      </c>
      <c r="F403">
        <v>8</v>
      </c>
      <c r="G403">
        <v>49.71</v>
      </c>
      <c r="H403">
        <v>397.68</v>
      </c>
      <c r="I403" t="s">
        <v>494</v>
      </c>
      <c r="J403" t="s">
        <v>51</v>
      </c>
      <c r="K403" t="s">
        <v>568</v>
      </c>
    </row>
    <row r="404" spans="1:11" x14ac:dyDescent="0.25">
      <c r="A404" t="s">
        <v>1182</v>
      </c>
      <c r="B404" t="s">
        <v>1029</v>
      </c>
      <c r="C404" t="s">
        <v>556</v>
      </c>
      <c r="D404" t="s">
        <v>271</v>
      </c>
      <c r="F404">
        <v>2</v>
      </c>
      <c r="G404">
        <v>-299.99</v>
      </c>
      <c r="H404">
        <v>-599.98</v>
      </c>
      <c r="I404" t="s">
        <v>102</v>
      </c>
      <c r="J404" t="s">
        <v>51</v>
      </c>
      <c r="K404" t="s">
        <v>1031</v>
      </c>
    </row>
    <row r="405" spans="1:11" x14ac:dyDescent="0.25">
      <c r="A405" t="s">
        <v>1183</v>
      </c>
      <c r="B405" t="s">
        <v>1133</v>
      </c>
      <c r="C405" t="s">
        <v>498</v>
      </c>
      <c r="D405" t="s">
        <v>87</v>
      </c>
      <c r="E405" t="s">
        <v>15</v>
      </c>
      <c r="F405">
        <v>1</v>
      </c>
      <c r="G405">
        <v>49.51</v>
      </c>
      <c r="H405">
        <v>49.51</v>
      </c>
      <c r="I405" t="s">
        <v>35</v>
      </c>
      <c r="J405" t="s">
        <v>24</v>
      </c>
      <c r="K405" t="s">
        <v>1135</v>
      </c>
    </row>
    <row r="406" spans="1:11" x14ac:dyDescent="0.25">
      <c r="A406" t="s">
        <v>1184</v>
      </c>
      <c r="B406" t="s">
        <v>1185</v>
      </c>
      <c r="C406" t="s">
        <v>1186</v>
      </c>
      <c r="D406" t="s">
        <v>41</v>
      </c>
      <c r="E406" t="s">
        <v>15</v>
      </c>
      <c r="F406">
        <v>2</v>
      </c>
      <c r="G406">
        <v>76.86</v>
      </c>
      <c r="H406">
        <v>153.72</v>
      </c>
      <c r="I406" t="s">
        <v>30</v>
      </c>
      <c r="J406" t="s">
        <v>24</v>
      </c>
      <c r="K406" t="s">
        <v>1187</v>
      </c>
    </row>
    <row r="407" spans="1:11" x14ac:dyDescent="0.25">
      <c r="A407" t="s">
        <v>1188</v>
      </c>
      <c r="B407" t="s">
        <v>1189</v>
      </c>
      <c r="C407" t="s">
        <v>900</v>
      </c>
      <c r="D407" t="s">
        <v>214</v>
      </c>
      <c r="F407">
        <v>8</v>
      </c>
      <c r="G407">
        <v>45.68</v>
      </c>
      <c r="H407">
        <v>365.44</v>
      </c>
      <c r="I407" t="s">
        <v>102</v>
      </c>
      <c r="J407" t="s">
        <v>51</v>
      </c>
    </row>
    <row r="408" spans="1:11" x14ac:dyDescent="0.25">
      <c r="A408" t="s">
        <v>1190</v>
      </c>
      <c r="B408" t="s">
        <v>686</v>
      </c>
      <c r="C408" t="s">
        <v>1191</v>
      </c>
      <c r="D408" t="s">
        <v>87</v>
      </c>
      <c r="E408" t="s">
        <v>92</v>
      </c>
      <c r="F408">
        <v>9</v>
      </c>
      <c r="G408">
        <v>48.56</v>
      </c>
      <c r="H408">
        <v>437.04</v>
      </c>
      <c r="I408" t="s">
        <v>16</v>
      </c>
      <c r="J408" t="s">
        <v>55</v>
      </c>
      <c r="K408" t="s">
        <v>688</v>
      </c>
    </row>
    <row r="409" spans="1:11" x14ac:dyDescent="0.25">
      <c r="A409" t="s">
        <v>1192</v>
      </c>
      <c r="B409" t="s">
        <v>433</v>
      </c>
      <c r="C409" t="s">
        <v>855</v>
      </c>
      <c r="D409" t="s">
        <v>184</v>
      </c>
      <c r="E409" t="s">
        <v>185</v>
      </c>
      <c r="F409">
        <v>4</v>
      </c>
      <c r="G409">
        <v>47.79</v>
      </c>
      <c r="H409">
        <v>191.16</v>
      </c>
      <c r="I409" t="s">
        <v>35</v>
      </c>
      <c r="J409" t="s">
        <v>262</v>
      </c>
      <c r="K409" t="s">
        <v>435</v>
      </c>
    </row>
    <row r="410" spans="1:11" x14ac:dyDescent="0.25">
      <c r="A410" t="s">
        <v>1193</v>
      </c>
      <c r="B410" t="s">
        <v>551</v>
      </c>
      <c r="C410" t="s">
        <v>1194</v>
      </c>
      <c r="D410" t="s">
        <v>101</v>
      </c>
      <c r="E410" t="s">
        <v>15</v>
      </c>
      <c r="F410">
        <v>1</v>
      </c>
      <c r="G410">
        <v>27.06</v>
      </c>
      <c r="H410">
        <v>27.06</v>
      </c>
      <c r="I410" t="s">
        <v>35</v>
      </c>
      <c r="J410" t="s">
        <v>24</v>
      </c>
      <c r="K410" t="s">
        <v>553</v>
      </c>
    </row>
    <row r="411" spans="1:11" x14ac:dyDescent="0.25">
      <c r="A411" t="s">
        <v>1195</v>
      </c>
      <c r="B411" t="s">
        <v>1196</v>
      </c>
      <c r="C411" t="s">
        <v>498</v>
      </c>
      <c r="D411" t="s">
        <v>214</v>
      </c>
      <c r="E411" t="s">
        <v>185</v>
      </c>
      <c r="F411">
        <v>9</v>
      </c>
      <c r="G411">
        <v>46.06</v>
      </c>
      <c r="H411">
        <v>414.54</v>
      </c>
      <c r="I411" t="s">
        <v>30</v>
      </c>
      <c r="J411" t="s">
        <v>51</v>
      </c>
      <c r="K411" t="s">
        <v>1197</v>
      </c>
    </row>
    <row r="412" spans="1:11" x14ac:dyDescent="0.25">
      <c r="A412" t="s">
        <v>1198</v>
      </c>
      <c r="B412" t="s">
        <v>1199</v>
      </c>
      <c r="C412" t="s">
        <v>1200</v>
      </c>
      <c r="D412" t="s">
        <v>507</v>
      </c>
      <c r="E412" t="s">
        <v>15</v>
      </c>
      <c r="F412">
        <v>5</v>
      </c>
      <c r="I412" t="s">
        <v>35</v>
      </c>
      <c r="J412" t="s">
        <v>51</v>
      </c>
    </row>
    <row r="413" spans="1:11" x14ac:dyDescent="0.25">
      <c r="A413" t="s">
        <v>1201</v>
      </c>
      <c r="B413" t="s">
        <v>584</v>
      </c>
      <c r="C413" t="s">
        <v>1202</v>
      </c>
      <c r="D413" t="s">
        <v>22</v>
      </c>
      <c r="E413" t="s">
        <v>23</v>
      </c>
      <c r="F413">
        <v>1</v>
      </c>
      <c r="G413">
        <v>143.46</v>
      </c>
      <c r="H413">
        <v>143.46</v>
      </c>
      <c r="I413" t="s">
        <v>1203</v>
      </c>
      <c r="J413" t="s">
        <v>17</v>
      </c>
      <c r="K413" t="s">
        <v>585</v>
      </c>
    </row>
    <row r="414" spans="1:11" x14ac:dyDescent="0.25">
      <c r="A414" t="s">
        <v>1204</v>
      </c>
      <c r="B414" t="s">
        <v>1013</v>
      </c>
      <c r="C414" t="s">
        <v>168</v>
      </c>
      <c r="D414" t="s">
        <v>101</v>
      </c>
      <c r="E414" t="s">
        <v>15</v>
      </c>
      <c r="F414">
        <v>5</v>
      </c>
      <c r="G414">
        <v>23.9</v>
      </c>
      <c r="H414">
        <v>75.19</v>
      </c>
      <c r="I414" t="s">
        <v>16</v>
      </c>
      <c r="J414" t="s">
        <v>17</v>
      </c>
      <c r="K414" t="s">
        <v>1205</v>
      </c>
    </row>
    <row r="415" spans="1:11" x14ac:dyDescent="0.25">
      <c r="A415" t="s">
        <v>1206</v>
      </c>
      <c r="B415" t="s">
        <v>596</v>
      </c>
      <c r="C415" t="s">
        <v>1207</v>
      </c>
      <c r="D415" t="s">
        <v>59</v>
      </c>
      <c r="E415" t="s">
        <v>23</v>
      </c>
      <c r="F415">
        <v>2</v>
      </c>
      <c r="G415">
        <v>161.5</v>
      </c>
      <c r="H415">
        <v>323</v>
      </c>
      <c r="I415" t="s">
        <v>30</v>
      </c>
      <c r="J415" t="s">
        <v>69</v>
      </c>
      <c r="K415" t="s">
        <v>597</v>
      </c>
    </row>
    <row r="416" spans="1:11" x14ac:dyDescent="0.25">
      <c r="A416" t="s">
        <v>1208</v>
      </c>
      <c r="B416" t="s">
        <v>593</v>
      </c>
      <c r="C416" t="s">
        <v>1209</v>
      </c>
      <c r="D416" t="s">
        <v>101</v>
      </c>
      <c r="E416" t="s">
        <v>15</v>
      </c>
      <c r="F416">
        <v>-2</v>
      </c>
      <c r="G416">
        <v>26.75</v>
      </c>
      <c r="H416">
        <v>-53.5</v>
      </c>
      <c r="I416" t="s">
        <v>16</v>
      </c>
      <c r="J416" t="s">
        <v>24</v>
      </c>
      <c r="K416" t="s">
        <v>1210</v>
      </c>
    </row>
    <row r="417" spans="1:11" x14ac:dyDescent="0.25">
      <c r="A417" t="s">
        <v>1211</v>
      </c>
      <c r="B417" t="s">
        <v>1212</v>
      </c>
      <c r="C417" t="s">
        <v>1213</v>
      </c>
      <c r="D417" t="s">
        <v>41</v>
      </c>
      <c r="E417" t="s">
        <v>15</v>
      </c>
      <c r="F417">
        <v>8</v>
      </c>
      <c r="G417">
        <v>76.099999999999994</v>
      </c>
      <c r="H417">
        <v>608.79999999999995</v>
      </c>
      <c r="I417" t="s">
        <v>102</v>
      </c>
      <c r="J417" t="s">
        <v>55</v>
      </c>
      <c r="K417" t="s">
        <v>1214</v>
      </c>
    </row>
    <row r="418" spans="1:11" x14ac:dyDescent="0.25">
      <c r="A418" t="s">
        <v>302</v>
      </c>
      <c r="B418" t="s">
        <v>303</v>
      </c>
      <c r="C418" t="s">
        <v>304</v>
      </c>
      <c r="D418" t="s">
        <v>22</v>
      </c>
      <c r="E418" t="s">
        <v>23</v>
      </c>
      <c r="F418">
        <v>8</v>
      </c>
      <c r="G418">
        <v>159.09</v>
      </c>
      <c r="H418">
        <v>1272.72</v>
      </c>
      <c r="I418" t="s">
        <v>16</v>
      </c>
      <c r="K418" t="s">
        <v>305</v>
      </c>
    </row>
    <row r="419" spans="1:11" x14ac:dyDescent="0.25">
      <c r="A419" t="s">
        <v>1215</v>
      </c>
      <c r="B419" t="s">
        <v>167</v>
      </c>
      <c r="C419" t="s">
        <v>771</v>
      </c>
      <c r="D419" t="s">
        <v>946</v>
      </c>
      <c r="E419" t="s">
        <v>46</v>
      </c>
      <c r="F419">
        <v>3</v>
      </c>
      <c r="G419">
        <v>94.41</v>
      </c>
      <c r="H419">
        <v>283.23</v>
      </c>
      <c r="I419" t="s">
        <v>102</v>
      </c>
      <c r="J419" t="s">
        <v>17</v>
      </c>
      <c r="K419" t="s">
        <v>1216</v>
      </c>
    </row>
    <row r="420" spans="1:11" x14ac:dyDescent="0.25">
      <c r="A420" t="s">
        <v>1217</v>
      </c>
      <c r="B420" t="s">
        <v>256</v>
      </c>
      <c r="C420" t="s">
        <v>1218</v>
      </c>
      <c r="D420" t="s">
        <v>147</v>
      </c>
      <c r="E420" t="s">
        <v>64</v>
      </c>
      <c r="F420">
        <v>6</v>
      </c>
      <c r="G420">
        <v>272</v>
      </c>
      <c r="H420">
        <v>1632</v>
      </c>
      <c r="I420" t="s">
        <v>30</v>
      </c>
      <c r="J420" t="s">
        <v>17</v>
      </c>
      <c r="K420" t="s">
        <v>258</v>
      </c>
    </row>
    <row r="421" spans="1:11" x14ac:dyDescent="0.25">
      <c r="A421" t="s">
        <v>1219</v>
      </c>
      <c r="B421" t="s">
        <v>67</v>
      </c>
      <c r="D421" t="s">
        <v>78</v>
      </c>
      <c r="E421" t="s">
        <v>46</v>
      </c>
      <c r="F421">
        <v>4</v>
      </c>
      <c r="G421">
        <v>86.63</v>
      </c>
      <c r="H421">
        <v>346.52</v>
      </c>
      <c r="I421" t="s">
        <v>30</v>
      </c>
      <c r="J421" t="s">
        <v>51</v>
      </c>
      <c r="K421" t="s">
        <v>70</v>
      </c>
    </row>
    <row r="422" spans="1:11" x14ac:dyDescent="0.25">
      <c r="A422" t="s">
        <v>1220</v>
      </c>
      <c r="B422" t="s">
        <v>1221</v>
      </c>
      <c r="C422" t="s">
        <v>270</v>
      </c>
      <c r="D422" t="s">
        <v>147</v>
      </c>
      <c r="E422" t="s">
        <v>46</v>
      </c>
      <c r="F422">
        <v>5</v>
      </c>
      <c r="G422">
        <v>289.38</v>
      </c>
      <c r="H422">
        <v>1446.9</v>
      </c>
      <c r="I422" t="s">
        <v>35</v>
      </c>
      <c r="J422" t="s">
        <v>51</v>
      </c>
      <c r="K422" t="s">
        <v>1222</v>
      </c>
    </row>
    <row r="423" spans="1:11" x14ac:dyDescent="0.25">
      <c r="A423" t="s">
        <v>1223</v>
      </c>
      <c r="B423" t="s">
        <v>968</v>
      </c>
      <c r="C423" t="s">
        <v>1224</v>
      </c>
      <c r="D423" t="s">
        <v>331</v>
      </c>
      <c r="E423" t="s">
        <v>15</v>
      </c>
      <c r="F423">
        <v>2</v>
      </c>
      <c r="G423">
        <v>24.64</v>
      </c>
      <c r="H423">
        <v>49.28</v>
      </c>
      <c r="I423" t="s">
        <v>16</v>
      </c>
      <c r="J423" t="s">
        <v>164</v>
      </c>
      <c r="K423" t="s">
        <v>970</v>
      </c>
    </row>
    <row r="424" spans="1:11" x14ac:dyDescent="0.25">
      <c r="A424" t="s">
        <v>1225</v>
      </c>
      <c r="B424" t="s">
        <v>136</v>
      </c>
      <c r="C424" t="s">
        <v>1226</v>
      </c>
      <c r="D424" t="s">
        <v>101</v>
      </c>
      <c r="E424" t="s">
        <v>15</v>
      </c>
      <c r="F424">
        <v>7</v>
      </c>
      <c r="G424">
        <v>27.35</v>
      </c>
      <c r="H424">
        <v>191.45</v>
      </c>
      <c r="I424" t="s">
        <v>102</v>
      </c>
      <c r="J424" t="s">
        <v>55</v>
      </c>
      <c r="K424" t="s">
        <v>139</v>
      </c>
    </row>
    <row r="425" spans="1:11" x14ac:dyDescent="0.25">
      <c r="A425" t="s">
        <v>1227</v>
      </c>
      <c r="B425" t="s">
        <v>407</v>
      </c>
      <c r="C425" t="s">
        <v>1228</v>
      </c>
      <c r="D425" t="s">
        <v>29</v>
      </c>
      <c r="E425" t="s">
        <v>46</v>
      </c>
      <c r="F425">
        <v>1</v>
      </c>
      <c r="G425">
        <v>843.31</v>
      </c>
      <c r="H425">
        <v>843.31</v>
      </c>
      <c r="I425" t="s">
        <v>30</v>
      </c>
      <c r="J425" t="s">
        <v>51</v>
      </c>
      <c r="K425" t="s">
        <v>409</v>
      </c>
    </row>
    <row r="426" spans="1:11" x14ac:dyDescent="0.25">
      <c r="A426" t="s">
        <v>1229</v>
      </c>
      <c r="B426" t="s">
        <v>514</v>
      </c>
      <c r="C426" t="s">
        <v>1230</v>
      </c>
      <c r="D426" t="s">
        <v>147</v>
      </c>
      <c r="E426" t="s">
        <v>46</v>
      </c>
      <c r="F426">
        <v>7</v>
      </c>
      <c r="G426">
        <v>306.57</v>
      </c>
      <c r="H426">
        <v>2145.9899999999998</v>
      </c>
      <c r="I426" t="s">
        <v>35</v>
      </c>
      <c r="J426" t="s">
        <v>17</v>
      </c>
      <c r="K426" t="s">
        <v>515</v>
      </c>
    </row>
    <row r="427" spans="1:11" x14ac:dyDescent="0.25">
      <c r="A427" t="s">
        <v>1231</v>
      </c>
      <c r="B427" t="s">
        <v>225</v>
      </c>
      <c r="C427" t="s">
        <v>1232</v>
      </c>
      <c r="D427" t="s">
        <v>147</v>
      </c>
      <c r="E427" t="s">
        <v>46</v>
      </c>
      <c r="F427">
        <v>7</v>
      </c>
      <c r="G427">
        <v>275.3</v>
      </c>
      <c r="H427">
        <v>1927.1</v>
      </c>
      <c r="I427" t="s">
        <v>35</v>
      </c>
      <c r="J427" t="s">
        <v>55</v>
      </c>
      <c r="K427" t="s">
        <v>227</v>
      </c>
    </row>
    <row r="428" spans="1:11" x14ac:dyDescent="0.25">
      <c r="A428" t="s">
        <v>1233</v>
      </c>
      <c r="B428" t="s">
        <v>1234</v>
      </c>
      <c r="C428" t="s">
        <v>146</v>
      </c>
      <c r="D428" t="s">
        <v>22</v>
      </c>
      <c r="E428" t="s">
        <v>23</v>
      </c>
      <c r="F428">
        <v>1</v>
      </c>
      <c r="G428">
        <v>162.46</v>
      </c>
      <c r="H428">
        <v>162.46</v>
      </c>
      <c r="I428" t="s">
        <v>102</v>
      </c>
      <c r="J428" t="s">
        <v>126</v>
      </c>
      <c r="K428" t="s">
        <v>1235</v>
      </c>
    </row>
    <row r="429" spans="1:11" x14ac:dyDescent="0.25">
      <c r="A429" t="s">
        <v>1236</v>
      </c>
      <c r="B429" t="s">
        <v>446</v>
      </c>
      <c r="C429" t="s">
        <v>1237</v>
      </c>
      <c r="D429" t="s">
        <v>331</v>
      </c>
      <c r="E429" t="s">
        <v>15</v>
      </c>
      <c r="F429">
        <v>999</v>
      </c>
      <c r="G429">
        <v>28.03</v>
      </c>
      <c r="H429">
        <v>28001.97</v>
      </c>
      <c r="I429" t="s">
        <v>494</v>
      </c>
      <c r="J429" t="s">
        <v>392</v>
      </c>
      <c r="K429" t="s">
        <v>448</v>
      </c>
    </row>
    <row r="430" spans="1:11" x14ac:dyDescent="0.25">
      <c r="A430" t="s">
        <v>1238</v>
      </c>
      <c r="B430" t="s">
        <v>968</v>
      </c>
      <c r="C430" t="s">
        <v>1239</v>
      </c>
      <c r="D430" t="s">
        <v>22</v>
      </c>
      <c r="E430" t="s">
        <v>23</v>
      </c>
      <c r="F430">
        <v>7</v>
      </c>
      <c r="G430">
        <v>154.09</v>
      </c>
      <c r="H430">
        <v>1078.6300000000001</v>
      </c>
      <c r="I430" t="s">
        <v>16</v>
      </c>
      <c r="J430" t="s">
        <v>17</v>
      </c>
      <c r="K430" t="s">
        <v>970</v>
      </c>
    </row>
    <row r="431" spans="1:11" x14ac:dyDescent="0.25">
      <c r="A431" t="s">
        <v>1240</v>
      </c>
      <c r="B431" t="s">
        <v>683</v>
      </c>
      <c r="C431" t="s">
        <v>1241</v>
      </c>
      <c r="D431" t="s">
        <v>214</v>
      </c>
      <c r="E431" t="s">
        <v>185</v>
      </c>
      <c r="F431">
        <v>4</v>
      </c>
      <c r="G431">
        <v>46.2</v>
      </c>
      <c r="H431">
        <v>184.8</v>
      </c>
      <c r="I431" t="s">
        <v>30</v>
      </c>
      <c r="J431" t="s">
        <v>69</v>
      </c>
      <c r="K431" t="s">
        <v>684</v>
      </c>
    </row>
    <row r="432" spans="1:11" x14ac:dyDescent="0.25">
      <c r="A432" t="s">
        <v>1242</v>
      </c>
      <c r="B432" t="s">
        <v>105</v>
      </c>
      <c r="C432" t="s">
        <v>252</v>
      </c>
      <c r="D432" t="s">
        <v>271</v>
      </c>
      <c r="E432" t="s">
        <v>46</v>
      </c>
      <c r="F432">
        <v>999</v>
      </c>
      <c r="G432">
        <v>303.49</v>
      </c>
      <c r="H432">
        <v>303186.51</v>
      </c>
      <c r="I432" t="s">
        <v>30</v>
      </c>
      <c r="J432" t="s">
        <v>17</v>
      </c>
      <c r="K432" t="s">
        <v>107</v>
      </c>
    </row>
    <row r="433" spans="1:11" x14ac:dyDescent="0.25">
      <c r="A433" t="s">
        <v>1243</v>
      </c>
      <c r="B433" t="s">
        <v>1244</v>
      </c>
      <c r="C433" t="s">
        <v>218</v>
      </c>
      <c r="D433" t="s">
        <v>29</v>
      </c>
      <c r="E433" t="s">
        <v>46</v>
      </c>
      <c r="F433">
        <v>-4</v>
      </c>
      <c r="G433">
        <v>834.25</v>
      </c>
      <c r="H433">
        <v>-3337</v>
      </c>
      <c r="I433" t="s">
        <v>16</v>
      </c>
      <c r="J433" t="s">
        <v>69</v>
      </c>
      <c r="K433" t="s">
        <v>1245</v>
      </c>
    </row>
    <row r="434" spans="1:11" x14ac:dyDescent="0.25">
      <c r="A434" t="s">
        <v>1246</v>
      </c>
      <c r="C434" t="s">
        <v>981</v>
      </c>
      <c r="D434" t="s">
        <v>87</v>
      </c>
      <c r="E434" t="s">
        <v>15</v>
      </c>
      <c r="F434">
        <v>9</v>
      </c>
      <c r="G434">
        <v>53.07</v>
      </c>
      <c r="H434">
        <v>477.63</v>
      </c>
      <c r="I434" t="s">
        <v>35</v>
      </c>
      <c r="J434" t="s">
        <v>195</v>
      </c>
    </row>
    <row r="435" spans="1:11" x14ac:dyDescent="0.25">
      <c r="A435" t="s">
        <v>1247</v>
      </c>
      <c r="B435" t="s">
        <v>99</v>
      </c>
      <c r="C435" t="s">
        <v>1209</v>
      </c>
      <c r="D435" t="s">
        <v>22</v>
      </c>
      <c r="E435" t="s">
        <v>23</v>
      </c>
      <c r="F435">
        <v>8</v>
      </c>
      <c r="J435" t="s">
        <v>17</v>
      </c>
      <c r="K435" t="s">
        <v>103</v>
      </c>
    </row>
    <row r="436" spans="1:11" x14ac:dyDescent="0.25">
      <c r="A436" t="s">
        <v>1248</v>
      </c>
      <c r="B436" t="s">
        <v>1163</v>
      </c>
      <c r="C436" t="s">
        <v>1249</v>
      </c>
      <c r="D436" t="s">
        <v>22</v>
      </c>
      <c r="E436" t="s">
        <v>23</v>
      </c>
      <c r="F436">
        <v>-1</v>
      </c>
      <c r="G436">
        <v>164.51</v>
      </c>
      <c r="H436">
        <v>-164.51</v>
      </c>
      <c r="I436" t="s">
        <v>30</v>
      </c>
      <c r="J436" t="s">
        <v>51</v>
      </c>
      <c r="K436" t="s">
        <v>1164</v>
      </c>
    </row>
    <row r="437" spans="1:11" x14ac:dyDescent="0.25">
      <c r="A437" t="s">
        <v>1250</v>
      </c>
      <c r="B437" t="s">
        <v>307</v>
      </c>
      <c r="C437" t="s">
        <v>316</v>
      </c>
      <c r="D437" t="s">
        <v>41</v>
      </c>
      <c r="E437" t="s">
        <v>15</v>
      </c>
      <c r="F437">
        <v>9</v>
      </c>
      <c r="G437">
        <v>73.680000000000007</v>
      </c>
      <c r="H437">
        <v>663.12</v>
      </c>
      <c r="I437" t="s">
        <v>30</v>
      </c>
      <c r="J437" t="s">
        <v>1251</v>
      </c>
    </row>
    <row r="438" spans="1:11" x14ac:dyDescent="0.25">
      <c r="A438" t="s">
        <v>1252</v>
      </c>
      <c r="B438" t="s">
        <v>651</v>
      </c>
      <c r="C438" t="s">
        <v>1253</v>
      </c>
      <c r="D438" t="s">
        <v>78</v>
      </c>
      <c r="E438" t="s">
        <v>46</v>
      </c>
      <c r="F438">
        <v>1</v>
      </c>
      <c r="G438">
        <v>94.61</v>
      </c>
      <c r="H438">
        <v>94.61</v>
      </c>
      <c r="I438" t="s">
        <v>35</v>
      </c>
      <c r="J438" t="s">
        <v>55</v>
      </c>
      <c r="K438" t="s">
        <v>653</v>
      </c>
    </row>
    <row r="439" spans="1:11" x14ac:dyDescent="0.25">
      <c r="A439" t="s">
        <v>1254</v>
      </c>
      <c r="B439" t="s">
        <v>178</v>
      </c>
      <c r="C439" t="s">
        <v>401</v>
      </c>
      <c r="D439" t="s">
        <v>78</v>
      </c>
      <c r="E439" t="s">
        <v>46</v>
      </c>
      <c r="F439">
        <v>6</v>
      </c>
      <c r="G439">
        <v>87.71</v>
      </c>
      <c r="H439">
        <v>650.20000000000005</v>
      </c>
      <c r="I439" t="s">
        <v>35</v>
      </c>
      <c r="J439" t="s">
        <v>17</v>
      </c>
      <c r="K439" t="s">
        <v>180</v>
      </c>
    </row>
    <row r="440" spans="1:11" x14ac:dyDescent="0.25">
      <c r="A440" t="s">
        <v>1255</v>
      </c>
      <c r="B440" t="s">
        <v>1256</v>
      </c>
      <c r="C440" t="s">
        <v>760</v>
      </c>
      <c r="D440" t="s">
        <v>147</v>
      </c>
      <c r="E440" t="s">
        <v>64</v>
      </c>
      <c r="F440">
        <v>5</v>
      </c>
      <c r="G440">
        <v>278.01</v>
      </c>
      <c r="H440">
        <v>1390.05</v>
      </c>
      <c r="I440" t="s">
        <v>35</v>
      </c>
      <c r="J440" t="s">
        <v>17</v>
      </c>
      <c r="K440" t="s">
        <v>1257</v>
      </c>
    </row>
    <row r="441" spans="1:11" x14ac:dyDescent="0.25">
      <c r="A441" t="s">
        <v>1258</v>
      </c>
      <c r="B441" t="s">
        <v>99</v>
      </c>
      <c r="C441" t="s">
        <v>82</v>
      </c>
      <c r="D441" t="s">
        <v>78</v>
      </c>
      <c r="E441" t="s">
        <v>46</v>
      </c>
      <c r="F441">
        <v>4</v>
      </c>
      <c r="G441">
        <v>85.12</v>
      </c>
      <c r="H441">
        <v>340.48</v>
      </c>
      <c r="I441" t="s">
        <v>494</v>
      </c>
      <c r="J441" t="s">
        <v>69</v>
      </c>
      <c r="K441" t="s">
        <v>103</v>
      </c>
    </row>
    <row r="442" spans="1:11" x14ac:dyDescent="0.25">
      <c r="A442" t="s">
        <v>1259</v>
      </c>
      <c r="B442" t="s">
        <v>1234</v>
      </c>
      <c r="C442" t="s">
        <v>1260</v>
      </c>
      <c r="D442" t="s">
        <v>101</v>
      </c>
      <c r="E442" t="s">
        <v>15</v>
      </c>
      <c r="F442">
        <v>7</v>
      </c>
      <c r="G442">
        <v>25.91</v>
      </c>
      <c r="H442">
        <v>181.37</v>
      </c>
      <c r="I442" t="s">
        <v>16</v>
      </c>
      <c r="K442" t="s">
        <v>1235</v>
      </c>
    </row>
    <row r="443" spans="1:11" x14ac:dyDescent="0.25">
      <c r="A443" t="s">
        <v>1261</v>
      </c>
      <c r="B443" t="s">
        <v>535</v>
      </c>
      <c r="C443" t="s">
        <v>984</v>
      </c>
      <c r="D443" t="s">
        <v>101</v>
      </c>
      <c r="F443">
        <v>8</v>
      </c>
      <c r="G443">
        <v>27.94</v>
      </c>
      <c r="H443">
        <v>223.52</v>
      </c>
      <c r="J443" t="s">
        <v>69</v>
      </c>
      <c r="K443" t="s">
        <v>537</v>
      </c>
    </row>
    <row r="444" spans="1:11" x14ac:dyDescent="0.25">
      <c r="A444" t="s">
        <v>1262</v>
      </c>
      <c r="B444" t="s">
        <v>440</v>
      </c>
      <c r="C444" t="s">
        <v>1263</v>
      </c>
      <c r="D444" t="s">
        <v>147</v>
      </c>
      <c r="E444" t="s">
        <v>46</v>
      </c>
      <c r="F444">
        <v>4</v>
      </c>
      <c r="I444" t="s">
        <v>16</v>
      </c>
      <c r="J444" t="s">
        <v>17</v>
      </c>
      <c r="K444" t="s">
        <v>442</v>
      </c>
    </row>
    <row r="445" spans="1:11" x14ac:dyDescent="0.25">
      <c r="A445" t="s">
        <v>1264</v>
      </c>
      <c r="B445" t="s">
        <v>601</v>
      </c>
      <c r="C445" t="s">
        <v>308</v>
      </c>
      <c r="D445" t="s">
        <v>87</v>
      </c>
      <c r="E445" t="s">
        <v>15</v>
      </c>
      <c r="F445">
        <v>1</v>
      </c>
      <c r="G445">
        <v>50.85</v>
      </c>
      <c r="H445">
        <v>50.85</v>
      </c>
      <c r="I445" t="s">
        <v>16</v>
      </c>
      <c r="J445" t="s">
        <v>51</v>
      </c>
      <c r="K445" t="s">
        <v>603</v>
      </c>
    </row>
    <row r="446" spans="1:11" x14ac:dyDescent="0.25">
      <c r="A446" t="s">
        <v>1265</v>
      </c>
      <c r="B446" t="s">
        <v>1221</v>
      </c>
      <c r="C446" t="s">
        <v>209</v>
      </c>
      <c r="D446" t="s">
        <v>29</v>
      </c>
      <c r="E446" t="s">
        <v>46</v>
      </c>
      <c r="F446">
        <v>8</v>
      </c>
      <c r="G446">
        <v>988.01</v>
      </c>
      <c r="H446">
        <v>7904.08</v>
      </c>
      <c r="I446" t="s">
        <v>30</v>
      </c>
      <c r="J446" t="s">
        <v>17</v>
      </c>
      <c r="K446" t="s">
        <v>1222</v>
      </c>
    </row>
    <row r="447" spans="1:11" x14ac:dyDescent="0.25">
      <c r="A447" t="s">
        <v>1266</v>
      </c>
      <c r="B447" t="s">
        <v>95</v>
      </c>
      <c r="C447" t="s">
        <v>63</v>
      </c>
      <c r="D447" t="s">
        <v>147</v>
      </c>
      <c r="E447" t="s">
        <v>46</v>
      </c>
      <c r="F447">
        <v>6</v>
      </c>
      <c r="I447" t="s">
        <v>35</v>
      </c>
      <c r="J447" t="s">
        <v>51</v>
      </c>
      <c r="K447" t="s">
        <v>97</v>
      </c>
    </row>
    <row r="448" spans="1:11" x14ac:dyDescent="0.25">
      <c r="A448" t="s">
        <v>1267</v>
      </c>
      <c r="B448" t="s">
        <v>1056</v>
      </c>
      <c r="C448" t="s">
        <v>1263</v>
      </c>
      <c r="D448" t="s">
        <v>78</v>
      </c>
      <c r="E448" t="s">
        <v>46</v>
      </c>
      <c r="F448">
        <v>1</v>
      </c>
      <c r="G448">
        <v>88.26</v>
      </c>
      <c r="H448">
        <v>96.35</v>
      </c>
      <c r="I448" t="s">
        <v>102</v>
      </c>
      <c r="J448" t="s">
        <v>24</v>
      </c>
      <c r="K448" t="s">
        <v>1058</v>
      </c>
    </row>
    <row r="449" spans="1:11" x14ac:dyDescent="0.25">
      <c r="A449" t="s">
        <v>1268</v>
      </c>
      <c r="B449" t="s">
        <v>12</v>
      </c>
      <c r="C449" t="s">
        <v>810</v>
      </c>
      <c r="D449" t="s">
        <v>41</v>
      </c>
      <c r="E449" t="s">
        <v>15</v>
      </c>
      <c r="F449">
        <v>5</v>
      </c>
      <c r="G449">
        <v>75.67</v>
      </c>
      <c r="H449">
        <v>378.35</v>
      </c>
      <c r="I449" t="s">
        <v>30</v>
      </c>
      <c r="J449" t="s">
        <v>55</v>
      </c>
      <c r="K449" t="s">
        <v>18</v>
      </c>
    </row>
    <row r="450" spans="1:11" x14ac:dyDescent="0.25">
      <c r="A450" t="s">
        <v>1269</v>
      </c>
      <c r="B450" t="s">
        <v>857</v>
      </c>
      <c r="C450" t="s">
        <v>1270</v>
      </c>
      <c r="D450" t="s">
        <v>29</v>
      </c>
      <c r="E450" t="s">
        <v>46</v>
      </c>
      <c r="F450">
        <v>5</v>
      </c>
      <c r="G450">
        <v>918.95</v>
      </c>
      <c r="H450">
        <v>2465.1799999999998</v>
      </c>
      <c r="I450" t="s">
        <v>30</v>
      </c>
      <c r="J450" t="s">
        <v>55</v>
      </c>
      <c r="K450" t="s">
        <v>1271</v>
      </c>
    </row>
    <row r="451" spans="1:11" x14ac:dyDescent="0.25">
      <c r="A451" t="s">
        <v>1272</v>
      </c>
      <c r="B451" t="s">
        <v>136</v>
      </c>
      <c r="C451" t="s">
        <v>34</v>
      </c>
      <c r="D451" t="s">
        <v>87</v>
      </c>
      <c r="E451" t="s">
        <v>15</v>
      </c>
      <c r="F451">
        <v>0</v>
      </c>
      <c r="G451">
        <v>52.97</v>
      </c>
      <c r="H451">
        <v>0</v>
      </c>
      <c r="I451" t="s">
        <v>102</v>
      </c>
      <c r="J451" t="s">
        <v>24</v>
      </c>
      <c r="K451" t="s">
        <v>1273</v>
      </c>
    </row>
    <row r="452" spans="1:11" x14ac:dyDescent="0.25">
      <c r="A452" t="s">
        <v>1274</v>
      </c>
      <c r="B452" t="s">
        <v>278</v>
      </c>
      <c r="C452" t="s">
        <v>1275</v>
      </c>
      <c r="D452" t="s">
        <v>29</v>
      </c>
      <c r="E452" t="s">
        <v>46</v>
      </c>
      <c r="F452">
        <v>8</v>
      </c>
      <c r="G452">
        <v>903.45</v>
      </c>
      <c r="H452">
        <v>7227.6</v>
      </c>
      <c r="I452" t="s">
        <v>16</v>
      </c>
      <c r="J452" t="s">
        <v>164</v>
      </c>
      <c r="K452" t="s">
        <v>280</v>
      </c>
    </row>
    <row r="453" spans="1:11" x14ac:dyDescent="0.25">
      <c r="A453" t="s">
        <v>1276</v>
      </c>
      <c r="C453" t="s">
        <v>1065</v>
      </c>
      <c r="D453" t="s">
        <v>184</v>
      </c>
      <c r="E453" t="s">
        <v>185</v>
      </c>
      <c r="F453">
        <v>6</v>
      </c>
      <c r="G453">
        <v>47.72</v>
      </c>
      <c r="H453">
        <v>286.32</v>
      </c>
      <c r="I453" t="s">
        <v>102</v>
      </c>
      <c r="J453" t="s">
        <v>17</v>
      </c>
    </row>
    <row r="454" spans="1:11" x14ac:dyDescent="0.25">
      <c r="A454" t="s">
        <v>1277</v>
      </c>
      <c r="B454" t="s">
        <v>1081</v>
      </c>
      <c r="C454" t="s">
        <v>1278</v>
      </c>
      <c r="D454" t="s">
        <v>22</v>
      </c>
      <c r="E454" t="s">
        <v>23</v>
      </c>
      <c r="F454">
        <v>999</v>
      </c>
      <c r="G454">
        <v>153.32</v>
      </c>
      <c r="H454">
        <v>153166.68</v>
      </c>
      <c r="I454" t="s">
        <v>35</v>
      </c>
      <c r="J454" t="s">
        <v>69</v>
      </c>
      <c r="K454" t="s">
        <v>1083</v>
      </c>
    </row>
    <row r="455" spans="1:11" x14ac:dyDescent="0.25">
      <c r="A455" t="s">
        <v>1279</v>
      </c>
      <c r="B455" t="s">
        <v>1280</v>
      </c>
      <c r="C455" t="s">
        <v>1129</v>
      </c>
      <c r="D455" t="s">
        <v>101</v>
      </c>
      <c r="E455" t="s">
        <v>15</v>
      </c>
      <c r="F455">
        <v>2</v>
      </c>
      <c r="G455">
        <v>26.78</v>
      </c>
      <c r="H455">
        <v>53.56</v>
      </c>
      <c r="I455" t="s">
        <v>16</v>
      </c>
      <c r="J455" t="s">
        <v>17</v>
      </c>
      <c r="K455" t="s">
        <v>1281</v>
      </c>
    </row>
    <row r="456" spans="1:11" x14ac:dyDescent="0.25">
      <c r="A456" t="s">
        <v>1282</v>
      </c>
      <c r="B456" t="s">
        <v>1050</v>
      </c>
      <c r="C456" t="s">
        <v>718</v>
      </c>
      <c r="D456" t="s">
        <v>214</v>
      </c>
      <c r="E456" t="s">
        <v>185</v>
      </c>
      <c r="F456">
        <v>8</v>
      </c>
      <c r="G456">
        <v>46</v>
      </c>
      <c r="H456">
        <v>368</v>
      </c>
      <c r="I456" t="s">
        <v>35</v>
      </c>
      <c r="J456" t="s">
        <v>24</v>
      </c>
      <c r="K456" t="s">
        <v>1283</v>
      </c>
    </row>
    <row r="457" spans="1:11" x14ac:dyDescent="0.25">
      <c r="A457" t="s">
        <v>1284</v>
      </c>
      <c r="B457" t="s">
        <v>1285</v>
      </c>
      <c r="C457" t="s">
        <v>1286</v>
      </c>
      <c r="D457" t="s">
        <v>22</v>
      </c>
      <c r="E457" t="s">
        <v>23</v>
      </c>
      <c r="F457">
        <v>3</v>
      </c>
      <c r="G457">
        <v>146.47</v>
      </c>
      <c r="H457">
        <v>439.41</v>
      </c>
      <c r="I457" t="s">
        <v>35</v>
      </c>
      <c r="J457" t="s">
        <v>83</v>
      </c>
      <c r="K457" t="s">
        <v>1287</v>
      </c>
    </row>
    <row r="458" spans="1:11" x14ac:dyDescent="0.25">
      <c r="A458" t="s">
        <v>1288</v>
      </c>
      <c r="B458" t="s">
        <v>136</v>
      </c>
      <c r="C458" t="s">
        <v>1289</v>
      </c>
      <c r="D458" t="s">
        <v>147</v>
      </c>
      <c r="E458" t="s">
        <v>46</v>
      </c>
      <c r="F458">
        <v>7</v>
      </c>
      <c r="G458">
        <v>319.77</v>
      </c>
      <c r="H458">
        <v>2238.39</v>
      </c>
      <c r="I458" t="s">
        <v>102</v>
      </c>
      <c r="J458" t="s">
        <v>17</v>
      </c>
      <c r="K458" t="s">
        <v>139</v>
      </c>
    </row>
    <row r="459" spans="1:11" x14ac:dyDescent="0.25">
      <c r="A459" t="s">
        <v>1290</v>
      </c>
      <c r="B459" t="s">
        <v>1280</v>
      </c>
      <c r="C459" t="s">
        <v>1291</v>
      </c>
      <c r="D459" t="s">
        <v>147</v>
      </c>
      <c r="E459" t="s">
        <v>46</v>
      </c>
      <c r="F459">
        <v>3</v>
      </c>
      <c r="G459">
        <v>300</v>
      </c>
      <c r="H459">
        <v>900</v>
      </c>
      <c r="I459" t="s">
        <v>102</v>
      </c>
      <c r="J459" t="s">
        <v>55</v>
      </c>
      <c r="K459" t="s">
        <v>1281</v>
      </c>
    </row>
    <row r="460" spans="1:11" x14ac:dyDescent="0.25">
      <c r="A460" t="s">
        <v>192</v>
      </c>
      <c r="B460" t="s">
        <v>193</v>
      </c>
      <c r="C460" t="s">
        <v>194</v>
      </c>
      <c r="D460" t="s">
        <v>29</v>
      </c>
      <c r="E460" t="s">
        <v>46</v>
      </c>
      <c r="F460">
        <v>0</v>
      </c>
      <c r="G460">
        <v>930.87</v>
      </c>
      <c r="H460">
        <v>0</v>
      </c>
      <c r="I460" t="s">
        <v>30</v>
      </c>
      <c r="J460" t="s">
        <v>195</v>
      </c>
      <c r="K460" t="s">
        <v>196</v>
      </c>
    </row>
    <row r="461" spans="1:11" x14ac:dyDescent="0.25">
      <c r="A461" t="s">
        <v>1292</v>
      </c>
      <c r="B461" t="s">
        <v>460</v>
      </c>
      <c r="C461" t="s">
        <v>1293</v>
      </c>
      <c r="D461" t="s">
        <v>147</v>
      </c>
      <c r="E461" t="s">
        <v>46</v>
      </c>
      <c r="F461">
        <v>4</v>
      </c>
      <c r="G461">
        <v>288.39999999999998</v>
      </c>
      <c r="H461">
        <v>1153.5999999999999</v>
      </c>
      <c r="I461" t="s">
        <v>102</v>
      </c>
      <c r="J461" t="s">
        <v>51</v>
      </c>
      <c r="K461" t="s">
        <v>462</v>
      </c>
    </row>
    <row r="462" spans="1:11" x14ac:dyDescent="0.25">
      <c r="A462" t="s">
        <v>1294</v>
      </c>
      <c r="B462" t="s">
        <v>260</v>
      </c>
      <c r="C462" t="s">
        <v>867</v>
      </c>
      <c r="D462" t="s">
        <v>22</v>
      </c>
      <c r="E462" t="s">
        <v>23</v>
      </c>
      <c r="F462">
        <v>5</v>
      </c>
      <c r="G462">
        <v>147.86000000000001</v>
      </c>
      <c r="H462">
        <v>739.3</v>
      </c>
      <c r="I462" t="s">
        <v>30</v>
      </c>
      <c r="K462" t="s">
        <v>263</v>
      </c>
    </row>
    <row r="463" spans="1:11" x14ac:dyDescent="0.25">
      <c r="A463" t="s">
        <v>1295</v>
      </c>
      <c r="B463" t="s">
        <v>1189</v>
      </c>
      <c r="C463" t="s">
        <v>1278</v>
      </c>
      <c r="D463" t="s">
        <v>14</v>
      </c>
      <c r="E463" t="s">
        <v>15</v>
      </c>
      <c r="F463">
        <v>7</v>
      </c>
      <c r="G463">
        <v>49.67</v>
      </c>
      <c r="H463">
        <v>347.69</v>
      </c>
      <c r="J463" t="s">
        <v>51</v>
      </c>
      <c r="K463" t="s">
        <v>1296</v>
      </c>
    </row>
    <row r="464" spans="1:11" x14ac:dyDescent="0.25">
      <c r="A464" t="s">
        <v>1297</v>
      </c>
      <c r="B464" t="s">
        <v>72</v>
      </c>
      <c r="C464" t="s">
        <v>942</v>
      </c>
      <c r="D464" t="s">
        <v>41</v>
      </c>
      <c r="E464" t="s">
        <v>15</v>
      </c>
      <c r="F464">
        <v>6</v>
      </c>
      <c r="G464">
        <v>78.430000000000007</v>
      </c>
      <c r="H464">
        <v>494.65</v>
      </c>
      <c r="I464" t="s">
        <v>541</v>
      </c>
      <c r="J464" t="s">
        <v>24</v>
      </c>
      <c r="K464" t="s">
        <v>74</v>
      </c>
    </row>
    <row r="465" spans="1:11" x14ac:dyDescent="0.25">
      <c r="A465" t="s">
        <v>1298</v>
      </c>
      <c r="B465" t="s">
        <v>1176</v>
      </c>
      <c r="C465" t="s">
        <v>1299</v>
      </c>
      <c r="D465" t="s">
        <v>101</v>
      </c>
      <c r="E465" t="s">
        <v>15</v>
      </c>
      <c r="F465">
        <v>5</v>
      </c>
      <c r="G465">
        <v>25.96</v>
      </c>
      <c r="H465">
        <v>129.80000000000001</v>
      </c>
      <c r="I465" t="s">
        <v>30</v>
      </c>
      <c r="J465" t="s">
        <v>24</v>
      </c>
      <c r="K465" t="s">
        <v>1177</v>
      </c>
    </row>
    <row r="466" spans="1:11" x14ac:dyDescent="0.25">
      <c r="A466" t="s">
        <v>1300</v>
      </c>
      <c r="B466" t="s">
        <v>505</v>
      </c>
      <c r="C466" t="s">
        <v>1301</v>
      </c>
      <c r="D466" t="s">
        <v>41</v>
      </c>
      <c r="E466" t="s">
        <v>92</v>
      </c>
      <c r="F466">
        <v>6</v>
      </c>
      <c r="G466">
        <v>72.150000000000006</v>
      </c>
      <c r="H466">
        <v>432.9</v>
      </c>
      <c r="I466" t="s">
        <v>16</v>
      </c>
      <c r="J466" t="s">
        <v>126</v>
      </c>
      <c r="K466" t="s">
        <v>508</v>
      </c>
    </row>
    <row r="467" spans="1:11" x14ac:dyDescent="0.25">
      <c r="A467" t="s">
        <v>1302</v>
      </c>
      <c r="B467" t="s">
        <v>803</v>
      </c>
      <c r="C467" t="s">
        <v>337</v>
      </c>
      <c r="D467" t="s">
        <v>22</v>
      </c>
      <c r="E467" t="s">
        <v>23</v>
      </c>
      <c r="F467">
        <v>4</v>
      </c>
      <c r="G467">
        <v>137.38</v>
      </c>
      <c r="H467">
        <v>549.52</v>
      </c>
      <c r="I467" t="s">
        <v>16</v>
      </c>
      <c r="J467" t="s">
        <v>24</v>
      </c>
      <c r="K467" t="s">
        <v>805</v>
      </c>
    </row>
    <row r="468" spans="1:11" x14ac:dyDescent="0.25">
      <c r="A468" t="s">
        <v>1303</v>
      </c>
      <c r="B468" t="s">
        <v>1304</v>
      </c>
      <c r="D468" t="s">
        <v>616</v>
      </c>
      <c r="E468" t="s">
        <v>23</v>
      </c>
      <c r="F468">
        <v>8</v>
      </c>
      <c r="G468">
        <v>135.54</v>
      </c>
      <c r="H468">
        <v>1084.32</v>
      </c>
      <c r="I468" t="s">
        <v>16</v>
      </c>
      <c r="J468" t="s">
        <v>51</v>
      </c>
      <c r="K468" t="s">
        <v>1305</v>
      </c>
    </row>
    <row r="469" spans="1:11" x14ac:dyDescent="0.25">
      <c r="A469" t="s">
        <v>1306</v>
      </c>
      <c r="B469" t="s">
        <v>1101</v>
      </c>
      <c r="C469" t="s">
        <v>1307</v>
      </c>
      <c r="D469" t="s">
        <v>91</v>
      </c>
      <c r="E469" t="s">
        <v>15</v>
      </c>
      <c r="F469">
        <v>5</v>
      </c>
      <c r="G469">
        <v>85.61</v>
      </c>
      <c r="H469">
        <v>428.05</v>
      </c>
      <c r="I469" t="s">
        <v>16</v>
      </c>
      <c r="J469" t="s">
        <v>17</v>
      </c>
      <c r="K469" t="s">
        <v>1103</v>
      </c>
    </row>
    <row r="470" spans="1:11" x14ac:dyDescent="0.25">
      <c r="A470" t="s">
        <v>1308</v>
      </c>
      <c r="B470" t="s">
        <v>1309</v>
      </c>
      <c r="C470" t="s">
        <v>1017</v>
      </c>
      <c r="D470" t="s">
        <v>214</v>
      </c>
      <c r="E470" t="s">
        <v>185</v>
      </c>
      <c r="F470">
        <v>8</v>
      </c>
      <c r="G470">
        <v>45.62</v>
      </c>
      <c r="H470">
        <v>391.92</v>
      </c>
      <c r="I470" t="s">
        <v>35</v>
      </c>
      <c r="J470" t="s">
        <v>126</v>
      </c>
      <c r="K470" t="s">
        <v>1310</v>
      </c>
    </row>
    <row r="471" spans="1:11" x14ac:dyDescent="0.25">
      <c r="A471" t="s">
        <v>1311</v>
      </c>
      <c r="B471" t="s">
        <v>1053</v>
      </c>
      <c r="C471" t="s">
        <v>1312</v>
      </c>
      <c r="D471" t="s">
        <v>29</v>
      </c>
      <c r="E471" t="s">
        <v>64</v>
      </c>
      <c r="F471">
        <v>9</v>
      </c>
      <c r="G471">
        <v>823.09</v>
      </c>
      <c r="H471">
        <v>6784.94</v>
      </c>
      <c r="I471" t="s">
        <v>30</v>
      </c>
      <c r="J471" t="s">
        <v>55</v>
      </c>
      <c r="K471" t="s">
        <v>1054</v>
      </c>
    </row>
    <row r="472" spans="1:11" x14ac:dyDescent="0.25">
      <c r="A472" t="s">
        <v>1313</v>
      </c>
      <c r="B472" t="s">
        <v>323</v>
      </c>
      <c r="C472" t="s">
        <v>1314</v>
      </c>
      <c r="D472" t="s">
        <v>41</v>
      </c>
      <c r="E472" t="s">
        <v>15</v>
      </c>
      <c r="F472">
        <v>5</v>
      </c>
      <c r="G472">
        <v>87.25</v>
      </c>
      <c r="H472">
        <v>226.1</v>
      </c>
      <c r="I472" t="s">
        <v>30</v>
      </c>
      <c r="J472" t="s">
        <v>24</v>
      </c>
      <c r="K472" t="s">
        <v>325</v>
      </c>
    </row>
    <row r="473" spans="1:11" x14ac:dyDescent="0.25">
      <c r="A473" t="s">
        <v>881</v>
      </c>
      <c r="B473" t="s">
        <v>133</v>
      </c>
      <c r="C473" t="s">
        <v>882</v>
      </c>
      <c r="D473" t="s">
        <v>59</v>
      </c>
      <c r="E473" t="s">
        <v>23</v>
      </c>
      <c r="F473">
        <v>5</v>
      </c>
      <c r="G473">
        <v>150.15</v>
      </c>
      <c r="H473">
        <v>750.75</v>
      </c>
      <c r="I473" t="s">
        <v>30</v>
      </c>
      <c r="J473" t="s">
        <v>24</v>
      </c>
      <c r="K473" t="s">
        <v>340</v>
      </c>
    </row>
    <row r="474" spans="1:11" x14ac:dyDescent="0.25">
      <c r="A474" t="s">
        <v>1315</v>
      </c>
      <c r="B474" t="s">
        <v>256</v>
      </c>
      <c r="C474" t="s">
        <v>238</v>
      </c>
      <c r="D474" t="s">
        <v>87</v>
      </c>
      <c r="E474" t="s">
        <v>15</v>
      </c>
      <c r="F474">
        <v>1</v>
      </c>
      <c r="G474">
        <v>-49.99</v>
      </c>
      <c r="H474">
        <v>-49.99</v>
      </c>
      <c r="I474" t="s">
        <v>16</v>
      </c>
      <c r="J474" t="s">
        <v>55</v>
      </c>
      <c r="K474" t="s">
        <v>258</v>
      </c>
    </row>
    <row r="475" spans="1:11" x14ac:dyDescent="0.25">
      <c r="A475" t="s">
        <v>1316</v>
      </c>
      <c r="B475" t="s">
        <v>158</v>
      </c>
      <c r="C475" t="s">
        <v>1048</v>
      </c>
      <c r="D475" t="s">
        <v>41</v>
      </c>
      <c r="E475" t="s">
        <v>15</v>
      </c>
      <c r="F475">
        <v>6</v>
      </c>
      <c r="G475">
        <v>72.02</v>
      </c>
      <c r="H475">
        <v>432.12</v>
      </c>
      <c r="I475" t="s">
        <v>35</v>
      </c>
      <c r="J475" t="s">
        <v>24</v>
      </c>
      <c r="K475" t="s">
        <v>160</v>
      </c>
    </row>
    <row r="476" spans="1:11" x14ac:dyDescent="0.25">
      <c r="A476" t="s">
        <v>1317</v>
      </c>
      <c r="B476" t="s">
        <v>1318</v>
      </c>
      <c r="C476" t="s">
        <v>1218</v>
      </c>
      <c r="D476" t="s">
        <v>29</v>
      </c>
      <c r="E476" t="s">
        <v>46</v>
      </c>
      <c r="F476">
        <v>6</v>
      </c>
      <c r="G476">
        <v>914.34</v>
      </c>
      <c r="H476">
        <v>5486.04</v>
      </c>
      <c r="I476" t="s">
        <v>35</v>
      </c>
      <c r="J476" t="s">
        <v>17</v>
      </c>
      <c r="K476" t="s">
        <v>1319</v>
      </c>
    </row>
    <row r="477" spans="1:11" x14ac:dyDescent="0.25">
      <c r="A477" t="s">
        <v>1320</v>
      </c>
      <c r="B477" t="s">
        <v>857</v>
      </c>
      <c r="C477" t="s">
        <v>1321</v>
      </c>
      <c r="D477" t="s">
        <v>87</v>
      </c>
      <c r="E477" t="s">
        <v>15</v>
      </c>
      <c r="F477">
        <v>999</v>
      </c>
      <c r="G477">
        <v>47.36</v>
      </c>
      <c r="H477">
        <v>47312.639999999999</v>
      </c>
      <c r="I477" t="s">
        <v>16</v>
      </c>
      <c r="J477" t="s">
        <v>69</v>
      </c>
      <c r="K477" t="s">
        <v>1271</v>
      </c>
    </row>
    <row r="478" spans="1:11" x14ac:dyDescent="0.25">
      <c r="A478" t="s">
        <v>1322</v>
      </c>
      <c r="B478" t="s">
        <v>1163</v>
      </c>
      <c r="C478" t="s">
        <v>1323</v>
      </c>
      <c r="D478" t="s">
        <v>1324</v>
      </c>
      <c r="E478" t="s">
        <v>15</v>
      </c>
      <c r="F478">
        <v>4</v>
      </c>
      <c r="G478">
        <v>50.52</v>
      </c>
      <c r="H478">
        <v>202.08</v>
      </c>
      <c r="I478" t="s">
        <v>16</v>
      </c>
      <c r="K478" t="s">
        <v>1164</v>
      </c>
    </row>
    <row r="479" spans="1:11" x14ac:dyDescent="0.25">
      <c r="A479" t="s">
        <v>1325</v>
      </c>
      <c r="B479" t="s">
        <v>887</v>
      </c>
      <c r="C479" t="s">
        <v>958</v>
      </c>
      <c r="D479" t="s">
        <v>29</v>
      </c>
      <c r="E479" t="s">
        <v>46</v>
      </c>
      <c r="F479">
        <v>9</v>
      </c>
      <c r="G479">
        <v>860.64</v>
      </c>
      <c r="H479">
        <v>7745.76</v>
      </c>
      <c r="I479" t="s">
        <v>16</v>
      </c>
      <c r="J479" t="s">
        <v>51</v>
      </c>
      <c r="K479" t="s">
        <v>888</v>
      </c>
    </row>
    <row r="480" spans="1:11" x14ac:dyDescent="0.25">
      <c r="A480" t="s">
        <v>1326</v>
      </c>
      <c r="B480" t="s">
        <v>800</v>
      </c>
      <c r="C480" t="s">
        <v>1327</v>
      </c>
      <c r="D480" t="s">
        <v>78</v>
      </c>
      <c r="E480" t="s">
        <v>46</v>
      </c>
      <c r="F480">
        <v>4</v>
      </c>
      <c r="G480">
        <v>89.13</v>
      </c>
      <c r="H480">
        <v>219.99</v>
      </c>
      <c r="I480" t="s">
        <v>102</v>
      </c>
      <c r="J480" t="s">
        <v>24</v>
      </c>
      <c r="K480" t="s">
        <v>1328</v>
      </c>
    </row>
    <row r="481" spans="1:11" x14ac:dyDescent="0.25">
      <c r="A481" t="s">
        <v>1329</v>
      </c>
      <c r="B481" t="s">
        <v>1330</v>
      </c>
      <c r="C481" t="s">
        <v>1218</v>
      </c>
      <c r="D481" t="s">
        <v>101</v>
      </c>
      <c r="E481" t="s">
        <v>15</v>
      </c>
      <c r="F481">
        <v>9</v>
      </c>
      <c r="I481" t="s">
        <v>35</v>
      </c>
      <c r="J481" t="s">
        <v>51</v>
      </c>
      <c r="K481" t="s">
        <v>1331</v>
      </c>
    </row>
    <row r="482" spans="1:11" x14ac:dyDescent="0.25">
      <c r="A482" t="s">
        <v>1332</v>
      </c>
      <c r="B482" t="s">
        <v>1053</v>
      </c>
      <c r="C482" t="s">
        <v>1333</v>
      </c>
      <c r="D482" t="s">
        <v>22</v>
      </c>
      <c r="F482">
        <v>3</v>
      </c>
      <c r="G482">
        <v>147.79</v>
      </c>
      <c r="H482">
        <v>443.37</v>
      </c>
      <c r="I482" t="s">
        <v>30</v>
      </c>
      <c r="J482" t="s">
        <v>17</v>
      </c>
      <c r="K482" t="s">
        <v>1054</v>
      </c>
    </row>
    <row r="483" spans="1:11" x14ac:dyDescent="0.25">
      <c r="A483" t="s">
        <v>1334</v>
      </c>
      <c r="C483" t="s">
        <v>769</v>
      </c>
      <c r="D483" t="s">
        <v>214</v>
      </c>
      <c r="E483" t="s">
        <v>185</v>
      </c>
      <c r="F483">
        <v>5</v>
      </c>
      <c r="I483" t="s">
        <v>35</v>
      </c>
      <c r="J483" t="s">
        <v>83</v>
      </c>
    </row>
    <row r="484" spans="1:11" x14ac:dyDescent="0.25">
      <c r="A484" t="s">
        <v>1335</v>
      </c>
      <c r="B484" t="s">
        <v>44</v>
      </c>
      <c r="C484" t="s">
        <v>1336</v>
      </c>
      <c r="D484" t="s">
        <v>271</v>
      </c>
      <c r="E484" t="s">
        <v>46</v>
      </c>
      <c r="F484">
        <v>7</v>
      </c>
      <c r="G484">
        <v>313.89</v>
      </c>
      <c r="H484">
        <v>2197.23</v>
      </c>
      <c r="I484" t="s">
        <v>102</v>
      </c>
      <c r="J484" t="s">
        <v>55</v>
      </c>
      <c r="K484" t="s">
        <v>47</v>
      </c>
    </row>
    <row r="485" spans="1:11" x14ac:dyDescent="0.25">
      <c r="A485" t="s">
        <v>1337</v>
      </c>
      <c r="B485" t="s">
        <v>414</v>
      </c>
      <c r="C485" t="s">
        <v>563</v>
      </c>
      <c r="D485" t="s">
        <v>22</v>
      </c>
      <c r="E485" t="s">
        <v>23</v>
      </c>
      <c r="F485">
        <v>2</v>
      </c>
      <c r="G485">
        <v>138.81</v>
      </c>
      <c r="H485">
        <v>277.62</v>
      </c>
      <c r="I485" t="s">
        <v>16</v>
      </c>
      <c r="J485" t="s">
        <v>24</v>
      </c>
      <c r="K485" t="s">
        <v>416</v>
      </c>
    </row>
    <row r="486" spans="1:11" x14ac:dyDescent="0.25">
      <c r="A486" t="s">
        <v>1338</v>
      </c>
      <c r="B486" t="s">
        <v>1072</v>
      </c>
      <c r="C486" t="s">
        <v>401</v>
      </c>
      <c r="D486" t="s">
        <v>101</v>
      </c>
      <c r="E486" t="s">
        <v>15</v>
      </c>
      <c r="F486">
        <v>2</v>
      </c>
      <c r="G486">
        <v>27.01</v>
      </c>
      <c r="H486">
        <v>54.02</v>
      </c>
      <c r="I486" t="s">
        <v>16</v>
      </c>
      <c r="J486" t="s">
        <v>55</v>
      </c>
      <c r="K486" t="s">
        <v>1074</v>
      </c>
    </row>
    <row r="487" spans="1:11" x14ac:dyDescent="0.25">
      <c r="A487" t="s">
        <v>1339</v>
      </c>
      <c r="B487" t="s">
        <v>1340</v>
      </c>
      <c r="C487" t="s">
        <v>869</v>
      </c>
      <c r="D487" t="s">
        <v>41</v>
      </c>
      <c r="E487" t="s">
        <v>92</v>
      </c>
      <c r="F487">
        <v>7</v>
      </c>
      <c r="G487">
        <v>72.569999999999993</v>
      </c>
      <c r="H487">
        <v>507.99</v>
      </c>
      <c r="I487" t="s">
        <v>102</v>
      </c>
      <c r="J487" t="s">
        <v>24</v>
      </c>
      <c r="K487" t="s">
        <v>1341</v>
      </c>
    </row>
    <row r="488" spans="1:11" x14ac:dyDescent="0.25">
      <c r="A488" t="s">
        <v>1342</v>
      </c>
      <c r="B488" t="s">
        <v>717</v>
      </c>
      <c r="C488" t="s">
        <v>441</v>
      </c>
      <c r="D488" t="s">
        <v>331</v>
      </c>
      <c r="E488" t="s">
        <v>15</v>
      </c>
      <c r="F488">
        <v>7</v>
      </c>
      <c r="G488">
        <v>0</v>
      </c>
      <c r="H488">
        <v>0</v>
      </c>
      <c r="I488" t="s">
        <v>102</v>
      </c>
      <c r="J488" t="s">
        <v>24</v>
      </c>
      <c r="K488" t="s">
        <v>719</v>
      </c>
    </row>
    <row r="489" spans="1:11" x14ac:dyDescent="0.25">
      <c r="A489" t="s">
        <v>1343</v>
      </c>
      <c r="B489" t="s">
        <v>638</v>
      </c>
      <c r="C489" t="s">
        <v>1278</v>
      </c>
      <c r="D489" t="s">
        <v>91</v>
      </c>
      <c r="E489" t="s">
        <v>15</v>
      </c>
      <c r="F489">
        <v>5</v>
      </c>
      <c r="G489">
        <v>78.28</v>
      </c>
      <c r="H489">
        <v>391.4</v>
      </c>
      <c r="I489" t="s">
        <v>102</v>
      </c>
      <c r="J489" t="s">
        <v>24</v>
      </c>
      <c r="K489" t="s">
        <v>1344</v>
      </c>
    </row>
    <row r="490" spans="1:11" x14ac:dyDescent="0.25">
      <c r="A490" t="s">
        <v>1345</v>
      </c>
      <c r="B490" t="s">
        <v>1346</v>
      </c>
      <c r="C490" t="s">
        <v>1275</v>
      </c>
      <c r="D490" t="s">
        <v>147</v>
      </c>
      <c r="E490" t="s">
        <v>64</v>
      </c>
      <c r="F490">
        <v>3</v>
      </c>
      <c r="G490">
        <v>310.83</v>
      </c>
      <c r="H490">
        <v>932.49</v>
      </c>
      <c r="I490" t="s">
        <v>35</v>
      </c>
      <c r="J490" t="s">
        <v>287</v>
      </c>
      <c r="K490" t="s">
        <v>1347</v>
      </c>
    </row>
    <row r="491" spans="1:11" x14ac:dyDescent="0.25">
      <c r="A491" t="s">
        <v>1348</v>
      </c>
      <c r="B491" t="s">
        <v>983</v>
      </c>
      <c r="C491" t="s">
        <v>353</v>
      </c>
      <c r="D491" t="s">
        <v>78</v>
      </c>
      <c r="E491" t="s">
        <v>46</v>
      </c>
      <c r="F491">
        <v>6</v>
      </c>
      <c r="G491">
        <v>91.93</v>
      </c>
      <c r="H491">
        <v>551.58000000000004</v>
      </c>
      <c r="I491" t="s">
        <v>35</v>
      </c>
      <c r="J491" t="s">
        <v>24</v>
      </c>
      <c r="K491" t="s">
        <v>985</v>
      </c>
    </row>
    <row r="492" spans="1:11" x14ac:dyDescent="0.25">
      <c r="A492" t="s">
        <v>1349</v>
      </c>
      <c r="B492" t="s">
        <v>1350</v>
      </c>
      <c r="C492" t="s">
        <v>1351</v>
      </c>
      <c r="D492" t="s">
        <v>22</v>
      </c>
      <c r="E492" t="s">
        <v>23</v>
      </c>
      <c r="F492">
        <v>8</v>
      </c>
      <c r="G492">
        <v>140.5</v>
      </c>
      <c r="H492">
        <v>1124</v>
      </c>
      <c r="I492" t="s">
        <v>30</v>
      </c>
      <c r="J492" t="s">
        <v>69</v>
      </c>
      <c r="K492" t="s">
        <v>1352</v>
      </c>
    </row>
    <row r="493" spans="1:11" x14ac:dyDescent="0.25">
      <c r="A493" t="s">
        <v>1353</v>
      </c>
      <c r="B493" t="s">
        <v>519</v>
      </c>
      <c r="C493" t="s">
        <v>1354</v>
      </c>
      <c r="D493" t="s">
        <v>214</v>
      </c>
      <c r="E493" t="s">
        <v>361</v>
      </c>
      <c r="F493">
        <v>8</v>
      </c>
      <c r="G493">
        <v>46.27</v>
      </c>
      <c r="H493">
        <v>370.16</v>
      </c>
      <c r="I493" t="s">
        <v>102</v>
      </c>
      <c r="J493" t="s">
        <v>55</v>
      </c>
      <c r="K493" t="s">
        <v>521</v>
      </c>
    </row>
    <row r="494" spans="1:11" x14ac:dyDescent="0.25">
      <c r="A494" t="s">
        <v>1355</v>
      </c>
      <c r="B494" t="s">
        <v>297</v>
      </c>
      <c r="C494" t="s">
        <v>295</v>
      </c>
      <c r="D494" t="s">
        <v>22</v>
      </c>
      <c r="E494" t="s">
        <v>23</v>
      </c>
      <c r="F494">
        <v>7</v>
      </c>
      <c r="I494" t="s">
        <v>35</v>
      </c>
      <c r="J494" t="s">
        <v>17</v>
      </c>
      <c r="K494" t="s">
        <v>299</v>
      </c>
    </row>
    <row r="495" spans="1:11" x14ac:dyDescent="0.25">
      <c r="A495" t="s">
        <v>1356</v>
      </c>
      <c r="B495" t="s">
        <v>1357</v>
      </c>
      <c r="C495" t="s">
        <v>1358</v>
      </c>
      <c r="D495" t="s">
        <v>214</v>
      </c>
      <c r="E495" t="s">
        <v>185</v>
      </c>
      <c r="F495">
        <v>2</v>
      </c>
      <c r="G495">
        <v>51.27</v>
      </c>
      <c r="H495">
        <v>102.54</v>
      </c>
      <c r="I495" t="s">
        <v>35</v>
      </c>
      <c r="J495" t="s">
        <v>55</v>
      </c>
      <c r="K495" t="s">
        <v>1359</v>
      </c>
    </row>
    <row r="496" spans="1:11" x14ac:dyDescent="0.25">
      <c r="A496" t="s">
        <v>1360</v>
      </c>
      <c r="B496" t="s">
        <v>505</v>
      </c>
      <c r="C496" t="s">
        <v>168</v>
      </c>
      <c r="D496" t="s">
        <v>214</v>
      </c>
      <c r="E496" t="s">
        <v>185</v>
      </c>
      <c r="F496">
        <v>2</v>
      </c>
      <c r="G496">
        <v>53.66</v>
      </c>
      <c r="H496">
        <v>151.62</v>
      </c>
      <c r="I496" t="s">
        <v>35</v>
      </c>
      <c r="J496" t="s">
        <v>17</v>
      </c>
      <c r="K496" t="s">
        <v>508</v>
      </c>
    </row>
    <row r="497" spans="1:11" x14ac:dyDescent="0.25">
      <c r="A497" t="s">
        <v>1361</v>
      </c>
      <c r="B497" t="s">
        <v>212</v>
      </c>
      <c r="C497" t="s">
        <v>1362</v>
      </c>
      <c r="D497" t="s">
        <v>41</v>
      </c>
      <c r="E497" t="s">
        <v>15</v>
      </c>
      <c r="F497">
        <v>9</v>
      </c>
      <c r="G497">
        <v>77.45</v>
      </c>
      <c r="H497">
        <v>697.05</v>
      </c>
      <c r="I497" t="s">
        <v>102</v>
      </c>
      <c r="J497" t="s">
        <v>69</v>
      </c>
      <c r="K497" t="s">
        <v>215</v>
      </c>
    </row>
    <row r="498" spans="1:11" x14ac:dyDescent="0.25">
      <c r="A498" t="s">
        <v>1363</v>
      </c>
      <c r="B498" t="s">
        <v>532</v>
      </c>
      <c r="C498" t="s">
        <v>1364</v>
      </c>
      <c r="D498" t="s">
        <v>101</v>
      </c>
      <c r="E498" t="s">
        <v>15</v>
      </c>
      <c r="F498">
        <v>9</v>
      </c>
      <c r="G498">
        <v>27.01</v>
      </c>
      <c r="H498">
        <v>243.09</v>
      </c>
      <c r="I498" t="s">
        <v>35</v>
      </c>
      <c r="J498" t="s">
        <v>24</v>
      </c>
      <c r="K498" t="s">
        <v>533</v>
      </c>
    </row>
    <row r="499" spans="1:11" x14ac:dyDescent="0.25">
      <c r="A499" t="s">
        <v>1365</v>
      </c>
      <c r="B499" t="s">
        <v>751</v>
      </c>
      <c r="C499" t="s">
        <v>1366</v>
      </c>
      <c r="D499" t="s">
        <v>388</v>
      </c>
      <c r="E499" t="s">
        <v>185</v>
      </c>
      <c r="F499">
        <v>8</v>
      </c>
      <c r="G499">
        <v>-50</v>
      </c>
      <c r="H499">
        <v>-400</v>
      </c>
      <c r="I499" t="s">
        <v>35</v>
      </c>
      <c r="J499" t="s">
        <v>51</v>
      </c>
      <c r="K499" t="s">
        <v>753</v>
      </c>
    </row>
    <row r="500" spans="1:11" x14ac:dyDescent="0.25">
      <c r="A500" t="s">
        <v>1367</v>
      </c>
      <c r="B500" t="s">
        <v>532</v>
      </c>
      <c r="C500" t="s">
        <v>725</v>
      </c>
      <c r="D500" t="s">
        <v>78</v>
      </c>
      <c r="E500" t="s">
        <v>46</v>
      </c>
      <c r="F500">
        <v>5</v>
      </c>
      <c r="G500">
        <v>94.86</v>
      </c>
      <c r="H500">
        <v>474.3</v>
      </c>
      <c r="I500" t="s">
        <v>30</v>
      </c>
      <c r="J500" t="s">
        <v>126</v>
      </c>
      <c r="K500" t="s">
        <v>533</v>
      </c>
    </row>
    <row r="501" spans="1:11" x14ac:dyDescent="0.25">
      <c r="A501" t="s">
        <v>1368</v>
      </c>
      <c r="B501" t="s">
        <v>884</v>
      </c>
      <c r="C501" t="s">
        <v>1369</v>
      </c>
      <c r="D501" t="s">
        <v>22</v>
      </c>
      <c r="E501" t="s">
        <v>23</v>
      </c>
      <c r="F501">
        <v>4</v>
      </c>
      <c r="I501" t="s">
        <v>30</v>
      </c>
      <c r="J501" t="s">
        <v>24</v>
      </c>
      <c r="K501" t="s">
        <v>885</v>
      </c>
    </row>
    <row r="502" spans="1:11" x14ac:dyDescent="0.25">
      <c r="A502" t="s">
        <v>1370</v>
      </c>
      <c r="B502" t="s">
        <v>233</v>
      </c>
      <c r="C502" t="s">
        <v>1371</v>
      </c>
      <c r="D502" t="s">
        <v>78</v>
      </c>
      <c r="E502" t="s">
        <v>46</v>
      </c>
      <c r="F502">
        <v>6</v>
      </c>
      <c r="G502">
        <v>89.34</v>
      </c>
      <c r="H502">
        <v>594.47</v>
      </c>
      <c r="I502" t="s">
        <v>16</v>
      </c>
      <c r="J502" t="s">
        <v>69</v>
      </c>
      <c r="K502" t="s">
        <v>235</v>
      </c>
    </row>
    <row r="503" spans="1:11" x14ac:dyDescent="0.25">
      <c r="A503" t="s">
        <v>1372</v>
      </c>
      <c r="B503" t="s">
        <v>319</v>
      </c>
      <c r="C503" t="s">
        <v>1373</v>
      </c>
      <c r="D503" t="s">
        <v>41</v>
      </c>
      <c r="E503" t="s">
        <v>15</v>
      </c>
      <c r="F503">
        <v>7</v>
      </c>
      <c r="G503">
        <v>72.459999999999994</v>
      </c>
      <c r="H503">
        <v>507.22</v>
      </c>
      <c r="I503" t="s">
        <v>16</v>
      </c>
      <c r="J503" t="s">
        <v>51</v>
      </c>
      <c r="K503" t="s">
        <v>321</v>
      </c>
    </row>
    <row r="504" spans="1:11" x14ac:dyDescent="0.25">
      <c r="A504" t="s">
        <v>1374</v>
      </c>
      <c r="B504" t="s">
        <v>237</v>
      </c>
      <c r="C504" t="s">
        <v>1375</v>
      </c>
      <c r="D504" t="s">
        <v>147</v>
      </c>
      <c r="E504" t="s">
        <v>46</v>
      </c>
      <c r="F504">
        <v>4</v>
      </c>
      <c r="G504">
        <v>-299.99</v>
      </c>
      <c r="H504">
        <v>-892.85</v>
      </c>
      <c r="I504" t="s">
        <v>30</v>
      </c>
      <c r="J504" t="s">
        <v>51</v>
      </c>
      <c r="K504" t="s">
        <v>240</v>
      </c>
    </row>
    <row r="505" spans="1:11" x14ac:dyDescent="0.25">
      <c r="A505" t="s">
        <v>1376</v>
      </c>
      <c r="B505" t="s">
        <v>1377</v>
      </c>
      <c r="C505" t="s">
        <v>1378</v>
      </c>
      <c r="D505" t="s">
        <v>87</v>
      </c>
      <c r="E505" t="s">
        <v>15</v>
      </c>
      <c r="F505">
        <v>8</v>
      </c>
      <c r="G505">
        <v>46.29</v>
      </c>
      <c r="H505">
        <v>370.32</v>
      </c>
      <c r="I505" t="s">
        <v>1203</v>
      </c>
      <c r="K505" t="s">
        <v>1379</v>
      </c>
    </row>
    <row r="506" spans="1:11" x14ac:dyDescent="0.25">
      <c r="A506" t="s">
        <v>1380</v>
      </c>
      <c r="B506" t="s">
        <v>378</v>
      </c>
      <c r="C506" t="s">
        <v>179</v>
      </c>
      <c r="D506" t="s">
        <v>29</v>
      </c>
      <c r="E506" t="s">
        <v>46</v>
      </c>
      <c r="F506">
        <v>9</v>
      </c>
      <c r="G506">
        <v>858.01</v>
      </c>
      <c r="H506">
        <v>5639.59</v>
      </c>
      <c r="I506" t="s">
        <v>1203</v>
      </c>
      <c r="J506" t="s">
        <v>392</v>
      </c>
      <c r="K506" t="s">
        <v>1381</v>
      </c>
    </row>
    <row r="507" spans="1:11" x14ac:dyDescent="0.25">
      <c r="A507" t="s">
        <v>1382</v>
      </c>
      <c r="B507" t="s">
        <v>742</v>
      </c>
      <c r="C507" t="s">
        <v>1286</v>
      </c>
      <c r="D507" t="s">
        <v>78</v>
      </c>
      <c r="F507">
        <v>5</v>
      </c>
      <c r="G507">
        <v>81.81</v>
      </c>
      <c r="H507">
        <v>409.05</v>
      </c>
      <c r="I507" t="s">
        <v>102</v>
      </c>
      <c r="J507" t="s">
        <v>55</v>
      </c>
      <c r="K507" t="s">
        <v>1383</v>
      </c>
    </row>
    <row r="508" spans="1:11" x14ac:dyDescent="0.25">
      <c r="A508" t="s">
        <v>1384</v>
      </c>
      <c r="B508" t="s">
        <v>690</v>
      </c>
      <c r="C508" t="s">
        <v>125</v>
      </c>
      <c r="D508" t="s">
        <v>147</v>
      </c>
      <c r="E508" t="s">
        <v>46</v>
      </c>
      <c r="F508">
        <v>3</v>
      </c>
      <c r="G508">
        <v>281.20999999999998</v>
      </c>
      <c r="H508">
        <v>751.41</v>
      </c>
      <c r="I508" t="s">
        <v>35</v>
      </c>
      <c r="J508" t="s">
        <v>24</v>
      </c>
      <c r="K508" t="s">
        <v>692</v>
      </c>
    </row>
    <row r="509" spans="1:11" x14ac:dyDescent="0.25">
      <c r="A509" t="s">
        <v>827</v>
      </c>
      <c r="B509" t="s">
        <v>828</v>
      </c>
      <c r="C509" t="s">
        <v>829</v>
      </c>
      <c r="D509" t="s">
        <v>78</v>
      </c>
      <c r="E509" t="s">
        <v>46</v>
      </c>
      <c r="F509">
        <v>2</v>
      </c>
      <c r="G509">
        <v>92.05</v>
      </c>
      <c r="H509">
        <v>184.1</v>
      </c>
      <c r="J509" t="s">
        <v>55</v>
      </c>
      <c r="K509" t="s">
        <v>830</v>
      </c>
    </row>
    <row r="510" spans="1:11" x14ac:dyDescent="0.25">
      <c r="A510" t="s">
        <v>1385</v>
      </c>
      <c r="C510" t="s">
        <v>1386</v>
      </c>
      <c r="D510" t="s">
        <v>22</v>
      </c>
      <c r="E510" t="s">
        <v>23</v>
      </c>
      <c r="F510">
        <v>4</v>
      </c>
      <c r="G510">
        <v>151.74</v>
      </c>
      <c r="H510">
        <v>606.96</v>
      </c>
      <c r="I510" t="s">
        <v>16</v>
      </c>
      <c r="J510" t="s">
        <v>69</v>
      </c>
    </row>
    <row r="511" spans="1:11" x14ac:dyDescent="0.25">
      <c r="A511" t="s">
        <v>1387</v>
      </c>
      <c r="B511" t="s">
        <v>20</v>
      </c>
      <c r="C511" t="s">
        <v>816</v>
      </c>
      <c r="D511" t="s">
        <v>214</v>
      </c>
      <c r="E511" t="s">
        <v>185</v>
      </c>
      <c r="F511">
        <v>9</v>
      </c>
      <c r="G511">
        <v>47.33</v>
      </c>
      <c r="H511">
        <v>425.97</v>
      </c>
      <c r="I511" t="s">
        <v>239</v>
      </c>
      <c r="J511" t="s">
        <v>51</v>
      </c>
      <c r="K511" t="s">
        <v>25</v>
      </c>
    </row>
    <row r="512" spans="1:11" x14ac:dyDescent="0.25">
      <c r="A512" t="s">
        <v>1388</v>
      </c>
      <c r="B512" t="s">
        <v>49</v>
      </c>
      <c r="C512" t="s">
        <v>175</v>
      </c>
      <c r="D512" t="s">
        <v>147</v>
      </c>
      <c r="E512" t="s">
        <v>46</v>
      </c>
      <c r="F512">
        <v>9</v>
      </c>
      <c r="G512">
        <v>316.95</v>
      </c>
      <c r="H512">
        <v>2852.55</v>
      </c>
      <c r="I512" t="s">
        <v>102</v>
      </c>
      <c r="J512" t="s">
        <v>24</v>
      </c>
      <c r="K512" t="s">
        <v>52</v>
      </c>
    </row>
    <row r="513" spans="1:11" x14ac:dyDescent="0.25">
      <c r="A513" t="s">
        <v>1389</v>
      </c>
      <c r="B513" t="s">
        <v>1168</v>
      </c>
      <c r="C513" t="s">
        <v>327</v>
      </c>
      <c r="D513" t="s">
        <v>78</v>
      </c>
      <c r="E513" t="s">
        <v>64</v>
      </c>
      <c r="F513">
        <v>1</v>
      </c>
      <c r="G513">
        <v>91.28</v>
      </c>
      <c r="H513">
        <v>91.28</v>
      </c>
      <c r="I513" t="s">
        <v>102</v>
      </c>
      <c r="J513" t="s">
        <v>55</v>
      </c>
      <c r="K513" t="s">
        <v>1169</v>
      </c>
    </row>
    <row r="514" spans="1:11" x14ac:dyDescent="0.25">
      <c r="A514" t="s">
        <v>1390</v>
      </c>
      <c r="B514" t="s">
        <v>307</v>
      </c>
      <c r="C514" t="s">
        <v>1391</v>
      </c>
      <c r="D514" t="s">
        <v>101</v>
      </c>
      <c r="E514" t="s">
        <v>15</v>
      </c>
      <c r="F514">
        <v>6</v>
      </c>
      <c r="G514">
        <v>28.12</v>
      </c>
      <c r="H514">
        <v>168.72</v>
      </c>
      <c r="I514" t="s">
        <v>16</v>
      </c>
      <c r="J514" t="s">
        <v>69</v>
      </c>
      <c r="K514" t="s">
        <v>309</v>
      </c>
    </row>
    <row r="515" spans="1:11" x14ac:dyDescent="0.25">
      <c r="A515" t="s">
        <v>1392</v>
      </c>
      <c r="B515" t="s">
        <v>1304</v>
      </c>
      <c r="C515" t="s">
        <v>1393</v>
      </c>
      <c r="D515" t="s">
        <v>214</v>
      </c>
      <c r="E515" t="s">
        <v>185</v>
      </c>
      <c r="F515">
        <v>1</v>
      </c>
      <c r="G515">
        <v>53.54</v>
      </c>
      <c r="H515">
        <v>59.4</v>
      </c>
      <c r="I515" t="s">
        <v>30</v>
      </c>
      <c r="J515" t="s">
        <v>51</v>
      </c>
      <c r="K515" t="s">
        <v>1305</v>
      </c>
    </row>
    <row r="516" spans="1:11" x14ac:dyDescent="0.25">
      <c r="A516" t="s">
        <v>1394</v>
      </c>
      <c r="B516" t="s">
        <v>647</v>
      </c>
      <c r="C516" t="s">
        <v>1395</v>
      </c>
      <c r="D516" t="s">
        <v>41</v>
      </c>
      <c r="E516" t="s">
        <v>15</v>
      </c>
      <c r="F516">
        <v>5</v>
      </c>
      <c r="G516">
        <v>72.3</v>
      </c>
      <c r="H516">
        <v>361.5</v>
      </c>
      <c r="I516" t="s">
        <v>541</v>
      </c>
      <c r="J516" t="s">
        <v>51</v>
      </c>
    </row>
  </sheetData>
  <autoFilter ref="A1:K51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Darta Quality Report</vt:lpstr>
      <vt:lpstr>Key Insights</vt:lpstr>
      <vt:lpstr>Dashboard</vt:lpstr>
      <vt:lpstr>Analysis</vt:lpstr>
      <vt:lpstr>Clean Data</vt:lpstr>
      <vt:lpstr>Old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calvin ye</dc:creator>
  <cp:lastModifiedBy>calvin ye</cp:lastModifiedBy>
  <dcterms:created xsi:type="dcterms:W3CDTF">2026-01-28T01:14:42Z</dcterms:created>
  <dcterms:modified xsi:type="dcterms:W3CDTF">2026-01-29T23:22:37Z</dcterms:modified>
</cp:coreProperties>
</file>